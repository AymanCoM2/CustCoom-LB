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c.1\Desktop\العملاء\"/>
    </mc:Choice>
  </mc:AlternateContent>
  <xr:revisionPtr revIDLastSave="0" documentId="13_ncr:1_{5361AB92-8E41-45A5-88AD-FA087A48AF0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ustomer Data" sheetId="8" r:id="rId1"/>
    <sheet name="Summary" sheetId="3" r:id="rId2"/>
    <sheet name="Other Data" sheetId="2" r:id="rId3"/>
    <sheet name="Legend" sheetId="4" r:id="rId4"/>
    <sheet name="SAP Customer Data" sheetId="7" r:id="rId5"/>
  </sheets>
  <definedNames>
    <definedName name="_xlnm._FilterDatabase" localSheetId="3" hidden="1">Legend!$A$1:$D$51</definedName>
    <definedName name="ExternalData_1" localSheetId="4" hidden="1">'SAP Customer Data'!$A$1:$O$541</definedName>
  </definedNames>
  <calcPr calcId="191029" calcOnSave="0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42" i="8" l="1" a="1"/>
  <c r="AT542" i="8" s="1"/>
  <c r="AS542" i="8"/>
  <c r="AP542" i="8"/>
  <c r="AM542" i="8"/>
  <c r="AJ542" i="8"/>
  <c r="AG542" i="8"/>
  <c r="AD542" i="8"/>
  <c r="X542" i="8" a="1"/>
  <c r="X542" i="8" s="1"/>
  <c r="W542" i="8"/>
  <c r="V542" i="8"/>
  <c r="N542" i="8" a="1"/>
  <c r="N542" i="8" s="1"/>
  <c r="O542" i="8" s="1"/>
  <c r="L542" i="8"/>
  <c r="H542" i="8"/>
  <c r="C542" i="8" a="1"/>
  <c r="C542" i="8" s="1"/>
  <c r="V461" i="8"/>
  <c r="W461" i="8"/>
  <c r="X461" i="8" a="1"/>
  <c r="X461" i="8" s="1"/>
  <c r="AD461" i="8"/>
  <c r="AG461" i="8"/>
  <c r="AJ461" i="8"/>
  <c r="AM461" i="8"/>
  <c r="AP461" i="8"/>
  <c r="AS461" i="8"/>
  <c r="AT461" i="8" a="1"/>
  <c r="AT461" i="8" s="1"/>
  <c r="R542" i="8"/>
  <c r="C541" i="8" a="1"/>
  <c r="C541" i="8" s="1"/>
  <c r="H541" i="8"/>
  <c r="L541" i="8"/>
  <c r="N541" i="8" a="1"/>
  <c r="N541" i="8" s="1"/>
  <c r="O541" i="8" s="1"/>
  <c r="R541" i="8"/>
  <c r="V541" i="8"/>
  <c r="W541" i="8"/>
  <c r="X541" i="8" a="1"/>
  <c r="X541" i="8" s="1"/>
  <c r="AD541" i="8"/>
  <c r="AG541" i="8"/>
  <c r="AJ541" i="8"/>
  <c r="AM541" i="8"/>
  <c r="AP541" i="8"/>
  <c r="AS541" i="8"/>
  <c r="AT541" i="8" a="1"/>
  <c r="AT541" i="8" s="1"/>
  <c r="A541" i="8" a="1"/>
  <c r="A541" i="8" s="1"/>
  <c r="A455" i="8" a="1"/>
  <c r="A455" i="8" s="1"/>
  <c r="C455" i="8" a="1"/>
  <c r="C455" i="8" s="1"/>
  <c r="H455" i="8"/>
  <c r="L455" i="8"/>
  <c r="N455" i="8" a="1"/>
  <c r="N455" i="8" s="1"/>
  <c r="O455" i="8" s="1"/>
  <c r="R455" i="8"/>
  <c r="V455" i="8"/>
  <c r="W455" i="8"/>
  <c r="X455" i="8" a="1"/>
  <c r="X455" i="8" s="1"/>
  <c r="AD455" i="8"/>
  <c r="AG455" i="8"/>
  <c r="AJ455" i="8"/>
  <c r="AM455" i="8"/>
  <c r="AP455" i="8"/>
  <c r="AS455" i="8"/>
  <c r="AT455" i="8" a="1"/>
  <c r="AT455" i="8" s="1"/>
  <c r="C540" i="8" a="1"/>
  <c r="C540" i="8" s="1"/>
  <c r="H540" i="8"/>
  <c r="L540" i="8"/>
  <c r="N540" i="8" a="1"/>
  <c r="N540" i="8" s="1"/>
  <c r="O540" i="8" s="1"/>
  <c r="R540" i="8"/>
  <c r="V540" i="8"/>
  <c r="W540" i="8"/>
  <c r="X540" i="8" a="1"/>
  <c r="X540" i="8" s="1"/>
  <c r="D540" i="8" s="1"/>
  <c r="AD540" i="8"/>
  <c r="AG540" i="8"/>
  <c r="AJ540" i="8"/>
  <c r="AM540" i="8"/>
  <c r="AP540" i="8"/>
  <c r="AS540" i="8"/>
  <c r="AT540" i="8" a="1"/>
  <c r="AT540" i="8" s="1"/>
  <c r="AT539" i="8" a="1"/>
  <c r="AT539" i="8" s="1"/>
  <c r="AS539" i="8"/>
  <c r="AP539" i="8"/>
  <c r="AM539" i="8"/>
  <c r="AJ539" i="8"/>
  <c r="AG539" i="8"/>
  <c r="AD539" i="8"/>
  <c r="X539" i="8" a="1"/>
  <c r="X539" i="8" s="1"/>
  <c r="W539" i="8"/>
  <c r="V539" i="8"/>
  <c r="R539" i="8"/>
  <c r="N539" i="8" a="1"/>
  <c r="N539" i="8" s="1"/>
  <c r="O539" i="8" s="1"/>
  <c r="L539" i="8"/>
  <c r="H539" i="8"/>
  <c r="C539" i="8" a="1"/>
  <c r="C539" i="8" s="1"/>
  <c r="AT538" i="8" a="1"/>
  <c r="AT538" i="8" s="1"/>
  <c r="AS538" i="8"/>
  <c r="AP538" i="8"/>
  <c r="AM538" i="8"/>
  <c r="AJ538" i="8"/>
  <c r="AG538" i="8"/>
  <c r="AD538" i="8"/>
  <c r="X538" i="8" a="1"/>
  <c r="X538" i="8" s="1"/>
  <c r="W538" i="8"/>
  <c r="V538" i="8"/>
  <c r="R538" i="8"/>
  <c r="N538" i="8" a="1"/>
  <c r="N538" i="8" s="1"/>
  <c r="O538" i="8" s="1"/>
  <c r="L538" i="8"/>
  <c r="H538" i="8"/>
  <c r="C538" i="8" a="1"/>
  <c r="C538" i="8" s="1"/>
  <c r="N473" i="8" a="1"/>
  <c r="N473" i="8" s="1"/>
  <c r="AT537" i="8" a="1"/>
  <c r="AT537" i="8" s="1"/>
  <c r="AS537" i="8"/>
  <c r="AP537" i="8"/>
  <c r="AM537" i="8"/>
  <c r="AJ537" i="8"/>
  <c r="AG537" i="8"/>
  <c r="AD537" i="8"/>
  <c r="X537" i="8" a="1"/>
  <c r="X537" i="8" s="1"/>
  <c r="W537" i="8"/>
  <c r="V537" i="8"/>
  <c r="R537" i="8"/>
  <c r="N537" i="8" a="1"/>
  <c r="N537" i="8" s="1"/>
  <c r="O537" i="8" s="1"/>
  <c r="L537" i="8"/>
  <c r="H537" i="8"/>
  <c r="C537" i="8" a="1"/>
  <c r="C537" i="8" s="1"/>
  <c r="A537" i="8" a="1"/>
  <c r="A537" i="8" s="1"/>
  <c r="V243" i="8"/>
  <c r="V340" i="8"/>
  <c r="V500" i="8"/>
  <c r="V475" i="8"/>
  <c r="V444" i="8"/>
  <c r="V325" i="8"/>
  <c r="V41" i="8"/>
  <c r="V536" i="8"/>
  <c r="V515" i="8"/>
  <c r="V498" i="8"/>
  <c r="V396" i="8"/>
  <c r="V395" i="8"/>
  <c r="V394" i="8"/>
  <c r="V393" i="8"/>
  <c r="V391" i="8"/>
  <c r="V390" i="8"/>
  <c r="V389" i="8"/>
  <c r="V388" i="8"/>
  <c r="V195" i="8"/>
  <c r="V194" i="8"/>
  <c r="V193" i="8"/>
  <c r="V192" i="8"/>
  <c r="V83" i="8"/>
  <c r="V80" i="8"/>
  <c r="V125" i="8"/>
  <c r="V3" i="8"/>
  <c r="V467" i="8"/>
  <c r="V466" i="8"/>
  <c r="V465" i="8"/>
  <c r="V464" i="8"/>
  <c r="V462" i="8"/>
  <c r="V460" i="8"/>
  <c r="V459" i="8"/>
  <c r="V458" i="8"/>
  <c r="V399" i="8"/>
  <c r="V400" i="8"/>
  <c r="V385" i="8"/>
  <c r="V384" i="8"/>
  <c r="V383" i="8"/>
  <c r="V379" i="8"/>
  <c r="V378" i="8"/>
  <c r="V377" i="8"/>
  <c r="AT533" i="8" a="1"/>
  <c r="AT533" i="8" s="1"/>
  <c r="AS536" i="8"/>
  <c r="AP536" i="8"/>
  <c r="AM536" i="8"/>
  <c r="AJ536" i="8"/>
  <c r="AG536" i="8"/>
  <c r="AD536" i="8"/>
  <c r="R536" i="8"/>
  <c r="L536" i="8"/>
  <c r="H536" i="8"/>
  <c r="C536" i="8" a="1"/>
  <c r="C536" i="8" s="1"/>
  <c r="N536" i="8" a="1"/>
  <c r="N536" i="8" s="1"/>
  <c r="O536" i="8" s="1"/>
  <c r="W536" i="8"/>
  <c r="X536" i="8" a="1"/>
  <c r="X536" i="8" s="1"/>
  <c r="D536" i="8" s="1"/>
  <c r="AT536" i="8" a="1"/>
  <c r="AT536" i="8" s="1"/>
  <c r="V534" i="8"/>
  <c r="V531" i="8"/>
  <c r="V530" i="8"/>
  <c r="V529" i="8"/>
  <c r="V528" i="8"/>
  <c r="V527" i="8"/>
  <c r="V504" i="8"/>
  <c r="V503" i="8"/>
  <c r="V474" i="8"/>
  <c r="V434" i="8"/>
  <c r="V341" i="8"/>
  <c r="V232" i="8"/>
  <c r="V146" i="8"/>
  <c r="V92" i="8"/>
  <c r="V16" i="8"/>
  <c r="V18" i="8"/>
  <c r="V19" i="8"/>
  <c r="V20" i="8"/>
  <c r="V22" i="8"/>
  <c r="V23" i="8"/>
  <c r="V24" i="8"/>
  <c r="V25" i="8"/>
  <c r="V26" i="8"/>
  <c r="V28" i="8"/>
  <c r="V29" i="8"/>
  <c r="V48" i="8"/>
  <c r="V51" i="8"/>
  <c r="V56" i="8"/>
  <c r="V64" i="8"/>
  <c r="V65" i="8"/>
  <c r="V70" i="8"/>
  <c r="V93" i="8"/>
  <c r="V94" i="8"/>
  <c r="V95" i="8"/>
  <c r="V96" i="8"/>
  <c r="V97" i="8"/>
  <c r="V98" i="8"/>
  <c r="V99" i="8"/>
  <c r="V100" i="8"/>
  <c r="V101" i="8"/>
  <c r="V102" i="8"/>
  <c r="V104" i="8"/>
  <c r="V105" i="8"/>
  <c r="V106" i="8"/>
  <c r="V107" i="8"/>
  <c r="V108" i="8"/>
  <c r="V109" i="8"/>
  <c r="V110" i="8"/>
  <c r="V111" i="8"/>
  <c r="V113" i="8"/>
  <c r="V114" i="8"/>
  <c r="V115" i="8"/>
  <c r="V116" i="8"/>
  <c r="V117" i="8"/>
  <c r="V118" i="8"/>
  <c r="V119" i="8"/>
  <c r="V120" i="8"/>
  <c r="V121" i="8"/>
  <c r="V132" i="8"/>
  <c r="V133" i="8"/>
  <c r="V135" i="8"/>
  <c r="V140" i="8"/>
  <c r="V151" i="8"/>
  <c r="V169" i="8"/>
  <c r="V174" i="8"/>
  <c r="V175" i="8"/>
  <c r="V188" i="8"/>
  <c r="V196" i="8"/>
  <c r="V200" i="8"/>
  <c r="V201" i="8"/>
  <c r="V202" i="8"/>
  <c r="V203" i="8"/>
  <c r="V204" i="8"/>
  <c r="V205" i="8"/>
  <c r="V206" i="8"/>
  <c r="V207" i="8"/>
  <c r="V208" i="8"/>
  <c r="V209" i="8"/>
  <c r="V210" i="8"/>
  <c r="V211" i="8"/>
  <c r="V212" i="8"/>
  <c r="V213" i="8"/>
  <c r="V215" i="8"/>
  <c r="V216" i="8"/>
  <c r="V217" i="8"/>
  <c r="V218" i="8"/>
  <c r="V219" i="8"/>
  <c r="V220" i="8"/>
  <c r="V221" i="8"/>
  <c r="V222" i="8"/>
  <c r="V223" i="8"/>
  <c r="V224" i="8"/>
  <c r="V225" i="8"/>
  <c r="V226" i="8"/>
  <c r="V227" i="8"/>
  <c r="V228" i="8"/>
  <c r="V229" i="8"/>
  <c r="V230" i="8"/>
  <c r="V231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2" i="8"/>
  <c r="V263" i="8"/>
  <c r="V264" i="8"/>
  <c r="V265" i="8"/>
  <c r="V266" i="8"/>
  <c r="V267" i="8"/>
  <c r="V268" i="8"/>
  <c r="V269" i="8"/>
  <c r="V276" i="8"/>
  <c r="V303" i="8"/>
  <c r="V313" i="8"/>
  <c r="V316" i="8"/>
  <c r="V321" i="8"/>
  <c r="V323" i="8"/>
  <c r="V328" i="8"/>
  <c r="V329" i="8"/>
  <c r="V339" i="8"/>
  <c r="V342" i="8"/>
  <c r="V343" i="8"/>
  <c r="V344" i="8"/>
  <c r="V345" i="8"/>
  <c r="V347" i="8"/>
  <c r="V348" i="8"/>
  <c r="V349" i="8"/>
  <c r="V350" i="8"/>
  <c r="V351" i="8"/>
  <c r="V352" i="8"/>
  <c r="V353" i="8"/>
  <c r="V354" i="8"/>
  <c r="V355" i="8"/>
  <c r="V356" i="8"/>
  <c r="V357" i="8"/>
  <c r="V359" i="8"/>
  <c r="V360" i="8"/>
  <c r="V361" i="8"/>
  <c r="V362" i="8"/>
  <c r="V363" i="8"/>
  <c r="V364" i="8"/>
  <c r="V365" i="8"/>
  <c r="V366" i="8"/>
  <c r="V367" i="8"/>
  <c r="V368" i="8"/>
  <c r="V369" i="8"/>
  <c r="V370" i="8"/>
  <c r="V371" i="8"/>
  <c r="V401" i="8"/>
  <c r="V402" i="8"/>
  <c r="V403" i="8"/>
  <c r="V404" i="8"/>
  <c r="V405" i="8"/>
  <c r="V406" i="8"/>
  <c r="V407" i="8"/>
  <c r="V408" i="8"/>
  <c r="V409" i="8"/>
  <c r="V410" i="8"/>
  <c r="V411" i="8"/>
  <c r="V412" i="8"/>
  <c r="V413" i="8"/>
  <c r="V414" i="8"/>
  <c r="V415" i="8"/>
  <c r="V416" i="8"/>
  <c r="V417" i="8"/>
  <c r="V418" i="8"/>
  <c r="V422" i="8"/>
  <c r="V424" i="8"/>
  <c r="V468" i="8"/>
  <c r="V469" i="8"/>
  <c r="V470" i="8"/>
  <c r="V471" i="8"/>
  <c r="V472" i="8"/>
  <c r="V473" i="8"/>
  <c r="V476" i="8"/>
  <c r="V481" i="8"/>
  <c r="V482" i="8"/>
  <c r="V484" i="8"/>
  <c r="V485" i="8"/>
  <c r="V505" i="8"/>
  <c r="V506" i="8"/>
  <c r="V507" i="8"/>
  <c r="V508" i="8"/>
  <c r="V533" i="8"/>
  <c r="V535" i="8"/>
  <c r="AT535" i="8" a="1"/>
  <c r="AT535" i="8" s="1"/>
  <c r="AS535" i="8"/>
  <c r="AP535" i="8"/>
  <c r="AM535" i="8"/>
  <c r="AJ535" i="8"/>
  <c r="AG535" i="8"/>
  <c r="AD535" i="8"/>
  <c r="X535" i="8" a="1"/>
  <c r="X535" i="8" s="1"/>
  <c r="W535" i="8"/>
  <c r="R535" i="8"/>
  <c r="N535" i="8" a="1"/>
  <c r="N535" i="8" s="1"/>
  <c r="O535" i="8" s="1"/>
  <c r="L535" i="8"/>
  <c r="H535" i="8"/>
  <c r="C535" i="8" a="1"/>
  <c r="C535" i="8" s="1"/>
  <c r="W35" i="8"/>
  <c r="N2" i="8" a="1"/>
  <c r="N2" i="8" s="1"/>
  <c r="N3" i="8" a="1"/>
  <c r="N3" i="8" s="1"/>
  <c r="N4" i="8" a="1"/>
  <c r="N4" i="8" s="1"/>
  <c r="AD534" i="8"/>
  <c r="AG534" i="8"/>
  <c r="AJ534" i="8"/>
  <c r="AM534" i="8"/>
  <c r="AP534" i="8"/>
  <c r="AS534" i="8"/>
  <c r="AT534" i="8" a="1"/>
  <c r="AT534" i="8" s="1"/>
  <c r="R534" i="8"/>
  <c r="L534" i="8"/>
  <c r="H534" i="8"/>
  <c r="C534" i="8" a="1"/>
  <c r="C534" i="8" s="1"/>
  <c r="N534" i="8" a="1"/>
  <c r="N534" i="8" s="1"/>
  <c r="O534" i="8" s="1"/>
  <c r="W534" i="8"/>
  <c r="X534" i="8" a="1"/>
  <c r="X534" i="8" s="1"/>
  <c r="AS533" i="8"/>
  <c r="AP533" i="8"/>
  <c r="AM533" i="8"/>
  <c r="AJ533" i="8"/>
  <c r="AG533" i="8"/>
  <c r="AD533" i="8"/>
  <c r="X533" i="8" a="1"/>
  <c r="X533" i="8" s="1"/>
  <c r="W533" i="8"/>
  <c r="R533" i="8"/>
  <c r="N533" i="8" a="1"/>
  <c r="N533" i="8" s="1"/>
  <c r="O533" i="8" s="1"/>
  <c r="L533" i="8"/>
  <c r="H533" i="8"/>
  <c r="C533" i="8" a="1"/>
  <c r="C533" i="8" s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Y386" i="8" s="1"/>
  <c r="W387" i="8"/>
  <c r="Y387" i="8" s="1"/>
  <c r="W388" i="8"/>
  <c r="Y388" i="8" s="1"/>
  <c r="W389" i="8"/>
  <c r="W390" i="8"/>
  <c r="W391" i="8"/>
  <c r="W392" i="8"/>
  <c r="Y392" i="8" s="1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6" i="8"/>
  <c r="W457" i="8"/>
  <c r="W458" i="8"/>
  <c r="W459" i="8"/>
  <c r="W460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Y516" i="8" s="1"/>
  <c r="W517" i="8"/>
  <c r="W518" i="8"/>
  <c r="W519" i="8"/>
  <c r="W520" i="8"/>
  <c r="W521" i="8"/>
  <c r="W522" i="8"/>
  <c r="W523" i="8"/>
  <c r="W524" i="8"/>
  <c r="Y524" i="8" s="1"/>
  <c r="W525" i="8"/>
  <c r="W526" i="8"/>
  <c r="W527" i="8"/>
  <c r="W528" i="8"/>
  <c r="W529" i="8"/>
  <c r="W530" i="8"/>
  <c r="W531" i="8"/>
  <c r="W532" i="8"/>
  <c r="W3" i="8"/>
  <c r="W2" i="8"/>
  <c r="Y461" i="8" l="1"/>
  <c r="AA461" i="8" s="1"/>
  <c r="Y542" i="8"/>
  <c r="AA542" i="8" s="1"/>
  <c r="D542" i="8"/>
  <c r="Y541" i="8"/>
  <c r="AA541" i="8" s="1"/>
  <c r="D541" i="8"/>
  <c r="D455" i="8"/>
  <c r="Y455" i="8"/>
  <c r="AA455" i="8" s="1"/>
  <c r="Y540" i="8"/>
  <c r="AA540" i="8" s="1"/>
  <c r="Y539" i="8"/>
  <c r="AA539" i="8" s="1"/>
  <c r="D539" i="8"/>
  <c r="Y538" i="8"/>
  <c r="AA538" i="8" s="1"/>
  <c r="D538" i="8"/>
  <c r="Y537" i="8"/>
  <c r="AA537" i="8" s="1"/>
  <c r="D537" i="8"/>
  <c r="AA388" i="8"/>
  <c r="Y536" i="8"/>
  <c r="AA536" i="8" s="1"/>
  <c r="Y535" i="8"/>
  <c r="AA535" i="8" s="1"/>
  <c r="D535" i="8"/>
  <c r="D534" i="8"/>
  <c r="Y534" i="8"/>
  <c r="AA534" i="8" s="1"/>
  <c r="Y533" i="8"/>
  <c r="AA533" i="8" s="1"/>
  <c r="D533" i="8"/>
  <c r="A3" i="8" a="1"/>
  <c r="A3" i="8" s="1"/>
  <c r="AT532" i="8" a="1"/>
  <c r="AT532" i="8" s="1"/>
  <c r="AS532" i="8"/>
  <c r="AP532" i="8"/>
  <c r="AM532" i="8"/>
  <c r="AJ532" i="8"/>
  <c r="AG532" i="8"/>
  <c r="AD532" i="8"/>
  <c r="X532" i="8" a="1"/>
  <c r="X532" i="8" s="1"/>
  <c r="Y532" i="8" s="1"/>
  <c r="V532" i="8"/>
  <c r="R532" i="8"/>
  <c r="N532" i="8" a="1"/>
  <c r="N532" i="8" s="1"/>
  <c r="O532" i="8" s="1"/>
  <c r="L532" i="8"/>
  <c r="H532" i="8"/>
  <c r="C532" i="8" a="1"/>
  <c r="C532" i="8" s="1"/>
  <c r="AT531" i="8" a="1"/>
  <c r="AT531" i="8" s="1"/>
  <c r="AS531" i="8"/>
  <c r="AP531" i="8"/>
  <c r="AM531" i="8"/>
  <c r="AJ531" i="8"/>
  <c r="AG531" i="8"/>
  <c r="AD531" i="8"/>
  <c r="X531" i="8" a="1"/>
  <c r="X531" i="8" s="1"/>
  <c r="Y531" i="8" s="1"/>
  <c r="AA531" i="8" s="1"/>
  <c r="R531" i="8"/>
  <c r="N531" i="8" a="1"/>
  <c r="N531" i="8" s="1"/>
  <c r="O531" i="8" s="1"/>
  <c r="L531" i="8"/>
  <c r="H531" i="8"/>
  <c r="C531" i="8" a="1"/>
  <c r="C531" i="8" s="1"/>
  <c r="AT530" i="8" a="1"/>
  <c r="AT530" i="8" s="1"/>
  <c r="AS530" i="8"/>
  <c r="AP530" i="8"/>
  <c r="AM530" i="8"/>
  <c r="AJ530" i="8"/>
  <c r="AG530" i="8"/>
  <c r="AD530" i="8"/>
  <c r="X530" i="8" a="1"/>
  <c r="X530" i="8" s="1"/>
  <c r="Y530" i="8" s="1"/>
  <c r="AA530" i="8" s="1"/>
  <c r="R530" i="8"/>
  <c r="N530" i="8" a="1"/>
  <c r="N530" i="8" s="1"/>
  <c r="O530" i="8" s="1"/>
  <c r="K530" i="8"/>
  <c r="L530" i="8" s="1"/>
  <c r="H530" i="8"/>
  <c r="C530" i="8" a="1"/>
  <c r="C530" i="8" s="1"/>
  <c r="A530" i="8" a="1"/>
  <c r="A530" i="8" s="1"/>
  <c r="AT529" i="8" a="1"/>
  <c r="AT529" i="8" s="1"/>
  <c r="AS529" i="8"/>
  <c r="AP529" i="8"/>
  <c r="AM529" i="8"/>
  <c r="AJ529" i="8"/>
  <c r="AG529" i="8"/>
  <c r="AD529" i="8"/>
  <c r="X529" i="8" a="1"/>
  <c r="X529" i="8" s="1"/>
  <c r="Y529" i="8" s="1"/>
  <c r="AA529" i="8" s="1"/>
  <c r="R529" i="8"/>
  <c r="N529" i="8" a="1"/>
  <c r="N529" i="8" s="1"/>
  <c r="O529" i="8" s="1"/>
  <c r="K529" i="8"/>
  <c r="L529" i="8" s="1"/>
  <c r="H529" i="8"/>
  <c r="C529" i="8" a="1"/>
  <c r="C529" i="8" s="1"/>
  <c r="A529" i="8" a="1"/>
  <c r="A529" i="8" s="1"/>
  <c r="AT528" i="8" a="1"/>
  <c r="AT528" i="8" s="1"/>
  <c r="AS528" i="8"/>
  <c r="AP528" i="8"/>
  <c r="AM528" i="8"/>
  <c r="AJ528" i="8"/>
  <c r="AG528" i="8"/>
  <c r="AD528" i="8"/>
  <c r="X528" i="8" a="1"/>
  <c r="X528" i="8" s="1"/>
  <c r="Y528" i="8" s="1"/>
  <c r="AA528" i="8" s="1"/>
  <c r="R528" i="8"/>
  <c r="N528" i="8" a="1"/>
  <c r="N528" i="8" s="1"/>
  <c r="O528" i="8" s="1"/>
  <c r="K528" i="8"/>
  <c r="L528" i="8" s="1"/>
  <c r="H528" i="8"/>
  <c r="C528" i="8" a="1"/>
  <c r="C528" i="8" s="1"/>
  <c r="A528" i="8" a="1"/>
  <c r="A528" i="8" s="1"/>
  <c r="AT527" i="8" a="1"/>
  <c r="AT527" i="8" s="1"/>
  <c r="AS527" i="8"/>
  <c r="AP527" i="8"/>
  <c r="AM527" i="8"/>
  <c r="AJ527" i="8"/>
  <c r="AG527" i="8"/>
  <c r="AD527" i="8"/>
  <c r="X527" i="8" a="1"/>
  <c r="X527" i="8" s="1"/>
  <c r="Y527" i="8" s="1"/>
  <c r="AA527" i="8" s="1"/>
  <c r="R527" i="8"/>
  <c r="N527" i="8" a="1"/>
  <c r="N527" i="8" s="1"/>
  <c r="O527" i="8" s="1"/>
  <c r="K527" i="8"/>
  <c r="L527" i="8" s="1"/>
  <c r="H527" i="8"/>
  <c r="C527" i="8" a="1"/>
  <c r="C527" i="8" s="1"/>
  <c r="A527" i="8" a="1"/>
  <c r="A527" i="8" s="1"/>
  <c r="AT526" i="8" a="1"/>
  <c r="AT526" i="8" s="1"/>
  <c r="AS526" i="8"/>
  <c r="AP526" i="8"/>
  <c r="AM526" i="8"/>
  <c r="AJ526" i="8"/>
  <c r="AG526" i="8"/>
  <c r="AD526" i="8"/>
  <c r="X526" i="8" a="1"/>
  <c r="X526" i="8" s="1"/>
  <c r="Y526" i="8" s="1"/>
  <c r="V526" i="8"/>
  <c r="R526" i="8"/>
  <c r="N526" i="8" a="1"/>
  <c r="N526" i="8" s="1"/>
  <c r="O526" i="8" s="1"/>
  <c r="L526" i="8"/>
  <c r="H526" i="8"/>
  <c r="C526" i="8" a="1"/>
  <c r="C526" i="8" s="1"/>
  <c r="A526" i="8" a="1"/>
  <c r="A526" i="8" s="1"/>
  <c r="AT525" i="8" a="1"/>
  <c r="AT525" i="8" s="1"/>
  <c r="AS525" i="8"/>
  <c r="AP525" i="8"/>
  <c r="AM525" i="8"/>
  <c r="AJ525" i="8"/>
  <c r="AG525" i="8"/>
  <c r="AD525" i="8"/>
  <c r="X525" i="8" a="1"/>
  <c r="X525" i="8" s="1"/>
  <c r="Y525" i="8" s="1"/>
  <c r="V525" i="8"/>
  <c r="R525" i="8"/>
  <c r="N525" i="8" a="1"/>
  <c r="N525" i="8" s="1"/>
  <c r="O525" i="8" s="1"/>
  <c r="L525" i="8"/>
  <c r="H525" i="8"/>
  <c r="C525" i="8" a="1"/>
  <c r="C525" i="8" s="1"/>
  <c r="A525" i="8" a="1"/>
  <c r="A525" i="8" s="1"/>
  <c r="AT524" i="8" a="1"/>
  <c r="AT524" i="8" s="1"/>
  <c r="AS524" i="8"/>
  <c r="AP524" i="8"/>
  <c r="AM524" i="8"/>
  <c r="AJ524" i="8"/>
  <c r="AG524" i="8"/>
  <c r="AD524" i="8"/>
  <c r="V524" i="8"/>
  <c r="AA524" i="8" s="1"/>
  <c r="R524" i="8"/>
  <c r="N524" i="8" a="1"/>
  <c r="N524" i="8" s="1"/>
  <c r="O524" i="8" s="1"/>
  <c r="L524" i="8"/>
  <c r="H524" i="8"/>
  <c r="D524" i="8"/>
  <c r="C524" i="8" a="1"/>
  <c r="C524" i="8" s="1"/>
  <c r="A524" i="8" a="1"/>
  <c r="A524" i="8" s="1"/>
  <c r="AT523" i="8" a="1"/>
  <c r="AT523" i="8" s="1"/>
  <c r="AS523" i="8"/>
  <c r="AP523" i="8"/>
  <c r="AM523" i="8"/>
  <c r="AJ523" i="8"/>
  <c r="AG523" i="8"/>
  <c r="AD523" i="8"/>
  <c r="X523" i="8" a="1"/>
  <c r="X523" i="8" s="1"/>
  <c r="Y523" i="8" s="1"/>
  <c r="V523" i="8"/>
  <c r="R523" i="8"/>
  <c r="N523" i="8" a="1"/>
  <c r="N523" i="8" s="1"/>
  <c r="O523" i="8" s="1"/>
  <c r="L523" i="8"/>
  <c r="H523" i="8"/>
  <c r="C523" i="8" a="1"/>
  <c r="C523" i="8" s="1"/>
  <c r="A523" i="8" a="1"/>
  <c r="A523" i="8" s="1"/>
  <c r="AT522" i="8" a="1"/>
  <c r="AT522" i="8" s="1"/>
  <c r="AS522" i="8"/>
  <c r="AP522" i="8"/>
  <c r="AM522" i="8"/>
  <c r="AJ522" i="8"/>
  <c r="AG522" i="8"/>
  <c r="AD522" i="8"/>
  <c r="X522" i="8" a="1"/>
  <c r="X522" i="8" s="1"/>
  <c r="Y522" i="8" s="1"/>
  <c r="V522" i="8"/>
  <c r="R522" i="8"/>
  <c r="N522" i="8" a="1"/>
  <c r="N522" i="8" s="1"/>
  <c r="O522" i="8" s="1"/>
  <c r="L522" i="8"/>
  <c r="H522" i="8"/>
  <c r="C522" i="8" a="1"/>
  <c r="C522" i="8" s="1"/>
  <c r="A522" i="8" a="1"/>
  <c r="A522" i="8" s="1"/>
  <c r="AT521" i="8" a="1"/>
  <c r="AT521" i="8" s="1"/>
  <c r="AS521" i="8"/>
  <c r="AP521" i="8"/>
  <c r="AM521" i="8"/>
  <c r="AJ521" i="8"/>
  <c r="AG521" i="8"/>
  <c r="AD521" i="8"/>
  <c r="X521" i="8" a="1"/>
  <c r="X521" i="8" s="1"/>
  <c r="Y521" i="8" s="1"/>
  <c r="V521" i="8"/>
  <c r="R521" i="8"/>
  <c r="N521" i="8" a="1"/>
  <c r="N521" i="8" s="1"/>
  <c r="O521" i="8" s="1"/>
  <c r="L521" i="8"/>
  <c r="H521" i="8"/>
  <c r="C521" i="8" a="1"/>
  <c r="C521" i="8" s="1"/>
  <c r="A521" i="8" a="1"/>
  <c r="A521" i="8" s="1"/>
  <c r="AT520" i="8" a="1"/>
  <c r="AT520" i="8" s="1"/>
  <c r="AS520" i="8"/>
  <c r="AP520" i="8"/>
  <c r="AM520" i="8"/>
  <c r="AJ520" i="8"/>
  <c r="AG520" i="8"/>
  <c r="AD520" i="8"/>
  <c r="X520" i="8" a="1"/>
  <c r="X520" i="8" s="1"/>
  <c r="Y520" i="8" s="1"/>
  <c r="V520" i="8"/>
  <c r="R520" i="8"/>
  <c r="N520" i="8" a="1"/>
  <c r="N520" i="8" s="1"/>
  <c r="O520" i="8" s="1"/>
  <c r="L520" i="8"/>
  <c r="H520" i="8"/>
  <c r="C520" i="8" a="1"/>
  <c r="C520" i="8" s="1"/>
  <c r="A520" i="8" a="1"/>
  <c r="A520" i="8" s="1"/>
  <c r="AT519" i="8" a="1"/>
  <c r="AT519" i="8" s="1"/>
  <c r="AS519" i="8"/>
  <c r="AP519" i="8"/>
  <c r="AM519" i="8"/>
  <c r="AJ519" i="8"/>
  <c r="AG519" i="8"/>
  <c r="AD519" i="8"/>
  <c r="X519" i="8" a="1"/>
  <c r="X519" i="8" s="1"/>
  <c r="Y519" i="8" s="1"/>
  <c r="V519" i="8"/>
  <c r="R519" i="8"/>
  <c r="N519" i="8" a="1"/>
  <c r="N519" i="8" s="1"/>
  <c r="O519" i="8" s="1"/>
  <c r="L519" i="8"/>
  <c r="H519" i="8"/>
  <c r="C519" i="8" a="1"/>
  <c r="C519" i="8" s="1"/>
  <c r="A519" i="8" a="1"/>
  <c r="A519" i="8" s="1"/>
  <c r="AT518" i="8" a="1"/>
  <c r="AT518" i="8" s="1"/>
  <c r="AS518" i="8"/>
  <c r="AP518" i="8"/>
  <c r="AM518" i="8"/>
  <c r="AJ518" i="8"/>
  <c r="AG518" i="8"/>
  <c r="AD518" i="8"/>
  <c r="X518" i="8" a="1"/>
  <c r="X518" i="8" s="1"/>
  <c r="Y518" i="8" s="1"/>
  <c r="V518" i="8"/>
  <c r="R518" i="8"/>
  <c r="N518" i="8" a="1"/>
  <c r="N518" i="8" s="1"/>
  <c r="O518" i="8" s="1"/>
  <c r="L518" i="8"/>
  <c r="H518" i="8"/>
  <c r="C518" i="8" a="1"/>
  <c r="C518" i="8" s="1"/>
  <c r="A518" i="8" a="1"/>
  <c r="A518" i="8" s="1"/>
  <c r="AT517" i="8" a="1"/>
  <c r="AT517" i="8" s="1"/>
  <c r="AS517" i="8"/>
  <c r="AP517" i="8"/>
  <c r="AM517" i="8"/>
  <c r="AJ517" i="8"/>
  <c r="AG517" i="8"/>
  <c r="AD517" i="8"/>
  <c r="X517" i="8" a="1"/>
  <c r="X517" i="8" s="1"/>
  <c r="Y517" i="8" s="1"/>
  <c r="V517" i="8"/>
  <c r="R517" i="8"/>
  <c r="N517" i="8" a="1"/>
  <c r="N517" i="8" s="1"/>
  <c r="O517" i="8" s="1"/>
  <c r="L517" i="8"/>
  <c r="H517" i="8"/>
  <c r="C517" i="8" a="1"/>
  <c r="C517" i="8" s="1"/>
  <c r="A517" i="8" a="1"/>
  <c r="A517" i="8" s="1"/>
  <c r="AT516" i="8" a="1"/>
  <c r="AT516" i="8" s="1"/>
  <c r="AS516" i="8"/>
  <c r="AP516" i="8"/>
  <c r="AM516" i="8"/>
  <c r="AJ516" i="8"/>
  <c r="AG516" i="8"/>
  <c r="AD516" i="8"/>
  <c r="V516" i="8"/>
  <c r="AA516" i="8" s="1"/>
  <c r="R516" i="8"/>
  <c r="N516" i="8" a="1"/>
  <c r="N516" i="8" s="1"/>
  <c r="O516" i="8" s="1"/>
  <c r="L516" i="8"/>
  <c r="H516" i="8"/>
  <c r="D516" i="8"/>
  <c r="C516" i="8" a="1"/>
  <c r="C516" i="8" s="1"/>
  <c r="A516" i="8" a="1"/>
  <c r="A516" i="8" s="1"/>
  <c r="AT515" i="8" a="1"/>
  <c r="AT515" i="8" s="1"/>
  <c r="AS515" i="8"/>
  <c r="AP515" i="8"/>
  <c r="AM515" i="8"/>
  <c r="AJ515" i="8"/>
  <c r="AG515" i="8"/>
  <c r="AD515" i="8"/>
  <c r="X515" i="8" a="1"/>
  <c r="X515" i="8" s="1"/>
  <c r="Y515" i="8" s="1"/>
  <c r="AA515" i="8" s="1"/>
  <c r="R515" i="8"/>
  <c r="N515" i="8" a="1"/>
  <c r="N515" i="8" s="1"/>
  <c r="O515" i="8" s="1"/>
  <c r="L515" i="8"/>
  <c r="H515" i="8"/>
  <c r="C515" i="8" a="1"/>
  <c r="C515" i="8" s="1"/>
  <c r="A515" i="8" a="1"/>
  <c r="A515" i="8" s="1"/>
  <c r="AT514" i="8" a="1"/>
  <c r="AT514" i="8" s="1"/>
  <c r="AS514" i="8"/>
  <c r="AP514" i="8"/>
  <c r="AM514" i="8"/>
  <c r="AJ514" i="8"/>
  <c r="AG514" i="8"/>
  <c r="AD514" i="8"/>
  <c r="X514" i="8" a="1"/>
  <c r="X514" i="8" s="1"/>
  <c r="Y514" i="8" s="1"/>
  <c r="V514" i="8"/>
  <c r="R514" i="8"/>
  <c r="N514" i="8" a="1"/>
  <c r="N514" i="8" s="1"/>
  <c r="O514" i="8" s="1"/>
  <c r="L514" i="8"/>
  <c r="H514" i="8"/>
  <c r="C514" i="8" a="1"/>
  <c r="C514" i="8" s="1"/>
  <c r="A514" i="8" a="1"/>
  <c r="A514" i="8" s="1"/>
  <c r="AT513" i="8" a="1"/>
  <c r="AT513" i="8" s="1"/>
  <c r="AS513" i="8"/>
  <c r="AP513" i="8"/>
  <c r="AM513" i="8"/>
  <c r="AJ513" i="8"/>
  <c r="AG513" i="8"/>
  <c r="AD513" i="8"/>
  <c r="X513" i="8" a="1"/>
  <c r="X513" i="8" s="1"/>
  <c r="Y513" i="8" s="1"/>
  <c r="V513" i="8"/>
  <c r="R513" i="8"/>
  <c r="N513" i="8" a="1"/>
  <c r="N513" i="8" s="1"/>
  <c r="O513" i="8" s="1"/>
  <c r="L513" i="8"/>
  <c r="H513" i="8"/>
  <c r="C513" i="8" a="1"/>
  <c r="C513" i="8" s="1"/>
  <c r="A513" i="8" a="1"/>
  <c r="A513" i="8" s="1"/>
  <c r="AT512" i="8" a="1"/>
  <c r="AT512" i="8" s="1"/>
  <c r="AS512" i="8"/>
  <c r="AP512" i="8"/>
  <c r="AM512" i="8"/>
  <c r="AJ512" i="8"/>
  <c r="AG512" i="8"/>
  <c r="AD512" i="8"/>
  <c r="X512" i="8" a="1"/>
  <c r="X512" i="8" s="1"/>
  <c r="Y512" i="8" s="1"/>
  <c r="V512" i="8"/>
  <c r="R512" i="8"/>
  <c r="N512" i="8" a="1"/>
  <c r="N512" i="8" s="1"/>
  <c r="O512" i="8" s="1"/>
  <c r="L512" i="8"/>
  <c r="H512" i="8"/>
  <c r="C512" i="8" a="1"/>
  <c r="C512" i="8" s="1"/>
  <c r="A512" i="8" a="1"/>
  <c r="A512" i="8" s="1"/>
  <c r="AT511" i="8" a="1"/>
  <c r="AT511" i="8" s="1"/>
  <c r="AS511" i="8"/>
  <c r="AP511" i="8"/>
  <c r="AM511" i="8"/>
  <c r="AJ511" i="8"/>
  <c r="AG511" i="8"/>
  <c r="AD511" i="8"/>
  <c r="X511" i="8" a="1"/>
  <c r="X511" i="8" s="1"/>
  <c r="Y511" i="8" s="1"/>
  <c r="V511" i="8"/>
  <c r="R511" i="8"/>
  <c r="N511" i="8" a="1"/>
  <c r="N511" i="8" s="1"/>
  <c r="O511" i="8" s="1"/>
  <c r="L511" i="8"/>
  <c r="H511" i="8"/>
  <c r="C511" i="8" a="1"/>
  <c r="C511" i="8" s="1"/>
  <c r="A511" i="8" a="1"/>
  <c r="A511" i="8" s="1"/>
  <c r="AT510" i="8" a="1"/>
  <c r="AT510" i="8" s="1"/>
  <c r="AS510" i="8"/>
  <c r="AP510" i="8"/>
  <c r="AM510" i="8"/>
  <c r="AJ510" i="8"/>
  <c r="AG510" i="8"/>
  <c r="AD510" i="8"/>
  <c r="X510" i="8" a="1"/>
  <c r="X510" i="8" s="1"/>
  <c r="Y510" i="8" s="1"/>
  <c r="V510" i="8"/>
  <c r="R510" i="8"/>
  <c r="N510" i="8" a="1"/>
  <c r="N510" i="8" s="1"/>
  <c r="O510" i="8" s="1"/>
  <c r="L510" i="8"/>
  <c r="H510" i="8"/>
  <c r="C510" i="8" a="1"/>
  <c r="C510" i="8" s="1"/>
  <c r="A510" i="8" a="1"/>
  <c r="A510" i="8" s="1"/>
  <c r="AT509" i="8" a="1"/>
  <c r="AT509" i="8" s="1"/>
  <c r="AS509" i="8"/>
  <c r="AP509" i="8"/>
  <c r="AM509" i="8"/>
  <c r="AJ509" i="8"/>
  <c r="AG509" i="8"/>
  <c r="AD509" i="8"/>
  <c r="X509" i="8" a="1"/>
  <c r="X509" i="8" s="1"/>
  <c r="Y509" i="8" s="1"/>
  <c r="V509" i="8"/>
  <c r="R509" i="8"/>
  <c r="N509" i="8" a="1"/>
  <c r="N509" i="8" s="1"/>
  <c r="O509" i="8" s="1"/>
  <c r="L509" i="8"/>
  <c r="H509" i="8"/>
  <c r="C509" i="8" a="1"/>
  <c r="C509" i="8" s="1"/>
  <c r="A509" i="8" a="1"/>
  <c r="A509" i="8" s="1"/>
  <c r="AT508" i="8" a="1"/>
  <c r="AT508" i="8" s="1"/>
  <c r="AS508" i="8"/>
  <c r="AP508" i="8"/>
  <c r="AM508" i="8"/>
  <c r="AJ508" i="8"/>
  <c r="AG508" i="8"/>
  <c r="AD508" i="8"/>
  <c r="X508" i="8" a="1"/>
  <c r="X508" i="8" s="1"/>
  <c r="Y508" i="8" s="1"/>
  <c r="AA508" i="8" s="1"/>
  <c r="R508" i="8"/>
  <c r="N508" i="8" a="1"/>
  <c r="N508" i="8" s="1"/>
  <c r="O508" i="8" s="1"/>
  <c r="L508" i="8"/>
  <c r="H508" i="8"/>
  <c r="C508" i="8" a="1"/>
  <c r="C508" i="8" s="1"/>
  <c r="A508" i="8" a="1"/>
  <c r="A508" i="8" s="1"/>
  <c r="AT507" i="8" a="1"/>
  <c r="AT507" i="8" s="1"/>
  <c r="AS507" i="8"/>
  <c r="AP507" i="8"/>
  <c r="AM507" i="8"/>
  <c r="AJ507" i="8"/>
  <c r="AG507" i="8"/>
  <c r="AD507" i="8"/>
  <c r="X507" i="8" a="1"/>
  <c r="X507" i="8" s="1"/>
  <c r="Y507" i="8" s="1"/>
  <c r="AA507" i="8" s="1"/>
  <c r="R507" i="8"/>
  <c r="N507" i="8" a="1"/>
  <c r="N507" i="8" s="1"/>
  <c r="O507" i="8" s="1"/>
  <c r="L507" i="8"/>
  <c r="H507" i="8"/>
  <c r="C507" i="8" a="1"/>
  <c r="C507" i="8" s="1"/>
  <c r="A507" i="8" a="1"/>
  <c r="A507" i="8" s="1"/>
  <c r="AT506" i="8" a="1"/>
  <c r="AT506" i="8" s="1"/>
  <c r="AS506" i="8"/>
  <c r="AP506" i="8"/>
  <c r="AM506" i="8"/>
  <c r="AJ506" i="8"/>
  <c r="AG506" i="8"/>
  <c r="AD506" i="8"/>
  <c r="X506" i="8" a="1"/>
  <c r="X506" i="8" s="1"/>
  <c r="Y506" i="8" s="1"/>
  <c r="AA506" i="8" s="1"/>
  <c r="R506" i="8"/>
  <c r="N506" i="8" a="1"/>
  <c r="N506" i="8" s="1"/>
  <c r="O506" i="8" s="1"/>
  <c r="L506" i="8"/>
  <c r="H506" i="8"/>
  <c r="C506" i="8" a="1"/>
  <c r="C506" i="8" s="1"/>
  <c r="A506" i="8" a="1"/>
  <c r="A506" i="8" s="1"/>
  <c r="AT505" i="8" a="1"/>
  <c r="AT505" i="8" s="1"/>
  <c r="AS505" i="8"/>
  <c r="AP505" i="8"/>
  <c r="AM505" i="8"/>
  <c r="AJ505" i="8"/>
  <c r="AG505" i="8"/>
  <c r="AD505" i="8"/>
  <c r="X505" i="8" a="1"/>
  <c r="X505" i="8" s="1"/>
  <c r="Y505" i="8" s="1"/>
  <c r="AA505" i="8" s="1"/>
  <c r="R505" i="8"/>
  <c r="N505" i="8" a="1"/>
  <c r="N505" i="8" s="1"/>
  <c r="O505" i="8" s="1"/>
  <c r="L505" i="8"/>
  <c r="H505" i="8"/>
  <c r="C505" i="8" a="1"/>
  <c r="C505" i="8" s="1"/>
  <c r="A505" i="8" a="1"/>
  <c r="A505" i="8" s="1"/>
  <c r="AT504" i="8" a="1"/>
  <c r="AT504" i="8" s="1"/>
  <c r="AS504" i="8"/>
  <c r="AP504" i="8"/>
  <c r="AM504" i="8"/>
  <c r="AJ504" i="8"/>
  <c r="AG504" i="8"/>
  <c r="AD504" i="8"/>
  <c r="X504" i="8" a="1"/>
  <c r="X504" i="8" s="1"/>
  <c r="Y504" i="8" s="1"/>
  <c r="AA504" i="8" s="1"/>
  <c r="R504" i="8"/>
  <c r="N504" i="8" a="1"/>
  <c r="N504" i="8" s="1"/>
  <c r="O504" i="8" s="1"/>
  <c r="K504" i="8"/>
  <c r="L504" i="8" s="1"/>
  <c r="H504" i="8"/>
  <c r="C504" i="8" a="1"/>
  <c r="C504" i="8" s="1"/>
  <c r="A504" i="8" a="1"/>
  <c r="A504" i="8" s="1"/>
  <c r="AT503" i="8" a="1"/>
  <c r="AT503" i="8" s="1"/>
  <c r="AS503" i="8"/>
  <c r="AP503" i="8"/>
  <c r="AM503" i="8"/>
  <c r="AJ503" i="8"/>
  <c r="AG503" i="8"/>
  <c r="AD503" i="8"/>
  <c r="X503" i="8" a="1"/>
  <c r="X503" i="8" s="1"/>
  <c r="Y503" i="8" s="1"/>
  <c r="AA503" i="8" s="1"/>
  <c r="R503" i="8"/>
  <c r="N503" i="8" a="1"/>
  <c r="N503" i="8" s="1"/>
  <c r="O503" i="8" s="1"/>
  <c r="K503" i="8"/>
  <c r="L503" i="8" s="1"/>
  <c r="H503" i="8"/>
  <c r="C503" i="8" a="1"/>
  <c r="C503" i="8" s="1"/>
  <c r="A503" i="8" a="1"/>
  <c r="A503" i="8" s="1"/>
  <c r="AT502" i="8" a="1"/>
  <c r="AT502" i="8" s="1"/>
  <c r="AS502" i="8"/>
  <c r="AP502" i="8"/>
  <c r="AM502" i="8"/>
  <c r="AJ502" i="8"/>
  <c r="AG502" i="8"/>
  <c r="AD502" i="8"/>
  <c r="X502" i="8" a="1"/>
  <c r="X502" i="8" s="1"/>
  <c r="Y502" i="8" s="1"/>
  <c r="V502" i="8"/>
  <c r="R502" i="8"/>
  <c r="N502" i="8" a="1"/>
  <c r="N502" i="8" s="1"/>
  <c r="O502" i="8" s="1"/>
  <c r="L502" i="8"/>
  <c r="H502" i="8"/>
  <c r="C502" i="8" a="1"/>
  <c r="C502" i="8" s="1"/>
  <c r="A502" i="8" a="1"/>
  <c r="A502" i="8" s="1"/>
  <c r="AT501" i="8" a="1"/>
  <c r="AT501" i="8" s="1"/>
  <c r="AS501" i="8"/>
  <c r="AP501" i="8"/>
  <c r="AM501" i="8"/>
  <c r="AJ501" i="8"/>
  <c r="AG501" i="8"/>
  <c r="AD501" i="8"/>
  <c r="X501" i="8" a="1"/>
  <c r="X501" i="8" s="1"/>
  <c r="Y501" i="8" s="1"/>
  <c r="V501" i="8"/>
  <c r="R501" i="8"/>
  <c r="N501" i="8" a="1"/>
  <c r="N501" i="8" s="1"/>
  <c r="O501" i="8" s="1"/>
  <c r="L501" i="8"/>
  <c r="H501" i="8"/>
  <c r="AT500" i="8" a="1"/>
  <c r="AT500" i="8" s="1"/>
  <c r="AS500" i="8"/>
  <c r="AP500" i="8"/>
  <c r="AM500" i="8"/>
  <c r="AJ500" i="8"/>
  <c r="AG500" i="8"/>
  <c r="AD500" i="8"/>
  <c r="X500" i="8" a="1"/>
  <c r="X500" i="8" s="1"/>
  <c r="Y500" i="8" s="1"/>
  <c r="AA500" i="8" s="1"/>
  <c r="R500" i="8"/>
  <c r="N500" i="8" a="1"/>
  <c r="N500" i="8" s="1"/>
  <c r="O500" i="8" s="1"/>
  <c r="L500" i="8"/>
  <c r="H500" i="8"/>
  <c r="C500" i="8" a="1"/>
  <c r="C500" i="8" s="1"/>
  <c r="A500" i="8" a="1"/>
  <c r="A500" i="8" s="1"/>
  <c r="AT499" i="8" a="1"/>
  <c r="AT499" i="8" s="1"/>
  <c r="AS499" i="8"/>
  <c r="AP499" i="8"/>
  <c r="AM499" i="8"/>
  <c r="AJ499" i="8"/>
  <c r="AG499" i="8"/>
  <c r="AD499" i="8"/>
  <c r="X499" i="8" a="1"/>
  <c r="X499" i="8" s="1"/>
  <c r="Y499" i="8" s="1"/>
  <c r="V499" i="8"/>
  <c r="R499" i="8"/>
  <c r="N499" i="8" a="1"/>
  <c r="N499" i="8" s="1"/>
  <c r="O499" i="8" s="1"/>
  <c r="L499" i="8"/>
  <c r="H499" i="8"/>
  <c r="C499" i="8" a="1"/>
  <c r="C499" i="8" s="1"/>
  <c r="A499" i="8" a="1"/>
  <c r="A499" i="8" s="1"/>
  <c r="AT498" i="8" a="1"/>
  <c r="AT498" i="8" s="1"/>
  <c r="AS498" i="8"/>
  <c r="AP498" i="8"/>
  <c r="AM498" i="8"/>
  <c r="AJ498" i="8"/>
  <c r="AG498" i="8"/>
  <c r="AD498" i="8"/>
  <c r="X498" i="8" a="1"/>
  <c r="X498" i="8" s="1"/>
  <c r="Y498" i="8" s="1"/>
  <c r="AA498" i="8" s="1"/>
  <c r="R498" i="8"/>
  <c r="N498" i="8" a="1"/>
  <c r="N498" i="8" s="1"/>
  <c r="O498" i="8" s="1"/>
  <c r="L498" i="8"/>
  <c r="H498" i="8"/>
  <c r="C498" i="8" a="1"/>
  <c r="C498" i="8" s="1"/>
  <c r="A498" i="8" a="1"/>
  <c r="A498" i="8" s="1"/>
  <c r="AT497" i="8" a="1"/>
  <c r="AT497" i="8" s="1"/>
  <c r="AS497" i="8"/>
  <c r="AP497" i="8"/>
  <c r="AM497" i="8"/>
  <c r="AJ497" i="8"/>
  <c r="AG497" i="8"/>
  <c r="AD497" i="8"/>
  <c r="X497" i="8" a="1"/>
  <c r="X497" i="8" s="1"/>
  <c r="Y497" i="8" s="1"/>
  <c r="V497" i="8"/>
  <c r="R497" i="8"/>
  <c r="N497" i="8" a="1"/>
  <c r="N497" i="8" s="1"/>
  <c r="O497" i="8" s="1"/>
  <c r="L497" i="8"/>
  <c r="H497" i="8"/>
  <c r="C497" i="8" a="1"/>
  <c r="C497" i="8" s="1"/>
  <c r="A497" i="8" a="1"/>
  <c r="A497" i="8" s="1"/>
  <c r="AT496" i="8" a="1"/>
  <c r="AT496" i="8" s="1"/>
  <c r="AS496" i="8"/>
  <c r="AP496" i="8"/>
  <c r="AM496" i="8"/>
  <c r="AJ496" i="8"/>
  <c r="AG496" i="8"/>
  <c r="AD496" i="8"/>
  <c r="X496" i="8" a="1"/>
  <c r="X496" i="8" s="1"/>
  <c r="Y496" i="8" s="1"/>
  <c r="V496" i="8"/>
  <c r="R496" i="8"/>
  <c r="N496" i="8" a="1"/>
  <c r="N496" i="8" s="1"/>
  <c r="O496" i="8" s="1"/>
  <c r="L496" i="8"/>
  <c r="H496" i="8"/>
  <c r="C496" i="8" a="1"/>
  <c r="C496" i="8" s="1"/>
  <c r="A496" i="8" a="1"/>
  <c r="A496" i="8" s="1"/>
  <c r="AT495" i="8" a="1"/>
  <c r="AT495" i="8" s="1"/>
  <c r="AS495" i="8"/>
  <c r="AP495" i="8"/>
  <c r="AM495" i="8"/>
  <c r="AJ495" i="8"/>
  <c r="AG495" i="8"/>
  <c r="AD495" i="8"/>
  <c r="X495" i="8" a="1"/>
  <c r="X495" i="8" s="1"/>
  <c r="Y495" i="8" s="1"/>
  <c r="V495" i="8"/>
  <c r="R495" i="8"/>
  <c r="N495" i="8" a="1"/>
  <c r="N495" i="8" s="1"/>
  <c r="O495" i="8" s="1"/>
  <c r="L495" i="8"/>
  <c r="H495" i="8"/>
  <c r="C495" i="8" a="1"/>
  <c r="C495" i="8" s="1"/>
  <c r="A495" i="8" a="1"/>
  <c r="A495" i="8" s="1"/>
  <c r="AT494" i="8" a="1"/>
  <c r="AT494" i="8" s="1"/>
  <c r="AS494" i="8"/>
  <c r="AP494" i="8"/>
  <c r="AM494" i="8"/>
  <c r="AJ494" i="8"/>
  <c r="AG494" i="8"/>
  <c r="AD494" i="8"/>
  <c r="X494" i="8" a="1"/>
  <c r="X494" i="8" s="1"/>
  <c r="Y494" i="8" s="1"/>
  <c r="V494" i="8"/>
  <c r="R494" i="8"/>
  <c r="N494" i="8" a="1"/>
  <c r="N494" i="8" s="1"/>
  <c r="O494" i="8" s="1"/>
  <c r="L494" i="8"/>
  <c r="H494" i="8"/>
  <c r="C494" i="8" a="1"/>
  <c r="C494" i="8" s="1"/>
  <c r="A494" i="8" a="1"/>
  <c r="A494" i="8" s="1"/>
  <c r="AT493" i="8" a="1"/>
  <c r="AT493" i="8" s="1"/>
  <c r="AS493" i="8"/>
  <c r="AP493" i="8"/>
  <c r="AM493" i="8"/>
  <c r="AJ493" i="8"/>
  <c r="AG493" i="8"/>
  <c r="AD493" i="8"/>
  <c r="X493" i="8" a="1"/>
  <c r="X493" i="8" s="1"/>
  <c r="Y493" i="8" s="1"/>
  <c r="V493" i="8"/>
  <c r="R493" i="8"/>
  <c r="N493" i="8" a="1"/>
  <c r="N493" i="8" s="1"/>
  <c r="O493" i="8" s="1"/>
  <c r="L493" i="8"/>
  <c r="H493" i="8"/>
  <c r="C493" i="8" a="1"/>
  <c r="C493" i="8" s="1"/>
  <c r="A493" i="8" a="1"/>
  <c r="A493" i="8" s="1"/>
  <c r="AT492" i="8" a="1"/>
  <c r="AT492" i="8" s="1"/>
  <c r="AS492" i="8"/>
  <c r="AP492" i="8"/>
  <c r="AM492" i="8"/>
  <c r="AJ492" i="8"/>
  <c r="AG492" i="8"/>
  <c r="AD492" i="8"/>
  <c r="X492" i="8" a="1"/>
  <c r="X492" i="8" s="1"/>
  <c r="Y492" i="8" s="1"/>
  <c r="V492" i="8"/>
  <c r="R492" i="8"/>
  <c r="N492" i="8" a="1"/>
  <c r="N492" i="8" s="1"/>
  <c r="O492" i="8" s="1"/>
  <c r="L492" i="8"/>
  <c r="H492" i="8"/>
  <c r="C492" i="8" a="1"/>
  <c r="C492" i="8" s="1"/>
  <c r="A492" i="8" a="1"/>
  <c r="A492" i="8" s="1"/>
  <c r="AT491" i="8" a="1"/>
  <c r="AT491" i="8" s="1"/>
  <c r="AS491" i="8"/>
  <c r="AP491" i="8"/>
  <c r="AM491" i="8"/>
  <c r="AJ491" i="8"/>
  <c r="AG491" i="8"/>
  <c r="AD491" i="8"/>
  <c r="X491" i="8" a="1"/>
  <c r="X491" i="8" s="1"/>
  <c r="Y491" i="8" s="1"/>
  <c r="V491" i="8"/>
  <c r="R491" i="8"/>
  <c r="N491" i="8" a="1"/>
  <c r="N491" i="8" s="1"/>
  <c r="O491" i="8" s="1"/>
  <c r="L491" i="8"/>
  <c r="H491" i="8"/>
  <c r="C491" i="8" a="1"/>
  <c r="C491" i="8" s="1"/>
  <c r="A491" i="8" a="1"/>
  <c r="A491" i="8" s="1"/>
  <c r="AT490" i="8" a="1"/>
  <c r="AT490" i="8" s="1"/>
  <c r="AS490" i="8"/>
  <c r="AP490" i="8"/>
  <c r="AM490" i="8"/>
  <c r="AJ490" i="8"/>
  <c r="AG490" i="8"/>
  <c r="AD490" i="8"/>
  <c r="X490" i="8" a="1"/>
  <c r="X490" i="8" s="1"/>
  <c r="Y490" i="8" s="1"/>
  <c r="V490" i="8"/>
  <c r="R490" i="8"/>
  <c r="N490" i="8" a="1"/>
  <c r="N490" i="8" s="1"/>
  <c r="O490" i="8" s="1"/>
  <c r="L490" i="8"/>
  <c r="H490" i="8"/>
  <c r="C490" i="8" a="1"/>
  <c r="C490" i="8" s="1"/>
  <c r="A490" i="8" a="1"/>
  <c r="A490" i="8" s="1"/>
  <c r="AT489" i="8" a="1"/>
  <c r="AT489" i="8" s="1"/>
  <c r="AS489" i="8"/>
  <c r="AP489" i="8"/>
  <c r="AM489" i="8"/>
  <c r="AJ489" i="8"/>
  <c r="AG489" i="8"/>
  <c r="AD489" i="8"/>
  <c r="X489" i="8" a="1"/>
  <c r="X489" i="8" s="1"/>
  <c r="Y489" i="8" s="1"/>
  <c r="V489" i="8"/>
  <c r="R489" i="8"/>
  <c r="N489" i="8" a="1"/>
  <c r="N489" i="8" s="1"/>
  <c r="O489" i="8" s="1"/>
  <c r="L489" i="8"/>
  <c r="H489" i="8"/>
  <c r="C489" i="8" a="1"/>
  <c r="C489" i="8" s="1"/>
  <c r="A489" i="8" a="1"/>
  <c r="A489" i="8" s="1"/>
  <c r="AT488" i="8" a="1"/>
  <c r="AT488" i="8" s="1"/>
  <c r="AS488" i="8"/>
  <c r="AP488" i="8"/>
  <c r="AM488" i="8"/>
  <c r="AJ488" i="8"/>
  <c r="AG488" i="8"/>
  <c r="AD488" i="8"/>
  <c r="X488" i="8" a="1"/>
  <c r="X488" i="8" s="1"/>
  <c r="Y488" i="8" s="1"/>
  <c r="V488" i="8"/>
  <c r="R488" i="8"/>
  <c r="N488" i="8" a="1"/>
  <c r="N488" i="8" s="1"/>
  <c r="O488" i="8" s="1"/>
  <c r="L488" i="8"/>
  <c r="H488" i="8"/>
  <c r="C488" i="8" a="1"/>
  <c r="C488" i="8" s="1"/>
  <c r="A488" i="8" a="1"/>
  <c r="A488" i="8" s="1"/>
  <c r="AT487" i="8" a="1"/>
  <c r="AT487" i="8" s="1"/>
  <c r="AS487" i="8"/>
  <c r="AP487" i="8"/>
  <c r="AM487" i="8"/>
  <c r="AJ487" i="8"/>
  <c r="AG487" i="8"/>
  <c r="AD487" i="8"/>
  <c r="X487" i="8" a="1"/>
  <c r="X487" i="8" s="1"/>
  <c r="Y487" i="8" s="1"/>
  <c r="V487" i="8"/>
  <c r="R487" i="8"/>
  <c r="N487" i="8" a="1"/>
  <c r="N487" i="8" s="1"/>
  <c r="O487" i="8" s="1"/>
  <c r="L487" i="8"/>
  <c r="H487" i="8"/>
  <c r="C487" i="8" a="1"/>
  <c r="C487" i="8" s="1"/>
  <c r="A487" i="8" a="1"/>
  <c r="A487" i="8" s="1"/>
  <c r="AT486" i="8" a="1"/>
  <c r="AT486" i="8" s="1"/>
  <c r="AS486" i="8"/>
  <c r="AP486" i="8"/>
  <c r="AM486" i="8"/>
  <c r="AJ486" i="8"/>
  <c r="AG486" i="8"/>
  <c r="AD486" i="8"/>
  <c r="X486" i="8" a="1"/>
  <c r="X486" i="8" s="1"/>
  <c r="Y486" i="8" s="1"/>
  <c r="V486" i="8"/>
  <c r="R486" i="8"/>
  <c r="N486" i="8" a="1"/>
  <c r="N486" i="8" s="1"/>
  <c r="O486" i="8" s="1"/>
  <c r="L486" i="8"/>
  <c r="H486" i="8"/>
  <c r="C486" i="8" a="1"/>
  <c r="C486" i="8" s="1"/>
  <c r="A486" i="8" a="1"/>
  <c r="A486" i="8" s="1"/>
  <c r="AT485" i="8" a="1"/>
  <c r="AT485" i="8" s="1"/>
  <c r="AS485" i="8"/>
  <c r="AP485" i="8"/>
  <c r="AM485" i="8"/>
  <c r="AJ485" i="8"/>
  <c r="AG485" i="8"/>
  <c r="AD485" i="8"/>
  <c r="X485" i="8" a="1"/>
  <c r="X485" i="8" s="1"/>
  <c r="Y485" i="8" s="1"/>
  <c r="AA485" i="8" s="1"/>
  <c r="R485" i="8"/>
  <c r="N485" i="8" a="1"/>
  <c r="N485" i="8" s="1"/>
  <c r="O485" i="8" s="1"/>
  <c r="L485" i="8"/>
  <c r="H485" i="8"/>
  <c r="C485" i="8" a="1"/>
  <c r="C485" i="8" s="1"/>
  <c r="A485" i="8" a="1"/>
  <c r="A485" i="8" s="1"/>
  <c r="AT484" i="8" a="1"/>
  <c r="AT484" i="8" s="1"/>
  <c r="AS484" i="8"/>
  <c r="AP484" i="8"/>
  <c r="AM484" i="8"/>
  <c r="AJ484" i="8"/>
  <c r="AG484" i="8"/>
  <c r="AD484" i="8"/>
  <c r="X484" i="8" a="1"/>
  <c r="X484" i="8" s="1"/>
  <c r="Y484" i="8" s="1"/>
  <c r="AA484" i="8" s="1"/>
  <c r="R484" i="8"/>
  <c r="N484" i="8" a="1"/>
  <c r="N484" i="8" s="1"/>
  <c r="O484" i="8" s="1"/>
  <c r="L484" i="8"/>
  <c r="H484" i="8"/>
  <c r="C484" i="8" a="1"/>
  <c r="C484" i="8" s="1"/>
  <c r="A484" i="8" a="1"/>
  <c r="A484" i="8" s="1"/>
  <c r="AT483" i="8" a="1"/>
  <c r="AT483" i="8" s="1"/>
  <c r="AS483" i="8"/>
  <c r="AP483" i="8"/>
  <c r="AM483" i="8"/>
  <c r="AJ483" i="8"/>
  <c r="AG483" i="8"/>
  <c r="AD483" i="8"/>
  <c r="X483" i="8" a="1"/>
  <c r="X483" i="8" s="1"/>
  <c r="Y483" i="8" s="1"/>
  <c r="V483" i="8"/>
  <c r="R483" i="8"/>
  <c r="N483" i="8" a="1"/>
  <c r="N483" i="8" s="1"/>
  <c r="O483" i="8" s="1"/>
  <c r="L483" i="8"/>
  <c r="H483" i="8"/>
  <c r="C483" i="8" a="1"/>
  <c r="C483" i="8" s="1"/>
  <c r="A483" i="8" a="1"/>
  <c r="A483" i="8" s="1"/>
  <c r="AT482" i="8" a="1"/>
  <c r="AT482" i="8" s="1"/>
  <c r="AS482" i="8"/>
  <c r="AP482" i="8"/>
  <c r="AM482" i="8"/>
  <c r="AJ482" i="8"/>
  <c r="AG482" i="8"/>
  <c r="AD482" i="8"/>
  <c r="X482" i="8" a="1"/>
  <c r="X482" i="8" s="1"/>
  <c r="Y482" i="8" s="1"/>
  <c r="AA482" i="8" s="1"/>
  <c r="R482" i="8"/>
  <c r="N482" i="8" a="1"/>
  <c r="N482" i="8" s="1"/>
  <c r="O482" i="8" s="1"/>
  <c r="L482" i="8"/>
  <c r="H482" i="8"/>
  <c r="C482" i="8" a="1"/>
  <c r="C482" i="8" s="1"/>
  <c r="A482" i="8" a="1"/>
  <c r="A482" i="8" s="1"/>
  <c r="AT481" i="8" a="1"/>
  <c r="AT481" i="8" s="1"/>
  <c r="AS481" i="8"/>
  <c r="AP481" i="8"/>
  <c r="AM481" i="8"/>
  <c r="AJ481" i="8"/>
  <c r="AG481" i="8"/>
  <c r="AD481" i="8"/>
  <c r="X481" i="8" a="1"/>
  <c r="X481" i="8" s="1"/>
  <c r="Y481" i="8" s="1"/>
  <c r="AA481" i="8" s="1"/>
  <c r="R481" i="8"/>
  <c r="N481" i="8" a="1"/>
  <c r="N481" i="8" s="1"/>
  <c r="O481" i="8" s="1"/>
  <c r="L481" i="8"/>
  <c r="H481" i="8"/>
  <c r="C481" i="8" a="1"/>
  <c r="C481" i="8" s="1"/>
  <c r="A481" i="8" a="1"/>
  <c r="A481" i="8" s="1"/>
  <c r="AT480" i="8" a="1"/>
  <c r="AT480" i="8" s="1"/>
  <c r="AS480" i="8"/>
  <c r="AP480" i="8"/>
  <c r="AM480" i="8"/>
  <c r="AJ480" i="8"/>
  <c r="AG480" i="8"/>
  <c r="AD480" i="8"/>
  <c r="X480" i="8" a="1"/>
  <c r="X480" i="8" s="1"/>
  <c r="Y480" i="8" s="1"/>
  <c r="V480" i="8"/>
  <c r="R480" i="8"/>
  <c r="N480" i="8" a="1"/>
  <c r="N480" i="8" s="1"/>
  <c r="O480" i="8" s="1"/>
  <c r="L480" i="8"/>
  <c r="H480" i="8"/>
  <c r="C480" i="8" a="1"/>
  <c r="C480" i="8" s="1"/>
  <c r="A480" i="8" a="1"/>
  <c r="A480" i="8" s="1"/>
  <c r="AT479" i="8" a="1"/>
  <c r="AT479" i="8" s="1"/>
  <c r="AS479" i="8"/>
  <c r="AP479" i="8"/>
  <c r="AM479" i="8"/>
  <c r="AJ479" i="8"/>
  <c r="AG479" i="8"/>
  <c r="AD479" i="8"/>
  <c r="X479" i="8" a="1"/>
  <c r="X479" i="8" s="1"/>
  <c r="Y479" i="8" s="1"/>
  <c r="V479" i="8"/>
  <c r="R479" i="8"/>
  <c r="N479" i="8" a="1"/>
  <c r="N479" i="8" s="1"/>
  <c r="O479" i="8" s="1"/>
  <c r="L479" i="8"/>
  <c r="H479" i="8"/>
  <c r="C479" i="8" a="1"/>
  <c r="C479" i="8" s="1"/>
  <c r="A479" i="8" a="1"/>
  <c r="A479" i="8" s="1"/>
  <c r="AT478" i="8" a="1"/>
  <c r="AT478" i="8" s="1"/>
  <c r="AS478" i="8"/>
  <c r="AP478" i="8"/>
  <c r="AM478" i="8"/>
  <c r="AJ478" i="8"/>
  <c r="AG478" i="8"/>
  <c r="AD478" i="8"/>
  <c r="X478" i="8" a="1"/>
  <c r="X478" i="8" s="1"/>
  <c r="Y478" i="8" s="1"/>
  <c r="V478" i="8"/>
  <c r="R478" i="8"/>
  <c r="N478" i="8" a="1"/>
  <c r="N478" i="8" s="1"/>
  <c r="O478" i="8" s="1"/>
  <c r="L478" i="8"/>
  <c r="H478" i="8"/>
  <c r="C478" i="8" a="1"/>
  <c r="C478" i="8" s="1"/>
  <c r="A478" i="8" a="1"/>
  <c r="A478" i="8" s="1"/>
  <c r="AT477" i="8" a="1"/>
  <c r="AT477" i="8" s="1"/>
  <c r="AS477" i="8"/>
  <c r="AP477" i="8"/>
  <c r="AM477" i="8"/>
  <c r="AJ477" i="8"/>
  <c r="AG477" i="8"/>
  <c r="AD477" i="8"/>
  <c r="X477" i="8" a="1"/>
  <c r="X477" i="8" s="1"/>
  <c r="Y477" i="8" s="1"/>
  <c r="V477" i="8"/>
  <c r="R477" i="8"/>
  <c r="N477" i="8" a="1"/>
  <c r="N477" i="8" s="1"/>
  <c r="O477" i="8" s="1"/>
  <c r="L477" i="8"/>
  <c r="H477" i="8"/>
  <c r="C477" i="8" a="1"/>
  <c r="C477" i="8" s="1"/>
  <c r="A477" i="8" a="1"/>
  <c r="A477" i="8" s="1"/>
  <c r="AT476" i="8" a="1"/>
  <c r="AT476" i="8" s="1"/>
  <c r="AS476" i="8"/>
  <c r="AP476" i="8"/>
  <c r="AM476" i="8"/>
  <c r="AJ476" i="8"/>
  <c r="AG476" i="8"/>
  <c r="AD476" i="8"/>
  <c r="X476" i="8" a="1"/>
  <c r="X476" i="8" s="1"/>
  <c r="Y476" i="8" s="1"/>
  <c r="AA476" i="8" s="1"/>
  <c r="R476" i="8"/>
  <c r="N476" i="8" a="1"/>
  <c r="N476" i="8" s="1"/>
  <c r="O476" i="8" s="1"/>
  <c r="L476" i="8"/>
  <c r="H476" i="8"/>
  <c r="C476" i="8" a="1"/>
  <c r="C476" i="8" s="1"/>
  <c r="A476" i="8" a="1"/>
  <c r="A476" i="8" s="1"/>
  <c r="AT475" i="8" a="1"/>
  <c r="AT475" i="8" s="1"/>
  <c r="AS475" i="8"/>
  <c r="AP475" i="8"/>
  <c r="AM475" i="8"/>
  <c r="AJ475" i="8"/>
  <c r="AG475" i="8"/>
  <c r="AD475" i="8"/>
  <c r="X475" i="8" a="1"/>
  <c r="X475" i="8" s="1"/>
  <c r="Y475" i="8" s="1"/>
  <c r="AA475" i="8" s="1"/>
  <c r="R475" i="8"/>
  <c r="N475" i="8" a="1"/>
  <c r="N475" i="8" s="1"/>
  <c r="O475" i="8" s="1"/>
  <c r="L475" i="8"/>
  <c r="H475" i="8"/>
  <c r="C475" i="8" a="1"/>
  <c r="C475" i="8" s="1"/>
  <c r="A475" i="8" a="1"/>
  <c r="A475" i="8" s="1"/>
  <c r="AT474" i="8" a="1"/>
  <c r="AT474" i="8" s="1"/>
  <c r="AS474" i="8"/>
  <c r="AP474" i="8"/>
  <c r="AM474" i="8"/>
  <c r="AJ474" i="8"/>
  <c r="AG474" i="8"/>
  <c r="AD474" i="8"/>
  <c r="X474" i="8" a="1"/>
  <c r="X474" i="8" s="1"/>
  <c r="Y474" i="8" s="1"/>
  <c r="AA474" i="8" s="1"/>
  <c r="R474" i="8"/>
  <c r="N474" i="8" a="1"/>
  <c r="N474" i="8" s="1"/>
  <c r="O474" i="8" s="1"/>
  <c r="K474" i="8"/>
  <c r="L474" i="8" s="1"/>
  <c r="H474" i="8"/>
  <c r="C474" i="8" a="1"/>
  <c r="C474" i="8" s="1"/>
  <c r="A474" i="8" a="1"/>
  <c r="A474" i="8" s="1"/>
  <c r="AT473" i="8" a="1"/>
  <c r="AT473" i="8" s="1"/>
  <c r="AS473" i="8"/>
  <c r="AP473" i="8"/>
  <c r="AM473" i="8"/>
  <c r="AJ473" i="8"/>
  <c r="AG473" i="8"/>
  <c r="AD473" i="8"/>
  <c r="X473" i="8" a="1"/>
  <c r="X473" i="8" s="1"/>
  <c r="Y473" i="8" s="1"/>
  <c r="AA473" i="8" s="1"/>
  <c r="R473" i="8"/>
  <c r="O473" i="8"/>
  <c r="L473" i="8"/>
  <c r="H473" i="8"/>
  <c r="C473" i="8" a="1"/>
  <c r="C473" i="8" s="1"/>
  <c r="A473" i="8" a="1"/>
  <c r="A473" i="8" s="1"/>
  <c r="AT472" i="8" a="1"/>
  <c r="AT472" i="8" s="1"/>
  <c r="AS472" i="8"/>
  <c r="AP472" i="8"/>
  <c r="AM472" i="8"/>
  <c r="AJ472" i="8"/>
  <c r="AG472" i="8"/>
  <c r="AD472" i="8"/>
  <c r="X472" i="8" a="1"/>
  <c r="X472" i="8" s="1"/>
  <c r="Y472" i="8" s="1"/>
  <c r="AA472" i="8" s="1"/>
  <c r="R472" i="8"/>
  <c r="N472" i="8" a="1"/>
  <c r="N472" i="8" s="1"/>
  <c r="O472" i="8" s="1"/>
  <c r="L472" i="8"/>
  <c r="H472" i="8"/>
  <c r="C472" i="8" a="1"/>
  <c r="C472" i="8" s="1"/>
  <c r="A472" i="8" a="1"/>
  <c r="A472" i="8" s="1"/>
  <c r="AT471" i="8" a="1"/>
  <c r="AT471" i="8" s="1"/>
  <c r="AS471" i="8"/>
  <c r="AP471" i="8"/>
  <c r="AM471" i="8"/>
  <c r="AJ471" i="8"/>
  <c r="AG471" i="8"/>
  <c r="AD471" i="8"/>
  <c r="X471" i="8" a="1"/>
  <c r="X471" i="8" s="1"/>
  <c r="Y471" i="8" s="1"/>
  <c r="AA471" i="8" s="1"/>
  <c r="R471" i="8"/>
  <c r="N471" i="8" a="1"/>
  <c r="N471" i="8" s="1"/>
  <c r="O471" i="8" s="1"/>
  <c r="L471" i="8"/>
  <c r="H471" i="8"/>
  <c r="C471" i="8" a="1"/>
  <c r="C471" i="8" s="1"/>
  <c r="A471" i="8" a="1"/>
  <c r="A471" i="8" s="1"/>
  <c r="AT470" i="8" a="1"/>
  <c r="AT470" i="8" s="1"/>
  <c r="AS470" i="8"/>
  <c r="AP470" i="8"/>
  <c r="AM470" i="8"/>
  <c r="AJ470" i="8"/>
  <c r="AG470" i="8"/>
  <c r="AD470" i="8"/>
  <c r="X470" i="8" a="1"/>
  <c r="X470" i="8" s="1"/>
  <c r="Y470" i="8" s="1"/>
  <c r="AA470" i="8" s="1"/>
  <c r="R470" i="8"/>
  <c r="N470" i="8" a="1"/>
  <c r="N470" i="8" s="1"/>
  <c r="O470" i="8" s="1"/>
  <c r="L470" i="8"/>
  <c r="H470" i="8"/>
  <c r="C470" i="8" a="1"/>
  <c r="C470" i="8" s="1"/>
  <c r="A470" i="8" a="1"/>
  <c r="A470" i="8" s="1"/>
  <c r="AT469" i="8" a="1"/>
  <c r="AT469" i="8" s="1"/>
  <c r="AS469" i="8"/>
  <c r="AP469" i="8"/>
  <c r="AM469" i="8"/>
  <c r="AJ469" i="8"/>
  <c r="AG469" i="8"/>
  <c r="AD469" i="8"/>
  <c r="X469" i="8" a="1"/>
  <c r="X469" i="8" s="1"/>
  <c r="Y469" i="8" s="1"/>
  <c r="AA469" i="8" s="1"/>
  <c r="R469" i="8"/>
  <c r="N469" i="8" a="1"/>
  <c r="N469" i="8" s="1"/>
  <c r="O469" i="8" s="1"/>
  <c r="L469" i="8"/>
  <c r="H469" i="8"/>
  <c r="C469" i="8" a="1"/>
  <c r="C469" i="8" s="1"/>
  <c r="A469" i="8" a="1"/>
  <c r="A469" i="8" s="1"/>
  <c r="AT468" i="8" a="1"/>
  <c r="AT468" i="8" s="1"/>
  <c r="AS468" i="8"/>
  <c r="AP468" i="8"/>
  <c r="AM468" i="8"/>
  <c r="AJ468" i="8"/>
  <c r="AG468" i="8"/>
  <c r="AD468" i="8"/>
  <c r="X468" i="8" a="1"/>
  <c r="X468" i="8" s="1"/>
  <c r="Y468" i="8" s="1"/>
  <c r="AA468" i="8" s="1"/>
  <c r="R468" i="8"/>
  <c r="N468" i="8" a="1"/>
  <c r="N468" i="8" s="1"/>
  <c r="O468" i="8" s="1"/>
  <c r="L468" i="8"/>
  <c r="H468" i="8"/>
  <c r="C468" i="8" a="1"/>
  <c r="C468" i="8" s="1"/>
  <c r="A468" i="8" a="1"/>
  <c r="A468" i="8" s="1"/>
  <c r="AT467" i="8" a="1"/>
  <c r="AT467" i="8" s="1"/>
  <c r="AS467" i="8"/>
  <c r="AP467" i="8"/>
  <c r="AM467" i="8"/>
  <c r="AJ467" i="8"/>
  <c r="AG467" i="8"/>
  <c r="AD467" i="8"/>
  <c r="X467" i="8" a="1"/>
  <c r="X467" i="8" s="1"/>
  <c r="Y467" i="8" s="1"/>
  <c r="AA467" i="8" s="1"/>
  <c r="R467" i="8"/>
  <c r="N467" i="8" a="1"/>
  <c r="N467" i="8" s="1"/>
  <c r="O467" i="8" s="1"/>
  <c r="L467" i="8"/>
  <c r="H467" i="8"/>
  <c r="C467" i="8" a="1"/>
  <c r="C467" i="8" s="1"/>
  <c r="A467" i="8" a="1"/>
  <c r="A467" i="8" s="1"/>
  <c r="AT466" i="8" a="1"/>
  <c r="AT466" i="8" s="1"/>
  <c r="AS466" i="8"/>
  <c r="AP466" i="8"/>
  <c r="AM466" i="8"/>
  <c r="AJ466" i="8"/>
  <c r="AG466" i="8"/>
  <c r="AD466" i="8"/>
  <c r="X466" i="8" a="1"/>
  <c r="X466" i="8" s="1"/>
  <c r="Y466" i="8" s="1"/>
  <c r="AA466" i="8" s="1"/>
  <c r="R466" i="8"/>
  <c r="N466" i="8" a="1"/>
  <c r="N466" i="8" s="1"/>
  <c r="O466" i="8" s="1"/>
  <c r="L466" i="8"/>
  <c r="H466" i="8"/>
  <c r="C466" i="8" a="1"/>
  <c r="C466" i="8" s="1"/>
  <c r="A466" i="8" a="1"/>
  <c r="A466" i="8" s="1"/>
  <c r="AT465" i="8" a="1"/>
  <c r="AT465" i="8" s="1"/>
  <c r="AS465" i="8"/>
  <c r="AP465" i="8"/>
  <c r="AM465" i="8"/>
  <c r="AJ465" i="8"/>
  <c r="AG465" i="8"/>
  <c r="AD465" i="8"/>
  <c r="X465" i="8" a="1"/>
  <c r="X465" i="8" s="1"/>
  <c r="Y465" i="8" s="1"/>
  <c r="AA465" i="8" s="1"/>
  <c r="R465" i="8"/>
  <c r="N465" i="8" a="1"/>
  <c r="N465" i="8" s="1"/>
  <c r="O465" i="8" s="1"/>
  <c r="L465" i="8"/>
  <c r="H465" i="8"/>
  <c r="C465" i="8" a="1"/>
  <c r="C465" i="8" s="1"/>
  <c r="A465" i="8" a="1"/>
  <c r="A465" i="8" s="1"/>
  <c r="AT464" i="8" a="1"/>
  <c r="AT464" i="8" s="1"/>
  <c r="AS464" i="8"/>
  <c r="AP464" i="8"/>
  <c r="AM464" i="8"/>
  <c r="AJ464" i="8"/>
  <c r="AG464" i="8"/>
  <c r="AD464" i="8"/>
  <c r="X464" i="8" a="1"/>
  <c r="X464" i="8" s="1"/>
  <c r="Y464" i="8" s="1"/>
  <c r="AA464" i="8" s="1"/>
  <c r="R464" i="8"/>
  <c r="N464" i="8" a="1"/>
  <c r="N464" i="8" s="1"/>
  <c r="O464" i="8" s="1"/>
  <c r="L464" i="8"/>
  <c r="H464" i="8"/>
  <c r="C464" i="8" a="1"/>
  <c r="C464" i="8" s="1"/>
  <c r="A464" i="8" a="1"/>
  <c r="A464" i="8" s="1"/>
  <c r="AT463" i="8" a="1"/>
  <c r="AT463" i="8" s="1"/>
  <c r="AS463" i="8"/>
  <c r="AP463" i="8"/>
  <c r="AM463" i="8"/>
  <c r="AJ463" i="8"/>
  <c r="AG463" i="8"/>
  <c r="AD463" i="8"/>
  <c r="X463" i="8" a="1"/>
  <c r="X463" i="8" s="1"/>
  <c r="Y463" i="8" s="1"/>
  <c r="V463" i="8"/>
  <c r="R463" i="8"/>
  <c r="N463" i="8" a="1"/>
  <c r="N463" i="8" s="1"/>
  <c r="O463" i="8" s="1"/>
  <c r="L463" i="8"/>
  <c r="H463" i="8"/>
  <c r="C463" i="8" a="1"/>
  <c r="C463" i="8" s="1"/>
  <c r="A463" i="8" a="1"/>
  <c r="A463" i="8" s="1"/>
  <c r="AT462" i="8" a="1"/>
  <c r="AT462" i="8" s="1"/>
  <c r="AS462" i="8"/>
  <c r="AP462" i="8"/>
  <c r="AM462" i="8"/>
  <c r="AJ462" i="8"/>
  <c r="AG462" i="8"/>
  <c r="AD462" i="8"/>
  <c r="X462" i="8" a="1"/>
  <c r="X462" i="8" s="1"/>
  <c r="Y462" i="8" s="1"/>
  <c r="AA462" i="8" s="1"/>
  <c r="R462" i="8"/>
  <c r="N462" i="8" a="1"/>
  <c r="N462" i="8" s="1"/>
  <c r="O462" i="8" s="1"/>
  <c r="K462" i="8"/>
  <c r="L462" i="8" s="1"/>
  <c r="H462" i="8"/>
  <c r="C462" i="8" a="1"/>
  <c r="C462" i="8" s="1"/>
  <c r="A462" i="8" a="1"/>
  <c r="A462" i="8" s="1"/>
  <c r="R461" i="8"/>
  <c r="N461" i="8" a="1"/>
  <c r="N461" i="8" s="1"/>
  <c r="O461" i="8" s="1"/>
  <c r="L461" i="8"/>
  <c r="H461" i="8"/>
  <c r="C461" i="8" a="1"/>
  <c r="C461" i="8" s="1"/>
  <c r="AT460" i="8" a="1"/>
  <c r="AT460" i="8" s="1"/>
  <c r="AS460" i="8"/>
  <c r="AP460" i="8"/>
  <c r="AM460" i="8"/>
  <c r="AJ460" i="8"/>
  <c r="AG460" i="8"/>
  <c r="AD460" i="8"/>
  <c r="X460" i="8" a="1"/>
  <c r="X460" i="8" s="1"/>
  <c r="Y460" i="8" s="1"/>
  <c r="AA460" i="8" s="1"/>
  <c r="R460" i="8"/>
  <c r="N460" i="8" a="1"/>
  <c r="N460" i="8" s="1"/>
  <c r="O460" i="8" s="1"/>
  <c r="L460" i="8"/>
  <c r="H460" i="8"/>
  <c r="C460" i="8" a="1"/>
  <c r="C460" i="8" s="1"/>
  <c r="AT459" i="8" a="1"/>
  <c r="AT459" i="8" s="1"/>
  <c r="AS459" i="8"/>
  <c r="AP459" i="8"/>
  <c r="AM459" i="8"/>
  <c r="AJ459" i="8"/>
  <c r="AG459" i="8"/>
  <c r="AD459" i="8"/>
  <c r="X459" i="8" a="1"/>
  <c r="X459" i="8" s="1"/>
  <c r="Y459" i="8" s="1"/>
  <c r="AA459" i="8" s="1"/>
  <c r="R459" i="8"/>
  <c r="N459" i="8" a="1"/>
  <c r="N459" i="8" s="1"/>
  <c r="O459" i="8" s="1"/>
  <c r="L459" i="8"/>
  <c r="H459" i="8"/>
  <c r="C459" i="8" a="1"/>
  <c r="C459" i="8" s="1"/>
  <c r="AT458" i="8" a="1"/>
  <c r="AT458" i="8" s="1"/>
  <c r="AS458" i="8"/>
  <c r="AP458" i="8"/>
  <c r="AM458" i="8"/>
  <c r="AJ458" i="8"/>
  <c r="AG458" i="8"/>
  <c r="AD458" i="8"/>
  <c r="X458" i="8" a="1"/>
  <c r="X458" i="8" s="1"/>
  <c r="Y458" i="8" s="1"/>
  <c r="AA458" i="8" s="1"/>
  <c r="R458" i="8"/>
  <c r="N458" i="8" a="1"/>
  <c r="N458" i="8" s="1"/>
  <c r="O458" i="8" s="1"/>
  <c r="L458" i="8"/>
  <c r="H458" i="8"/>
  <c r="C458" i="8" a="1"/>
  <c r="C458" i="8" s="1"/>
  <c r="AT457" i="8" a="1"/>
  <c r="AT457" i="8" s="1"/>
  <c r="AS457" i="8"/>
  <c r="AP457" i="8"/>
  <c r="AM457" i="8"/>
  <c r="AJ457" i="8"/>
  <c r="AG457" i="8"/>
  <c r="AD457" i="8"/>
  <c r="X457" i="8" a="1"/>
  <c r="X457" i="8" s="1"/>
  <c r="Y457" i="8" s="1"/>
  <c r="V457" i="8"/>
  <c r="R457" i="8"/>
  <c r="N457" i="8" a="1"/>
  <c r="N457" i="8" s="1"/>
  <c r="O457" i="8" s="1"/>
  <c r="L457" i="8"/>
  <c r="H457" i="8"/>
  <c r="C457" i="8" a="1"/>
  <c r="C457" i="8" s="1"/>
  <c r="A457" i="8" a="1"/>
  <c r="A457" i="8" s="1"/>
  <c r="AT456" i="8" a="1"/>
  <c r="AT456" i="8" s="1"/>
  <c r="AS456" i="8"/>
  <c r="AP456" i="8"/>
  <c r="AM456" i="8"/>
  <c r="AJ456" i="8"/>
  <c r="AG456" i="8"/>
  <c r="AD456" i="8"/>
  <c r="X456" i="8" a="1"/>
  <c r="X456" i="8" s="1"/>
  <c r="Y456" i="8" s="1"/>
  <c r="V456" i="8"/>
  <c r="R456" i="8"/>
  <c r="N456" i="8" a="1"/>
  <c r="N456" i="8" s="1"/>
  <c r="O456" i="8" s="1"/>
  <c r="L456" i="8"/>
  <c r="H456" i="8"/>
  <c r="C456" i="8" a="1"/>
  <c r="C456" i="8" s="1"/>
  <c r="A456" i="8" a="1"/>
  <c r="A456" i="8" s="1"/>
  <c r="AT454" i="8" a="1"/>
  <c r="AT454" i="8" s="1"/>
  <c r="AS454" i="8"/>
  <c r="AP454" i="8"/>
  <c r="AM454" i="8"/>
  <c r="AJ454" i="8"/>
  <c r="AG454" i="8"/>
  <c r="AD454" i="8"/>
  <c r="X454" i="8" a="1"/>
  <c r="X454" i="8" s="1"/>
  <c r="Y454" i="8" s="1"/>
  <c r="V454" i="8"/>
  <c r="R454" i="8"/>
  <c r="N454" i="8" a="1"/>
  <c r="N454" i="8" s="1"/>
  <c r="O454" i="8" s="1"/>
  <c r="L454" i="8"/>
  <c r="H454" i="8"/>
  <c r="C454" i="8" a="1"/>
  <c r="C454" i="8" s="1"/>
  <c r="A454" i="8" a="1"/>
  <c r="A454" i="8" s="1"/>
  <c r="AT453" i="8" a="1"/>
  <c r="AT453" i="8" s="1"/>
  <c r="AS453" i="8"/>
  <c r="AP453" i="8"/>
  <c r="AM453" i="8"/>
  <c r="AJ453" i="8"/>
  <c r="AG453" i="8"/>
  <c r="AD453" i="8"/>
  <c r="X453" i="8" a="1"/>
  <c r="X453" i="8" s="1"/>
  <c r="Y453" i="8" s="1"/>
  <c r="V453" i="8"/>
  <c r="R453" i="8"/>
  <c r="N453" i="8" a="1"/>
  <c r="N453" i="8" s="1"/>
  <c r="O453" i="8" s="1"/>
  <c r="L453" i="8"/>
  <c r="H453" i="8"/>
  <c r="C453" i="8" a="1"/>
  <c r="C453" i="8" s="1"/>
  <c r="A453" i="8" a="1"/>
  <c r="A453" i="8" s="1"/>
  <c r="AT452" i="8" a="1"/>
  <c r="AT452" i="8" s="1"/>
  <c r="AS452" i="8"/>
  <c r="AP452" i="8"/>
  <c r="AM452" i="8"/>
  <c r="AJ452" i="8"/>
  <c r="AG452" i="8"/>
  <c r="AD452" i="8"/>
  <c r="X452" i="8" a="1"/>
  <c r="X452" i="8" s="1"/>
  <c r="Y452" i="8" s="1"/>
  <c r="V452" i="8"/>
  <c r="R452" i="8"/>
  <c r="N452" i="8" a="1"/>
  <c r="N452" i="8" s="1"/>
  <c r="O452" i="8" s="1"/>
  <c r="L452" i="8"/>
  <c r="H452" i="8"/>
  <c r="C452" i="8" a="1"/>
  <c r="C452" i="8" s="1"/>
  <c r="A452" i="8" a="1"/>
  <c r="A452" i="8" s="1"/>
  <c r="AT451" i="8" a="1"/>
  <c r="AT451" i="8" s="1"/>
  <c r="AS451" i="8"/>
  <c r="AP451" i="8"/>
  <c r="AM451" i="8"/>
  <c r="AJ451" i="8"/>
  <c r="AG451" i="8"/>
  <c r="AD451" i="8"/>
  <c r="X451" i="8" a="1"/>
  <c r="X451" i="8" s="1"/>
  <c r="Y451" i="8" s="1"/>
  <c r="V451" i="8"/>
  <c r="R451" i="8"/>
  <c r="N451" i="8" a="1"/>
  <c r="N451" i="8" s="1"/>
  <c r="O451" i="8" s="1"/>
  <c r="L451" i="8"/>
  <c r="H451" i="8"/>
  <c r="C451" i="8" a="1"/>
  <c r="C451" i="8" s="1"/>
  <c r="A451" i="8" a="1"/>
  <c r="A451" i="8" s="1"/>
  <c r="AT450" i="8" a="1"/>
  <c r="AT450" i="8" s="1"/>
  <c r="AS450" i="8"/>
  <c r="AP450" i="8"/>
  <c r="AM450" i="8"/>
  <c r="AJ450" i="8"/>
  <c r="AG450" i="8"/>
  <c r="AD450" i="8"/>
  <c r="X450" i="8" a="1"/>
  <c r="X450" i="8" s="1"/>
  <c r="Y450" i="8" s="1"/>
  <c r="V450" i="8"/>
  <c r="R450" i="8"/>
  <c r="N450" i="8" a="1"/>
  <c r="N450" i="8" s="1"/>
  <c r="O450" i="8" s="1"/>
  <c r="L450" i="8"/>
  <c r="H450" i="8"/>
  <c r="C450" i="8" a="1"/>
  <c r="C450" i="8" s="1"/>
  <c r="A450" i="8" a="1"/>
  <c r="A450" i="8" s="1"/>
  <c r="AT449" i="8" a="1"/>
  <c r="AT449" i="8" s="1"/>
  <c r="AS449" i="8"/>
  <c r="AP449" i="8"/>
  <c r="AM449" i="8"/>
  <c r="AJ449" i="8"/>
  <c r="AG449" i="8"/>
  <c r="AD449" i="8"/>
  <c r="X449" i="8" a="1"/>
  <c r="X449" i="8" s="1"/>
  <c r="Y449" i="8" s="1"/>
  <c r="V449" i="8"/>
  <c r="R449" i="8"/>
  <c r="N449" i="8" a="1"/>
  <c r="N449" i="8" s="1"/>
  <c r="O449" i="8" s="1"/>
  <c r="L449" i="8"/>
  <c r="H449" i="8"/>
  <c r="C449" i="8" a="1"/>
  <c r="C449" i="8" s="1"/>
  <c r="A449" i="8" a="1"/>
  <c r="A449" i="8" s="1"/>
  <c r="AT448" i="8" a="1"/>
  <c r="AT448" i="8" s="1"/>
  <c r="AS448" i="8"/>
  <c r="AP448" i="8"/>
  <c r="AM448" i="8"/>
  <c r="AJ448" i="8"/>
  <c r="AG448" i="8"/>
  <c r="AD448" i="8"/>
  <c r="X448" i="8" a="1"/>
  <c r="X448" i="8" s="1"/>
  <c r="Y448" i="8" s="1"/>
  <c r="V448" i="8"/>
  <c r="R448" i="8"/>
  <c r="N448" i="8" a="1"/>
  <c r="N448" i="8" s="1"/>
  <c r="O448" i="8" s="1"/>
  <c r="L448" i="8"/>
  <c r="H448" i="8"/>
  <c r="C448" i="8" a="1"/>
  <c r="C448" i="8" s="1"/>
  <c r="A448" i="8" a="1"/>
  <c r="A448" i="8" s="1"/>
  <c r="AT447" i="8" a="1"/>
  <c r="AT447" i="8" s="1"/>
  <c r="AS447" i="8"/>
  <c r="AP447" i="8"/>
  <c r="AM447" i="8"/>
  <c r="AJ447" i="8"/>
  <c r="AG447" i="8"/>
  <c r="AD447" i="8"/>
  <c r="X447" i="8" a="1"/>
  <c r="X447" i="8" s="1"/>
  <c r="Y447" i="8" s="1"/>
  <c r="V447" i="8"/>
  <c r="R447" i="8"/>
  <c r="N447" i="8" a="1"/>
  <c r="N447" i="8" s="1"/>
  <c r="O447" i="8" s="1"/>
  <c r="L447" i="8"/>
  <c r="H447" i="8"/>
  <c r="C447" i="8" a="1"/>
  <c r="C447" i="8" s="1"/>
  <c r="A447" i="8" a="1"/>
  <c r="A447" i="8" s="1"/>
  <c r="AT446" i="8" a="1"/>
  <c r="AT446" i="8" s="1"/>
  <c r="AS446" i="8"/>
  <c r="AP446" i="8"/>
  <c r="AM446" i="8"/>
  <c r="AJ446" i="8"/>
  <c r="AG446" i="8"/>
  <c r="AD446" i="8"/>
  <c r="X446" i="8" a="1"/>
  <c r="X446" i="8" s="1"/>
  <c r="Y446" i="8" s="1"/>
  <c r="V446" i="8"/>
  <c r="R446" i="8"/>
  <c r="N446" i="8" a="1"/>
  <c r="N446" i="8" s="1"/>
  <c r="O446" i="8" s="1"/>
  <c r="L446" i="8"/>
  <c r="H446" i="8"/>
  <c r="C446" i="8" a="1"/>
  <c r="C446" i="8" s="1"/>
  <c r="A446" i="8" a="1"/>
  <c r="A446" i="8" s="1"/>
  <c r="AT445" i="8" a="1"/>
  <c r="AT445" i="8" s="1"/>
  <c r="AS445" i="8"/>
  <c r="AP445" i="8"/>
  <c r="AM445" i="8"/>
  <c r="AJ445" i="8"/>
  <c r="AG445" i="8"/>
  <c r="AD445" i="8"/>
  <c r="X445" i="8" a="1"/>
  <c r="X445" i="8" s="1"/>
  <c r="Y445" i="8" s="1"/>
  <c r="V445" i="8"/>
  <c r="R445" i="8"/>
  <c r="N445" i="8" a="1"/>
  <c r="N445" i="8" s="1"/>
  <c r="O445" i="8" s="1"/>
  <c r="L445" i="8"/>
  <c r="H445" i="8"/>
  <c r="C445" i="8" a="1"/>
  <c r="C445" i="8" s="1"/>
  <c r="A445" i="8" a="1"/>
  <c r="A445" i="8" s="1"/>
  <c r="AT444" i="8" a="1"/>
  <c r="AT444" i="8" s="1"/>
  <c r="AS444" i="8"/>
  <c r="AP444" i="8"/>
  <c r="AM444" i="8"/>
  <c r="AJ444" i="8"/>
  <c r="AG444" i="8"/>
  <c r="AD444" i="8"/>
  <c r="X444" i="8" a="1"/>
  <c r="X444" i="8" s="1"/>
  <c r="Y444" i="8" s="1"/>
  <c r="AA444" i="8" s="1"/>
  <c r="R444" i="8"/>
  <c r="N444" i="8" a="1"/>
  <c r="N444" i="8" s="1"/>
  <c r="O444" i="8" s="1"/>
  <c r="L444" i="8"/>
  <c r="H444" i="8"/>
  <c r="C444" i="8" a="1"/>
  <c r="C444" i="8" s="1"/>
  <c r="A444" i="8" a="1"/>
  <c r="A444" i="8" s="1"/>
  <c r="AT443" i="8" a="1"/>
  <c r="AT443" i="8" s="1"/>
  <c r="AS443" i="8"/>
  <c r="AP443" i="8"/>
  <c r="AM443" i="8"/>
  <c r="AJ443" i="8"/>
  <c r="AG443" i="8"/>
  <c r="AD443" i="8"/>
  <c r="X443" i="8" a="1"/>
  <c r="X443" i="8" s="1"/>
  <c r="Y443" i="8" s="1"/>
  <c r="V443" i="8"/>
  <c r="R443" i="8"/>
  <c r="N443" i="8" a="1"/>
  <c r="N443" i="8" s="1"/>
  <c r="O443" i="8" s="1"/>
  <c r="L443" i="8"/>
  <c r="H443" i="8"/>
  <c r="C443" i="8" a="1"/>
  <c r="C443" i="8" s="1"/>
  <c r="A443" i="8" a="1"/>
  <c r="A443" i="8" s="1"/>
  <c r="AT442" i="8" a="1"/>
  <c r="AT442" i="8" s="1"/>
  <c r="AS442" i="8"/>
  <c r="AP442" i="8"/>
  <c r="AM442" i="8"/>
  <c r="AJ442" i="8"/>
  <c r="AG442" i="8"/>
  <c r="AD442" i="8"/>
  <c r="X442" i="8" a="1"/>
  <c r="X442" i="8" s="1"/>
  <c r="Y442" i="8" s="1"/>
  <c r="V442" i="8"/>
  <c r="R442" i="8"/>
  <c r="N442" i="8" a="1"/>
  <c r="N442" i="8" s="1"/>
  <c r="O442" i="8" s="1"/>
  <c r="L442" i="8"/>
  <c r="H442" i="8"/>
  <c r="C442" i="8" a="1"/>
  <c r="C442" i="8" s="1"/>
  <c r="A442" i="8" a="1"/>
  <c r="A442" i="8" s="1"/>
  <c r="AT441" i="8" a="1"/>
  <c r="AT441" i="8" s="1"/>
  <c r="AS441" i="8"/>
  <c r="AP441" i="8"/>
  <c r="AM441" i="8"/>
  <c r="AJ441" i="8"/>
  <c r="AG441" i="8"/>
  <c r="AD441" i="8"/>
  <c r="X441" i="8" a="1"/>
  <c r="X441" i="8" s="1"/>
  <c r="D441" i="8" s="1"/>
  <c r="V441" i="8"/>
  <c r="T441" i="8" a="1"/>
  <c r="T441" i="8" s="1"/>
  <c r="W441" i="8" s="1"/>
  <c r="R441" i="8"/>
  <c r="N441" i="8" a="1"/>
  <c r="N441" i="8" s="1"/>
  <c r="O441" i="8" s="1"/>
  <c r="L441" i="8"/>
  <c r="H441" i="8"/>
  <c r="C441" i="8" a="1"/>
  <c r="C441" i="8" s="1"/>
  <c r="A441" i="8" a="1"/>
  <c r="A441" i="8" s="1"/>
  <c r="AT440" i="8" a="1"/>
  <c r="AT440" i="8" s="1"/>
  <c r="AS440" i="8"/>
  <c r="AP440" i="8"/>
  <c r="AM440" i="8"/>
  <c r="AJ440" i="8"/>
  <c r="AG440" i="8"/>
  <c r="AD440" i="8"/>
  <c r="X440" i="8" a="1"/>
  <c r="X440" i="8" s="1"/>
  <c r="D440" i="8" s="1"/>
  <c r="V440" i="8"/>
  <c r="T440" i="8" a="1"/>
  <c r="T440" i="8" s="1"/>
  <c r="W440" i="8" s="1"/>
  <c r="R440" i="8"/>
  <c r="N440" i="8" a="1"/>
  <c r="N440" i="8" s="1"/>
  <c r="O440" i="8" s="1"/>
  <c r="L440" i="8"/>
  <c r="H440" i="8"/>
  <c r="C440" i="8" a="1"/>
  <c r="C440" i="8" s="1"/>
  <c r="A440" i="8" a="1"/>
  <c r="A440" i="8" s="1"/>
  <c r="AT439" i="8" a="1"/>
  <c r="AT439" i="8" s="1"/>
  <c r="AS439" i="8"/>
  <c r="AP439" i="8"/>
  <c r="AM439" i="8"/>
  <c r="AJ439" i="8"/>
  <c r="AG439" i="8"/>
  <c r="AD439" i="8"/>
  <c r="X439" i="8" a="1"/>
  <c r="X439" i="8" s="1"/>
  <c r="D439" i="8" s="1"/>
  <c r="V439" i="8"/>
  <c r="T439" i="8" a="1"/>
  <c r="T439" i="8" s="1"/>
  <c r="W439" i="8" s="1"/>
  <c r="R439" i="8"/>
  <c r="N439" i="8" a="1"/>
  <c r="N439" i="8" s="1"/>
  <c r="O439" i="8" s="1"/>
  <c r="L439" i="8"/>
  <c r="H439" i="8"/>
  <c r="C439" i="8" a="1"/>
  <c r="C439" i="8" s="1"/>
  <c r="A439" i="8" a="1"/>
  <c r="A439" i="8" s="1"/>
  <c r="AT438" i="8" a="1"/>
  <c r="AT438" i="8" s="1"/>
  <c r="AS438" i="8"/>
  <c r="AP438" i="8"/>
  <c r="AM438" i="8"/>
  <c r="AJ438" i="8"/>
  <c r="AG438" i="8"/>
  <c r="AD438" i="8"/>
  <c r="X438" i="8" a="1"/>
  <c r="X438" i="8" s="1"/>
  <c r="Y438" i="8" s="1"/>
  <c r="V438" i="8"/>
  <c r="R438" i="8"/>
  <c r="N438" i="8" a="1"/>
  <c r="N438" i="8" s="1"/>
  <c r="O438" i="8" s="1"/>
  <c r="L438" i="8"/>
  <c r="H438" i="8"/>
  <c r="C438" i="8" a="1"/>
  <c r="C438" i="8" s="1"/>
  <c r="A438" i="8" a="1"/>
  <c r="A438" i="8" s="1"/>
  <c r="AT437" i="8" a="1"/>
  <c r="AT437" i="8" s="1"/>
  <c r="AS437" i="8"/>
  <c r="AP437" i="8"/>
  <c r="AM437" i="8"/>
  <c r="AJ437" i="8"/>
  <c r="AG437" i="8"/>
  <c r="AD437" i="8"/>
  <c r="X437" i="8" a="1"/>
  <c r="X437" i="8" s="1"/>
  <c r="Y437" i="8" s="1"/>
  <c r="V437" i="8"/>
  <c r="R437" i="8"/>
  <c r="N437" i="8" a="1"/>
  <c r="N437" i="8" s="1"/>
  <c r="O437" i="8" s="1"/>
  <c r="L437" i="8"/>
  <c r="H437" i="8"/>
  <c r="C437" i="8" a="1"/>
  <c r="C437" i="8" s="1"/>
  <c r="A437" i="8" a="1"/>
  <c r="A437" i="8" s="1"/>
  <c r="AT436" i="8" a="1"/>
  <c r="AT436" i="8" s="1"/>
  <c r="AS436" i="8"/>
  <c r="AP436" i="8"/>
  <c r="AM436" i="8"/>
  <c r="AJ436" i="8"/>
  <c r="AG436" i="8"/>
  <c r="AD436" i="8"/>
  <c r="X436" i="8" a="1"/>
  <c r="X436" i="8" s="1"/>
  <c r="Y436" i="8" s="1"/>
  <c r="V436" i="8"/>
  <c r="R436" i="8"/>
  <c r="N436" i="8" a="1"/>
  <c r="N436" i="8" s="1"/>
  <c r="O436" i="8" s="1"/>
  <c r="L436" i="8"/>
  <c r="H436" i="8"/>
  <c r="C436" i="8" a="1"/>
  <c r="C436" i="8" s="1"/>
  <c r="A436" i="8" a="1"/>
  <c r="A436" i="8" s="1"/>
  <c r="AT435" i="8" a="1"/>
  <c r="AT435" i="8" s="1"/>
  <c r="AS435" i="8"/>
  <c r="AP435" i="8"/>
  <c r="AM435" i="8"/>
  <c r="AJ435" i="8"/>
  <c r="AG435" i="8"/>
  <c r="AD435" i="8"/>
  <c r="X435" i="8" a="1"/>
  <c r="X435" i="8" s="1"/>
  <c r="Y435" i="8" s="1"/>
  <c r="V435" i="8"/>
  <c r="R435" i="8"/>
  <c r="N435" i="8" a="1"/>
  <c r="N435" i="8" s="1"/>
  <c r="O435" i="8" s="1"/>
  <c r="L435" i="8"/>
  <c r="H435" i="8"/>
  <c r="C435" i="8" a="1"/>
  <c r="C435" i="8" s="1"/>
  <c r="A435" i="8" a="1"/>
  <c r="A435" i="8" s="1"/>
  <c r="AT434" i="8" a="1"/>
  <c r="AT434" i="8" s="1"/>
  <c r="AS434" i="8"/>
  <c r="AP434" i="8"/>
  <c r="AM434" i="8"/>
  <c r="AJ434" i="8"/>
  <c r="AG434" i="8"/>
  <c r="AD434" i="8"/>
  <c r="X434" i="8" a="1"/>
  <c r="X434" i="8" s="1"/>
  <c r="Y434" i="8" s="1"/>
  <c r="AA434" i="8" s="1"/>
  <c r="R434" i="8"/>
  <c r="N434" i="8" a="1"/>
  <c r="N434" i="8" s="1"/>
  <c r="O434" i="8" s="1"/>
  <c r="K434" i="8"/>
  <c r="L434" i="8" s="1"/>
  <c r="H434" i="8"/>
  <c r="C434" i="8" a="1"/>
  <c r="C434" i="8" s="1"/>
  <c r="A434" i="8" a="1"/>
  <c r="A434" i="8" s="1"/>
  <c r="AT433" i="8" a="1"/>
  <c r="AT433" i="8" s="1"/>
  <c r="AS433" i="8"/>
  <c r="AP433" i="8"/>
  <c r="AM433" i="8"/>
  <c r="AJ433" i="8"/>
  <c r="AG433" i="8"/>
  <c r="AD433" i="8"/>
  <c r="X433" i="8" a="1"/>
  <c r="X433" i="8" s="1"/>
  <c r="Y433" i="8" s="1"/>
  <c r="V433" i="8"/>
  <c r="R433" i="8"/>
  <c r="N433" i="8" a="1"/>
  <c r="N433" i="8" s="1"/>
  <c r="O433" i="8" s="1"/>
  <c r="L433" i="8"/>
  <c r="H433" i="8"/>
  <c r="C433" i="8" a="1"/>
  <c r="C433" i="8" s="1"/>
  <c r="A433" i="8" a="1"/>
  <c r="A433" i="8" s="1"/>
  <c r="AT432" i="8" a="1"/>
  <c r="AT432" i="8" s="1"/>
  <c r="AS432" i="8"/>
  <c r="AP432" i="8"/>
  <c r="AM432" i="8"/>
  <c r="AJ432" i="8"/>
  <c r="AG432" i="8"/>
  <c r="AD432" i="8"/>
  <c r="X432" i="8" a="1"/>
  <c r="X432" i="8" s="1"/>
  <c r="Y432" i="8" s="1"/>
  <c r="V432" i="8"/>
  <c r="R432" i="8"/>
  <c r="N432" i="8" a="1"/>
  <c r="N432" i="8" s="1"/>
  <c r="O432" i="8" s="1"/>
  <c r="L432" i="8"/>
  <c r="H432" i="8"/>
  <c r="C432" i="8" a="1"/>
  <c r="C432" i="8" s="1"/>
  <c r="A432" i="8" a="1"/>
  <c r="A432" i="8" s="1"/>
  <c r="AT431" i="8" a="1"/>
  <c r="AT431" i="8" s="1"/>
  <c r="AS431" i="8"/>
  <c r="AP431" i="8"/>
  <c r="AM431" i="8"/>
  <c r="AJ431" i="8"/>
  <c r="AG431" i="8"/>
  <c r="AD431" i="8"/>
  <c r="X431" i="8" a="1"/>
  <c r="X431" i="8" s="1"/>
  <c r="Y431" i="8" s="1"/>
  <c r="V431" i="8"/>
  <c r="R431" i="8"/>
  <c r="N431" i="8" a="1"/>
  <c r="N431" i="8" s="1"/>
  <c r="O431" i="8" s="1"/>
  <c r="L431" i="8"/>
  <c r="H431" i="8"/>
  <c r="C431" i="8" a="1"/>
  <c r="C431" i="8" s="1"/>
  <c r="A431" i="8" a="1"/>
  <c r="A431" i="8" s="1"/>
  <c r="AT430" i="8" a="1"/>
  <c r="AT430" i="8" s="1"/>
  <c r="AS430" i="8"/>
  <c r="AP430" i="8"/>
  <c r="AM430" i="8"/>
  <c r="AJ430" i="8"/>
  <c r="AG430" i="8"/>
  <c r="AD430" i="8"/>
  <c r="X430" i="8" a="1"/>
  <c r="X430" i="8" s="1"/>
  <c r="Y430" i="8" s="1"/>
  <c r="V430" i="8"/>
  <c r="R430" i="8"/>
  <c r="N430" i="8" a="1"/>
  <c r="N430" i="8" s="1"/>
  <c r="O430" i="8" s="1"/>
  <c r="L430" i="8"/>
  <c r="H430" i="8"/>
  <c r="C430" i="8" a="1"/>
  <c r="C430" i="8" s="1"/>
  <c r="A430" i="8" a="1"/>
  <c r="A430" i="8" s="1"/>
  <c r="AT429" i="8" a="1"/>
  <c r="AT429" i="8" s="1"/>
  <c r="AS429" i="8"/>
  <c r="AP429" i="8"/>
  <c r="AM429" i="8"/>
  <c r="AJ429" i="8"/>
  <c r="AG429" i="8"/>
  <c r="AD429" i="8"/>
  <c r="X429" i="8" a="1"/>
  <c r="X429" i="8" s="1"/>
  <c r="Y429" i="8" s="1"/>
  <c r="V429" i="8"/>
  <c r="R429" i="8"/>
  <c r="N429" i="8" a="1"/>
  <c r="N429" i="8" s="1"/>
  <c r="O429" i="8" s="1"/>
  <c r="L429" i="8"/>
  <c r="H429" i="8"/>
  <c r="C429" i="8" a="1"/>
  <c r="C429" i="8" s="1"/>
  <c r="A429" i="8" a="1"/>
  <c r="A429" i="8" s="1"/>
  <c r="AT428" i="8" a="1"/>
  <c r="AT428" i="8" s="1"/>
  <c r="AS428" i="8"/>
  <c r="AP428" i="8"/>
  <c r="AM428" i="8"/>
  <c r="AJ428" i="8"/>
  <c r="AG428" i="8"/>
  <c r="AD428" i="8"/>
  <c r="X428" i="8" a="1"/>
  <c r="X428" i="8" s="1"/>
  <c r="Y428" i="8" s="1"/>
  <c r="V428" i="8"/>
  <c r="R428" i="8"/>
  <c r="N428" i="8" a="1"/>
  <c r="N428" i="8" s="1"/>
  <c r="O428" i="8" s="1"/>
  <c r="L428" i="8"/>
  <c r="H428" i="8"/>
  <c r="C428" i="8" a="1"/>
  <c r="C428" i="8" s="1"/>
  <c r="A428" i="8" a="1"/>
  <c r="A428" i="8" s="1"/>
  <c r="AT427" i="8" a="1"/>
  <c r="AT427" i="8" s="1"/>
  <c r="AS427" i="8"/>
  <c r="AP427" i="8"/>
  <c r="AM427" i="8"/>
  <c r="AJ427" i="8"/>
  <c r="AG427" i="8"/>
  <c r="AD427" i="8"/>
  <c r="X427" i="8" a="1"/>
  <c r="X427" i="8" s="1"/>
  <c r="Y427" i="8" s="1"/>
  <c r="V427" i="8"/>
  <c r="R427" i="8"/>
  <c r="N427" i="8" a="1"/>
  <c r="N427" i="8" s="1"/>
  <c r="O427" i="8" s="1"/>
  <c r="L427" i="8"/>
  <c r="H427" i="8"/>
  <c r="C427" i="8" a="1"/>
  <c r="C427" i="8" s="1"/>
  <c r="A427" i="8" a="1"/>
  <c r="A427" i="8" s="1"/>
  <c r="AT426" i="8" a="1"/>
  <c r="AT426" i="8" s="1"/>
  <c r="AS426" i="8"/>
  <c r="AP426" i="8"/>
  <c r="AM426" i="8"/>
  <c r="AJ426" i="8"/>
  <c r="AG426" i="8"/>
  <c r="AD426" i="8"/>
  <c r="X426" i="8" a="1"/>
  <c r="X426" i="8" s="1"/>
  <c r="Y426" i="8" s="1"/>
  <c r="V426" i="8"/>
  <c r="R426" i="8"/>
  <c r="N426" i="8" a="1"/>
  <c r="N426" i="8" s="1"/>
  <c r="O426" i="8" s="1"/>
  <c r="L426" i="8"/>
  <c r="H426" i="8"/>
  <c r="C426" i="8" a="1"/>
  <c r="C426" i="8" s="1"/>
  <c r="A426" i="8" a="1"/>
  <c r="A426" i="8" s="1"/>
  <c r="AT425" i="8" a="1"/>
  <c r="AT425" i="8" s="1"/>
  <c r="AS425" i="8"/>
  <c r="AP425" i="8"/>
  <c r="AM425" i="8"/>
  <c r="AJ425" i="8"/>
  <c r="AG425" i="8"/>
  <c r="AD425" i="8"/>
  <c r="X425" i="8" a="1"/>
  <c r="X425" i="8" s="1"/>
  <c r="Y425" i="8" s="1"/>
  <c r="V425" i="8"/>
  <c r="R425" i="8"/>
  <c r="N425" i="8" a="1"/>
  <c r="N425" i="8" s="1"/>
  <c r="O425" i="8" s="1"/>
  <c r="L425" i="8"/>
  <c r="H425" i="8"/>
  <c r="C425" i="8" a="1"/>
  <c r="C425" i="8" s="1"/>
  <c r="A425" i="8" a="1"/>
  <c r="A425" i="8" s="1"/>
  <c r="AT424" i="8" a="1"/>
  <c r="AT424" i="8" s="1"/>
  <c r="AS424" i="8"/>
  <c r="AP424" i="8"/>
  <c r="AM424" i="8"/>
  <c r="AJ424" i="8"/>
  <c r="AG424" i="8"/>
  <c r="AD424" i="8"/>
  <c r="X424" i="8" a="1"/>
  <c r="X424" i="8" s="1"/>
  <c r="Y424" i="8" s="1"/>
  <c r="AA424" i="8" s="1"/>
  <c r="R424" i="8"/>
  <c r="N424" i="8" a="1"/>
  <c r="N424" i="8" s="1"/>
  <c r="O424" i="8" s="1"/>
  <c r="L424" i="8"/>
  <c r="H424" i="8"/>
  <c r="C424" i="8" a="1"/>
  <c r="C424" i="8" s="1"/>
  <c r="A424" i="8" a="1"/>
  <c r="A424" i="8" s="1"/>
  <c r="AT423" i="8" a="1"/>
  <c r="AT423" i="8" s="1"/>
  <c r="AS423" i="8"/>
  <c r="AP423" i="8"/>
  <c r="AM423" i="8"/>
  <c r="AJ423" i="8"/>
  <c r="AG423" i="8"/>
  <c r="AD423" i="8"/>
  <c r="X423" i="8" a="1"/>
  <c r="X423" i="8" s="1"/>
  <c r="Y423" i="8" s="1"/>
  <c r="V423" i="8"/>
  <c r="R423" i="8"/>
  <c r="N423" i="8" a="1"/>
  <c r="N423" i="8" s="1"/>
  <c r="O423" i="8" s="1"/>
  <c r="L423" i="8"/>
  <c r="H423" i="8"/>
  <c r="C423" i="8" a="1"/>
  <c r="C423" i="8" s="1"/>
  <c r="A423" i="8" a="1"/>
  <c r="A423" i="8" s="1"/>
  <c r="AT422" i="8" a="1"/>
  <c r="AT422" i="8" s="1"/>
  <c r="AS422" i="8"/>
  <c r="AP422" i="8"/>
  <c r="AM422" i="8"/>
  <c r="AJ422" i="8"/>
  <c r="AG422" i="8"/>
  <c r="AD422" i="8"/>
  <c r="X422" i="8" a="1"/>
  <c r="X422" i="8" s="1"/>
  <c r="Y422" i="8" s="1"/>
  <c r="AA422" i="8" s="1"/>
  <c r="R422" i="8"/>
  <c r="N422" i="8" a="1"/>
  <c r="N422" i="8" s="1"/>
  <c r="O422" i="8" s="1"/>
  <c r="L422" i="8"/>
  <c r="H422" i="8"/>
  <c r="C422" i="8" a="1"/>
  <c r="C422" i="8" s="1"/>
  <c r="A422" i="8" a="1"/>
  <c r="A422" i="8" s="1"/>
  <c r="AT421" i="8" a="1"/>
  <c r="AT421" i="8" s="1"/>
  <c r="AS421" i="8"/>
  <c r="AP421" i="8"/>
  <c r="AM421" i="8"/>
  <c r="AJ421" i="8"/>
  <c r="AG421" i="8"/>
  <c r="AD421" i="8"/>
  <c r="X421" i="8" a="1"/>
  <c r="X421" i="8" s="1"/>
  <c r="Y421" i="8" s="1"/>
  <c r="V421" i="8"/>
  <c r="R421" i="8"/>
  <c r="N421" i="8" a="1"/>
  <c r="N421" i="8" s="1"/>
  <c r="O421" i="8" s="1"/>
  <c r="L421" i="8"/>
  <c r="H421" i="8"/>
  <c r="C421" i="8" a="1"/>
  <c r="C421" i="8" s="1"/>
  <c r="A421" i="8" a="1"/>
  <c r="A421" i="8" s="1"/>
  <c r="AT420" i="8" a="1"/>
  <c r="AT420" i="8" s="1"/>
  <c r="AS420" i="8"/>
  <c r="AP420" i="8"/>
  <c r="AM420" i="8"/>
  <c r="AJ420" i="8"/>
  <c r="AG420" i="8"/>
  <c r="AD420" i="8"/>
  <c r="X420" i="8" a="1"/>
  <c r="X420" i="8" s="1"/>
  <c r="Y420" i="8" s="1"/>
  <c r="V420" i="8"/>
  <c r="R420" i="8"/>
  <c r="N420" i="8" a="1"/>
  <c r="N420" i="8" s="1"/>
  <c r="O420" i="8" s="1"/>
  <c r="L420" i="8"/>
  <c r="H420" i="8"/>
  <c r="C420" i="8" a="1"/>
  <c r="C420" i="8" s="1"/>
  <c r="A420" i="8" a="1"/>
  <c r="A420" i="8" s="1"/>
  <c r="AT419" i="8" a="1"/>
  <c r="AT419" i="8" s="1"/>
  <c r="AS419" i="8"/>
  <c r="AP419" i="8"/>
  <c r="AM419" i="8"/>
  <c r="AJ419" i="8"/>
  <c r="AG419" i="8"/>
  <c r="AD419" i="8"/>
  <c r="X419" i="8" a="1"/>
  <c r="X419" i="8" s="1"/>
  <c r="Y419" i="8" s="1"/>
  <c r="V419" i="8"/>
  <c r="R419" i="8"/>
  <c r="N419" i="8" a="1"/>
  <c r="N419" i="8" s="1"/>
  <c r="O419" i="8" s="1"/>
  <c r="L419" i="8"/>
  <c r="H419" i="8"/>
  <c r="C419" i="8" a="1"/>
  <c r="C419" i="8" s="1"/>
  <c r="A419" i="8" a="1"/>
  <c r="A419" i="8" s="1"/>
  <c r="AT418" i="8" a="1"/>
  <c r="AT418" i="8" s="1"/>
  <c r="AS418" i="8"/>
  <c r="AP418" i="8"/>
  <c r="AM418" i="8"/>
  <c r="AJ418" i="8"/>
  <c r="AG418" i="8"/>
  <c r="AD418" i="8"/>
  <c r="X418" i="8" a="1"/>
  <c r="X418" i="8" s="1"/>
  <c r="Y418" i="8" s="1"/>
  <c r="AA418" i="8" s="1"/>
  <c r="R418" i="8"/>
  <c r="N418" i="8" a="1"/>
  <c r="N418" i="8" s="1"/>
  <c r="O418" i="8" s="1"/>
  <c r="L418" i="8"/>
  <c r="H418" i="8"/>
  <c r="C418" i="8" a="1"/>
  <c r="C418" i="8" s="1"/>
  <c r="A418" i="8" a="1"/>
  <c r="A418" i="8" s="1"/>
  <c r="AT417" i="8" a="1"/>
  <c r="AT417" i="8" s="1"/>
  <c r="AS417" i="8"/>
  <c r="AP417" i="8"/>
  <c r="AM417" i="8"/>
  <c r="AJ417" i="8"/>
  <c r="AG417" i="8"/>
  <c r="AD417" i="8"/>
  <c r="X417" i="8" a="1"/>
  <c r="X417" i="8" s="1"/>
  <c r="Y417" i="8" s="1"/>
  <c r="AA417" i="8" s="1"/>
  <c r="R417" i="8"/>
  <c r="N417" i="8" a="1"/>
  <c r="N417" i="8" s="1"/>
  <c r="O417" i="8" s="1"/>
  <c r="L417" i="8"/>
  <c r="H417" i="8"/>
  <c r="C417" i="8" a="1"/>
  <c r="C417" i="8" s="1"/>
  <c r="A417" i="8" a="1"/>
  <c r="A417" i="8" s="1"/>
  <c r="AT416" i="8" a="1"/>
  <c r="AT416" i="8" s="1"/>
  <c r="AS416" i="8"/>
  <c r="AP416" i="8"/>
  <c r="AM416" i="8"/>
  <c r="AJ416" i="8"/>
  <c r="AG416" i="8"/>
  <c r="AD416" i="8"/>
  <c r="X416" i="8" a="1"/>
  <c r="X416" i="8" s="1"/>
  <c r="Y416" i="8" s="1"/>
  <c r="AA416" i="8" s="1"/>
  <c r="R416" i="8"/>
  <c r="N416" i="8" a="1"/>
  <c r="N416" i="8" s="1"/>
  <c r="O416" i="8" s="1"/>
  <c r="L416" i="8"/>
  <c r="H416" i="8"/>
  <c r="C416" i="8" a="1"/>
  <c r="C416" i="8" s="1"/>
  <c r="A416" i="8" a="1"/>
  <c r="A416" i="8" s="1"/>
  <c r="AT415" i="8" a="1"/>
  <c r="AT415" i="8" s="1"/>
  <c r="AS415" i="8"/>
  <c r="AP415" i="8"/>
  <c r="AM415" i="8"/>
  <c r="AJ415" i="8"/>
  <c r="AG415" i="8"/>
  <c r="AD415" i="8"/>
  <c r="X415" i="8" a="1"/>
  <c r="X415" i="8" s="1"/>
  <c r="Y415" i="8" s="1"/>
  <c r="AA415" i="8" s="1"/>
  <c r="R415" i="8"/>
  <c r="N415" i="8" a="1"/>
  <c r="N415" i="8" s="1"/>
  <c r="O415" i="8" s="1"/>
  <c r="L415" i="8"/>
  <c r="H415" i="8"/>
  <c r="C415" i="8" a="1"/>
  <c r="C415" i="8" s="1"/>
  <c r="A415" i="8" a="1"/>
  <c r="A415" i="8" s="1"/>
  <c r="AT414" i="8" a="1"/>
  <c r="AT414" i="8" s="1"/>
  <c r="AS414" i="8"/>
  <c r="AP414" i="8"/>
  <c r="AM414" i="8"/>
  <c r="AJ414" i="8"/>
  <c r="AG414" i="8"/>
  <c r="AD414" i="8"/>
  <c r="X414" i="8" a="1"/>
  <c r="X414" i="8" s="1"/>
  <c r="Y414" i="8" s="1"/>
  <c r="AA414" i="8" s="1"/>
  <c r="R414" i="8"/>
  <c r="N414" i="8" a="1"/>
  <c r="N414" i="8" s="1"/>
  <c r="O414" i="8" s="1"/>
  <c r="L414" i="8"/>
  <c r="H414" i="8"/>
  <c r="C414" i="8" a="1"/>
  <c r="C414" i="8" s="1"/>
  <c r="A414" i="8" a="1"/>
  <c r="A414" i="8" s="1"/>
  <c r="AT413" i="8" a="1"/>
  <c r="AT413" i="8" s="1"/>
  <c r="AS413" i="8"/>
  <c r="AP413" i="8"/>
  <c r="AM413" i="8"/>
  <c r="AJ413" i="8"/>
  <c r="AG413" i="8"/>
  <c r="AD413" i="8"/>
  <c r="X413" i="8" a="1"/>
  <c r="X413" i="8" s="1"/>
  <c r="Y413" i="8" s="1"/>
  <c r="AA413" i="8" s="1"/>
  <c r="R413" i="8"/>
  <c r="N413" i="8" a="1"/>
  <c r="N413" i="8" s="1"/>
  <c r="O413" i="8" s="1"/>
  <c r="L413" i="8"/>
  <c r="H413" i="8"/>
  <c r="C413" i="8" a="1"/>
  <c r="C413" i="8" s="1"/>
  <c r="A413" i="8" a="1"/>
  <c r="A413" i="8" s="1"/>
  <c r="AT412" i="8" a="1"/>
  <c r="AT412" i="8" s="1"/>
  <c r="AS412" i="8"/>
  <c r="AP412" i="8"/>
  <c r="AM412" i="8"/>
  <c r="AJ412" i="8"/>
  <c r="AG412" i="8"/>
  <c r="AD412" i="8"/>
  <c r="X412" i="8" a="1"/>
  <c r="X412" i="8" s="1"/>
  <c r="Y412" i="8" s="1"/>
  <c r="AA412" i="8" s="1"/>
  <c r="R412" i="8"/>
  <c r="N412" i="8" a="1"/>
  <c r="N412" i="8" s="1"/>
  <c r="O412" i="8" s="1"/>
  <c r="L412" i="8"/>
  <c r="H412" i="8"/>
  <c r="C412" i="8" a="1"/>
  <c r="C412" i="8" s="1"/>
  <c r="A412" i="8" a="1"/>
  <c r="A412" i="8" s="1"/>
  <c r="AT411" i="8" a="1"/>
  <c r="AT411" i="8" s="1"/>
  <c r="AS411" i="8"/>
  <c r="AP411" i="8"/>
  <c r="AM411" i="8"/>
  <c r="AJ411" i="8"/>
  <c r="AG411" i="8"/>
  <c r="AD411" i="8"/>
  <c r="X411" i="8" a="1"/>
  <c r="X411" i="8" s="1"/>
  <c r="Y411" i="8" s="1"/>
  <c r="AA411" i="8" s="1"/>
  <c r="R411" i="8"/>
  <c r="N411" i="8" a="1"/>
  <c r="N411" i="8" s="1"/>
  <c r="O411" i="8" s="1"/>
  <c r="L411" i="8"/>
  <c r="H411" i="8"/>
  <c r="C411" i="8" a="1"/>
  <c r="C411" i="8" s="1"/>
  <c r="A411" i="8" a="1"/>
  <c r="A411" i="8" s="1"/>
  <c r="AT410" i="8" a="1"/>
  <c r="AT410" i="8" s="1"/>
  <c r="AS410" i="8"/>
  <c r="AP410" i="8"/>
  <c r="AM410" i="8"/>
  <c r="AJ410" i="8"/>
  <c r="AG410" i="8"/>
  <c r="AD410" i="8"/>
  <c r="X410" i="8" a="1"/>
  <c r="X410" i="8" s="1"/>
  <c r="Y410" i="8" s="1"/>
  <c r="AA410" i="8" s="1"/>
  <c r="R410" i="8"/>
  <c r="N410" i="8" a="1"/>
  <c r="N410" i="8" s="1"/>
  <c r="O410" i="8" s="1"/>
  <c r="L410" i="8"/>
  <c r="H410" i="8"/>
  <c r="C410" i="8" a="1"/>
  <c r="C410" i="8" s="1"/>
  <c r="A410" i="8" a="1"/>
  <c r="A410" i="8" s="1"/>
  <c r="AT409" i="8" a="1"/>
  <c r="AT409" i="8" s="1"/>
  <c r="AS409" i="8"/>
  <c r="AP409" i="8"/>
  <c r="AM409" i="8"/>
  <c r="AJ409" i="8"/>
  <c r="AG409" i="8"/>
  <c r="AD409" i="8"/>
  <c r="X409" i="8" a="1"/>
  <c r="X409" i="8" s="1"/>
  <c r="Y409" i="8" s="1"/>
  <c r="AA409" i="8" s="1"/>
  <c r="R409" i="8"/>
  <c r="N409" i="8" a="1"/>
  <c r="N409" i="8" s="1"/>
  <c r="O409" i="8" s="1"/>
  <c r="L409" i="8"/>
  <c r="H409" i="8"/>
  <c r="C409" i="8" a="1"/>
  <c r="C409" i="8" s="1"/>
  <c r="A409" i="8" a="1"/>
  <c r="A409" i="8" s="1"/>
  <c r="AT408" i="8" a="1"/>
  <c r="AT408" i="8" s="1"/>
  <c r="AS408" i="8"/>
  <c r="AP408" i="8"/>
  <c r="AM408" i="8"/>
  <c r="AJ408" i="8"/>
  <c r="AG408" i="8"/>
  <c r="AD408" i="8"/>
  <c r="X408" i="8" a="1"/>
  <c r="X408" i="8" s="1"/>
  <c r="Y408" i="8" s="1"/>
  <c r="AA408" i="8" s="1"/>
  <c r="R408" i="8"/>
  <c r="N408" i="8" a="1"/>
  <c r="N408" i="8" s="1"/>
  <c r="O408" i="8" s="1"/>
  <c r="L408" i="8"/>
  <c r="H408" i="8"/>
  <c r="C408" i="8" a="1"/>
  <c r="C408" i="8" s="1"/>
  <c r="A408" i="8" a="1"/>
  <c r="A408" i="8" s="1"/>
  <c r="AT407" i="8" a="1"/>
  <c r="AT407" i="8" s="1"/>
  <c r="AS407" i="8"/>
  <c r="AP407" i="8"/>
  <c r="AM407" i="8"/>
  <c r="AJ407" i="8"/>
  <c r="AG407" i="8"/>
  <c r="AD407" i="8"/>
  <c r="X407" i="8" a="1"/>
  <c r="X407" i="8" s="1"/>
  <c r="Y407" i="8" s="1"/>
  <c r="AA407" i="8" s="1"/>
  <c r="R407" i="8"/>
  <c r="N407" i="8" a="1"/>
  <c r="N407" i="8" s="1"/>
  <c r="O407" i="8" s="1"/>
  <c r="L407" i="8"/>
  <c r="H407" i="8"/>
  <c r="C407" i="8" a="1"/>
  <c r="C407" i="8" s="1"/>
  <c r="A407" i="8" a="1"/>
  <c r="A407" i="8" s="1"/>
  <c r="AT406" i="8" a="1"/>
  <c r="AT406" i="8" s="1"/>
  <c r="AS406" i="8"/>
  <c r="AP406" i="8"/>
  <c r="AM406" i="8"/>
  <c r="AJ406" i="8"/>
  <c r="AG406" i="8"/>
  <c r="AD406" i="8"/>
  <c r="X406" i="8" a="1"/>
  <c r="X406" i="8" s="1"/>
  <c r="Y406" i="8" s="1"/>
  <c r="AA406" i="8" s="1"/>
  <c r="R406" i="8"/>
  <c r="N406" i="8" a="1"/>
  <c r="N406" i="8" s="1"/>
  <c r="O406" i="8" s="1"/>
  <c r="L406" i="8"/>
  <c r="H406" i="8"/>
  <c r="C406" i="8" a="1"/>
  <c r="C406" i="8" s="1"/>
  <c r="A406" i="8" a="1"/>
  <c r="A406" i="8" s="1"/>
  <c r="AT405" i="8" a="1"/>
  <c r="AT405" i="8" s="1"/>
  <c r="AS405" i="8"/>
  <c r="AP405" i="8"/>
  <c r="AM405" i="8"/>
  <c r="AJ405" i="8"/>
  <c r="AG405" i="8"/>
  <c r="AD405" i="8"/>
  <c r="X405" i="8" a="1"/>
  <c r="X405" i="8" s="1"/>
  <c r="Y405" i="8" s="1"/>
  <c r="AA405" i="8" s="1"/>
  <c r="R405" i="8"/>
  <c r="N405" i="8" a="1"/>
  <c r="N405" i="8" s="1"/>
  <c r="O405" i="8" s="1"/>
  <c r="L405" i="8"/>
  <c r="H405" i="8"/>
  <c r="C405" i="8" a="1"/>
  <c r="C405" i="8" s="1"/>
  <c r="A405" i="8" a="1"/>
  <c r="A405" i="8" s="1"/>
  <c r="AT404" i="8" a="1"/>
  <c r="AT404" i="8" s="1"/>
  <c r="AS404" i="8"/>
  <c r="AP404" i="8"/>
  <c r="AM404" i="8"/>
  <c r="AJ404" i="8"/>
  <c r="AG404" i="8"/>
  <c r="AD404" i="8"/>
  <c r="X404" i="8" a="1"/>
  <c r="X404" i="8" s="1"/>
  <c r="Y404" i="8" s="1"/>
  <c r="AA404" i="8" s="1"/>
  <c r="R404" i="8"/>
  <c r="N404" i="8" a="1"/>
  <c r="N404" i="8" s="1"/>
  <c r="O404" i="8" s="1"/>
  <c r="L404" i="8"/>
  <c r="H404" i="8"/>
  <c r="C404" i="8" a="1"/>
  <c r="C404" i="8" s="1"/>
  <c r="A404" i="8" a="1"/>
  <c r="A404" i="8" s="1"/>
  <c r="AT403" i="8" a="1"/>
  <c r="AT403" i="8" s="1"/>
  <c r="AS403" i="8"/>
  <c r="AP403" i="8"/>
  <c r="AM403" i="8"/>
  <c r="AJ403" i="8"/>
  <c r="AG403" i="8"/>
  <c r="AD403" i="8"/>
  <c r="X403" i="8" a="1"/>
  <c r="X403" i="8" s="1"/>
  <c r="Y403" i="8" s="1"/>
  <c r="AA403" i="8" s="1"/>
  <c r="R403" i="8"/>
  <c r="N403" i="8" a="1"/>
  <c r="N403" i="8" s="1"/>
  <c r="O403" i="8" s="1"/>
  <c r="L403" i="8"/>
  <c r="H403" i="8"/>
  <c r="C403" i="8" a="1"/>
  <c r="C403" i="8" s="1"/>
  <c r="A403" i="8" a="1"/>
  <c r="A403" i="8" s="1"/>
  <c r="AT402" i="8" a="1"/>
  <c r="AT402" i="8" s="1"/>
  <c r="AS402" i="8"/>
  <c r="AP402" i="8"/>
  <c r="AM402" i="8"/>
  <c r="AJ402" i="8"/>
  <c r="AG402" i="8"/>
  <c r="AD402" i="8"/>
  <c r="X402" i="8" a="1"/>
  <c r="X402" i="8" s="1"/>
  <c r="Y402" i="8" s="1"/>
  <c r="AA402" i="8" s="1"/>
  <c r="R402" i="8"/>
  <c r="N402" i="8" a="1"/>
  <c r="N402" i="8" s="1"/>
  <c r="O402" i="8" s="1"/>
  <c r="L402" i="8"/>
  <c r="H402" i="8"/>
  <c r="C402" i="8" a="1"/>
  <c r="C402" i="8" s="1"/>
  <c r="A402" i="8" a="1"/>
  <c r="A402" i="8" s="1"/>
  <c r="AT401" i="8" a="1"/>
  <c r="AT401" i="8" s="1"/>
  <c r="AS401" i="8"/>
  <c r="AP401" i="8"/>
  <c r="AM401" i="8"/>
  <c r="AJ401" i="8"/>
  <c r="AG401" i="8"/>
  <c r="AD401" i="8"/>
  <c r="X401" i="8" a="1"/>
  <c r="X401" i="8" s="1"/>
  <c r="Y401" i="8" s="1"/>
  <c r="AA401" i="8" s="1"/>
  <c r="R401" i="8"/>
  <c r="N401" i="8" a="1"/>
  <c r="N401" i="8" s="1"/>
  <c r="O401" i="8" s="1"/>
  <c r="L401" i="8"/>
  <c r="H401" i="8"/>
  <c r="C401" i="8" a="1"/>
  <c r="C401" i="8" s="1"/>
  <c r="A401" i="8" a="1"/>
  <c r="A401" i="8" s="1"/>
  <c r="AT400" i="8" a="1"/>
  <c r="AT400" i="8" s="1"/>
  <c r="AS400" i="8"/>
  <c r="AP400" i="8"/>
  <c r="AM400" i="8"/>
  <c r="AJ400" i="8"/>
  <c r="AG400" i="8"/>
  <c r="AD400" i="8"/>
  <c r="X400" i="8" a="1"/>
  <c r="X400" i="8" s="1"/>
  <c r="Y400" i="8" s="1"/>
  <c r="AA400" i="8" s="1"/>
  <c r="R400" i="8"/>
  <c r="N400" i="8" a="1"/>
  <c r="N400" i="8" s="1"/>
  <c r="O400" i="8" s="1"/>
  <c r="K400" i="8"/>
  <c r="L400" i="8" s="1"/>
  <c r="H400" i="8"/>
  <c r="C400" i="8" a="1"/>
  <c r="C400" i="8" s="1"/>
  <c r="A400" i="8" a="1"/>
  <c r="A400" i="8" s="1"/>
  <c r="AT399" i="8" a="1"/>
  <c r="AT399" i="8" s="1"/>
  <c r="AS399" i="8"/>
  <c r="AP399" i="8"/>
  <c r="AM399" i="8"/>
  <c r="AJ399" i="8"/>
  <c r="AG399" i="8"/>
  <c r="AD399" i="8"/>
  <c r="X399" i="8" a="1"/>
  <c r="X399" i="8" s="1"/>
  <c r="Y399" i="8" s="1"/>
  <c r="AA399" i="8" s="1"/>
  <c r="R399" i="8"/>
  <c r="N399" i="8" a="1"/>
  <c r="N399" i="8" s="1"/>
  <c r="O399" i="8" s="1"/>
  <c r="L399" i="8"/>
  <c r="H399" i="8"/>
  <c r="A399" i="8" a="1"/>
  <c r="A399" i="8" s="1"/>
  <c r="AT398" i="8" a="1"/>
  <c r="AT398" i="8" s="1"/>
  <c r="AS398" i="8"/>
  <c r="AP398" i="8"/>
  <c r="AM398" i="8"/>
  <c r="AJ398" i="8"/>
  <c r="AG398" i="8"/>
  <c r="AD398" i="8"/>
  <c r="X398" i="8" a="1"/>
  <c r="X398" i="8" s="1"/>
  <c r="Y398" i="8" s="1"/>
  <c r="V398" i="8"/>
  <c r="R398" i="8"/>
  <c r="N398" i="8" a="1"/>
  <c r="N398" i="8" s="1"/>
  <c r="O398" i="8" s="1"/>
  <c r="L398" i="8"/>
  <c r="H398" i="8"/>
  <c r="C398" i="8" a="1"/>
  <c r="C398" i="8" s="1"/>
  <c r="A398" i="8" a="1"/>
  <c r="A398" i="8" s="1"/>
  <c r="AT397" i="8" a="1"/>
  <c r="AT397" i="8" s="1"/>
  <c r="AS397" i="8"/>
  <c r="AP397" i="8"/>
  <c r="AM397" i="8"/>
  <c r="AJ397" i="8"/>
  <c r="AG397" i="8"/>
  <c r="AD397" i="8"/>
  <c r="X397" i="8" a="1"/>
  <c r="X397" i="8" s="1"/>
  <c r="Y397" i="8" s="1"/>
  <c r="V397" i="8"/>
  <c r="R397" i="8"/>
  <c r="N397" i="8" a="1"/>
  <c r="N397" i="8" s="1"/>
  <c r="O397" i="8" s="1"/>
  <c r="L397" i="8"/>
  <c r="H397" i="8"/>
  <c r="C397" i="8" a="1"/>
  <c r="C397" i="8" s="1"/>
  <c r="A397" i="8" a="1"/>
  <c r="A397" i="8" s="1"/>
  <c r="AT396" i="8" a="1"/>
  <c r="AT396" i="8" s="1"/>
  <c r="AS396" i="8"/>
  <c r="AP396" i="8"/>
  <c r="AM396" i="8"/>
  <c r="AJ396" i="8"/>
  <c r="AG396" i="8"/>
  <c r="AD396" i="8"/>
  <c r="X396" i="8" a="1"/>
  <c r="X396" i="8" s="1"/>
  <c r="Y396" i="8" s="1"/>
  <c r="AA396" i="8" s="1"/>
  <c r="R396" i="8"/>
  <c r="N396" i="8" a="1"/>
  <c r="N396" i="8" s="1"/>
  <c r="O396" i="8" s="1"/>
  <c r="L396" i="8"/>
  <c r="H396" i="8"/>
  <c r="C396" i="8" a="1"/>
  <c r="C396" i="8" s="1"/>
  <c r="A396" i="8" a="1"/>
  <c r="A396" i="8" s="1"/>
  <c r="AT395" i="8" a="1"/>
  <c r="AT395" i="8" s="1"/>
  <c r="AS395" i="8"/>
  <c r="AP395" i="8"/>
  <c r="AM395" i="8"/>
  <c r="AJ395" i="8"/>
  <c r="AG395" i="8"/>
  <c r="AD395" i="8"/>
  <c r="X395" i="8" a="1"/>
  <c r="X395" i="8" s="1"/>
  <c r="Y395" i="8" s="1"/>
  <c r="AA395" i="8" s="1"/>
  <c r="R395" i="8"/>
  <c r="N395" i="8" a="1"/>
  <c r="N395" i="8" s="1"/>
  <c r="O395" i="8" s="1"/>
  <c r="L395" i="8"/>
  <c r="H395" i="8"/>
  <c r="C395" i="8" a="1"/>
  <c r="C395" i="8" s="1"/>
  <c r="A395" i="8" a="1"/>
  <c r="A395" i="8" s="1"/>
  <c r="AT394" i="8" a="1"/>
  <c r="AT394" i="8" s="1"/>
  <c r="AS394" i="8"/>
  <c r="AP394" i="8"/>
  <c r="AM394" i="8"/>
  <c r="AJ394" i="8"/>
  <c r="AG394" i="8"/>
  <c r="AD394" i="8"/>
  <c r="X394" i="8" a="1"/>
  <c r="X394" i="8" s="1"/>
  <c r="Y394" i="8" s="1"/>
  <c r="AA394" i="8" s="1"/>
  <c r="R394" i="8"/>
  <c r="N394" i="8" a="1"/>
  <c r="N394" i="8" s="1"/>
  <c r="O394" i="8" s="1"/>
  <c r="L394" i="8"/>
  <c r="H394" i="8"/>
  <c r="C394" i="8" a="1"/>
  <c r="C394" i="8" s="1"/>
  <c r="A394" i="8" a="1"/>
  <c r="A394" i="8" s="1"/>
  <c r="AT393" i="8" a="1"/>
  <c r="AT393" i="8" s="1"/>
  <c r="AS393" i="8"/>
  <c r="AP393" i="8"/>
  <c r="AM393" i="8"/>
  <c r="AJ393" i="8"/>
  <c r="AG393" i="8"/>
  <c r="AD393" i="8"/>
  <c r="X393" i="8" a="1"/>
  <c r="X393" i="8" s="1"/>
  <c r="Y393" i="8" s="1"/>
  <c r="AA393" i="8" s="1"/>
  <c r="R393" i="8"/>
  <c r="N393" i="8" a="1"/>
  <c r="N393" i="8" s="1"/>
  <c r="O393" i="8" s="1"/>
  <c r="L393" i="8"/>
  <c r="H393" i="8"/>
  <c r="C393" i="8" a="1"/>
  <c r="C393" i="8" s="1"/>
  <c r="A393" i="8" a="1"/>
  <c r="A393" i="8" s="1"/>
  <c r="AT392" i="8" a="1"/>
  <c r="AT392" i="8" s="1"/>
  <c r="AS392" i="8"/>
  <c r="AP392" i="8"/>
  <c r="AM392" i="8"/>
  <c r="AJ392" i="8"/>
  <c r="AG392" i="8"/>
  <c r="AD392" i="8"/>
  <c r="V392" i="8"/>
  <c r="AA392" i="8" s="1"/>
  <c r="R392" i="8"/>
  <c r="N392" i="8" a="1"/>
  <c r="N392" i="8" s="1"/>
  <c r="O392" i="8" s="1"/>
  <c r="L392" i="8"/>
  <c r="H392" i="8"/>
  <c r="D392" i="8"/>
  <c r="C392" i="8" a="1"/>
  <c r="C392" i="8" s="1"/>
  <c r="A392" i="8" a="1"/>
  <c r="A392" i="8" s="1"/>
  <c r="AT391" i="8" a="1"/>
  <c r="AT391" i="8" s="1"/>
  <c r="AS391" i="8"/>
  <c r="AP391" i="8"/>
  <c r="AM391" i="8"/>
  <c r="AJ391" i="8"/>
  <c r="AG391" i="8"/>
  <c r="AD391" i="8"/>
  <c r="X391" i="8" a="1"/>
  <c r="X391" i="8" s="1"/>
  <c r="Y391" i="8" s="1"/>
  <c r="AA391" i="8" s="1"/>
  <c r="R391" i="8"/>
  <c r="N391" i="8" a="1"/>
  <c r="N391" i="8" s="1"/>
  <c r="O391" i="8" s="1"/>
  <c r="L391" i="8"/>
  <c r="H391" i="8"/>
  <c r="C391" i="8" a="1"/>
  <c r="C391" i="8" s="1"/>
  <c r="A391" i="8" a="1"/>
  <c r="A391" i="8" s="1"/>
  <c r="AT390" i="8" a="1"/>
  <c r="AT390" i="8" s="1"/>
  <c r="AS390" i="8"/>
  <c r="AP390" i="8"/>
  <c r="AM390" i="8"/>
  <c r="AJ390" i="8"/>
  <c r="AG390" i="8"/>
  <c r="AD390" i="8"/>
  <c r="X390" i="8" a="1"/>
  <c r="X390" i="8" s="1"/>
  <c r="Y390" i="8" s="1"/>
  <c r="AA390" i="8" s="1"/>
  <c r="R390" i="8"/>
  <c r="N390" i="8" a="1"/>
  <c r="N390" i="8" s="1"/>
  <c r="O390" i="8" s="1"/>
  <c r="L390" i="8"/>
  <c r="H390" i="8"/>
  <c r="C390" i="8" a="1"/>
  <c r="C390" i="8" s="1"/>
  <c r="A390" i="8" a="1"/>
  <c r="A390" i="8" s="1"/>
  <c r="AT389" i="8" a="1"/>
  <c r="AT389" i="8" s="1"/>
  <c r="AS389" i="8"/>
  <c r="AP389" i="8"/>
  <c r="AM389" i="8"/>
  <c r="AJ389" i="8"/>
  <c r="AG389" i="8"/>
  <c r="AD389" i="8"/>
  <c r="X389" i="8" a="1"/>
  <c r="X389" i="8" s="1"/>
  <c r="Y389" i="8" s="1"/>
  <c r="AA389" i="8" s="1"/>
  <c r="R389" i="8"/>
  <c r="N389" i="8" a="1"/>
  <c r="N389" i="8" s="1"/>
  <c r="O389" i="8" s="1"/>
  <c r="L389" i="8"/>
  <c r="H389" i="8"/>
  <c r="C389" i="8" a="1"/>
  <c r="C389" i="8" s="1"/>
  <c r="A389" i="8" a="1"/>
  <c r="A389" i="8" s="1"/>
  <c r="AT388" i="8" a="1"/>
  <c r="AT388" i="8" s="1"/>
  <c r="AS388" i="8"/>
  <c r="AP388" i="8"/>
  <c r="AM388" i="8"/>
  <c r="AJ388" i="8"/>
  <c r="AG388" i="8"/>
  <c r="AD388" i="8"/>
  <c r="R388" i="8"/>
  <c r="N388" i="8" a="1"/>
  <c r="N388" i="8" s="1"/>
  <c r="O388" i="8" s="1"/>
  <c r="L388" i="8"/>
  <c r="H388" i="8"/>
  <c r="D388" i="8"/>
  <c r="C388" i="8" a="1"/>
  <c r="C388" i="8" s="1"/>
  <c r="A388" i="8" a="1"/>
  <c r="A388" i="8" s="1"/>
  <c r="AT387" i="8" a="1"/>
  <c r="AT387" i="8" s="1"/>
  <c r="AS387" i="8"/>
  <c r="AP387" i="8"/>
  <c r="AM387" i="8"/>
  <c r="AJ387" i="8"/>
  <c r="AG387" i="8"/>
  <c r="AD387" i="8"/>
  <c r="V387" i="8"/>
  <c r="AA387" i="8" s="1"/>
  <c r="R387" i="8"/>
  <c r="N387" i="8" a="1"/>
  <c r="N387" i="8" s="1"/>
  <c r="O387" i="8" s="1"/>
  <c r="L387" i="8"/>
  <c r="H387" i="8"/>
  <c r="D387" i="8"/>
  <c r="C387" i="8" a="1"/>
  <c r="C387" i="8" s="1"/>
  <c r="A387" i="8" a="1"/>
  <c r="A387" i="8" s="1"/>
  <c r="AT386" i="8" a="1"/>
  <c r="AT386" i="8" s="1"/>
  <c r="AS386" i="8"/>
  <c r="AP386" i="8"/>
  <c r="AM386" i="8"/>
  <c r="AJ386" i="8"/>
  <c r="AG386" i="8"/>
  <c r="AD386" i="8"/>
  <c r="V386" i="8"/>
  <c r="AA386" i="8" s="1"/>
  <c r="R386" i="8"/>
  <c r="N386" i="8" a="1"/>
  <c r="N386" i="8" s="1"/>
  <c r="O386" i="8" s="1"/>
  <c r="L386" i="8"/>
  <c r="H386" i="8"/>
  <c r="D386" i="8"/>
  <c r="C386" i="8" a="1"/>
  <c r="C386" i="8" s="1"/>
  <c r="A386" i="8" a="1"/>
  <c r="A386" i="8" s="1"/>
  <c r="AT385" i="8" a="1"/>
  <c r="AT385" i="8" s="1"/>
  <c r="AS385" i="8"/>
  <c r="AP385" i="8"/>
  <c r="AM385" i="8"/>
  <c r="AJ385" i="8"/>
  <c r="AG385" i="8"/>
  <c r="AD385" i="8"/>
  <c r="X385" i="8" a="1"/>
  <c r="X385" i="8" s="1"/>
  <c r="Y385" i="8" s="1"/>
  <c r="AA385" i="8" s="1"/>
  <c r="R385" i="8"/>
  <c r="N385" i="8" a="1"/>
  <c r="N385" i="8" s="1"/>
  <c r="O385" i="8" s="1"/>
  <c r="L385" i="8"/>
  <c r="H385" i="8"/>
  <c r="C385" i="8" a="1"/>
  <c r="C385" i="8" s="1"/>
  <c r="A385" i="8" a="1"/>
  <c r="A385" i="8" s="1"/>
  <c r="AT384" i="8" a="1"/>
  <c r="AT384" i="8" s="1"/>
  <c r="AS384" i="8"/>
  <c r="AP384" i="8"/>
  <c r="AM384" i="8"/>
  <c r="AJ384" i="8"/>
  <c r="AG384" i="8"/>
  <c r="AD384" i="8"/>
  <c r="X384" i="8" a="1"/>
  <c r="X384" i="8" s="1"/>
  <c r="Y384" i="8" s="1"/>
  <c r="AA384" i="8" s="1"/>
  <c r="R384" i="8"/>
  <c r="N384" i="8" a="1"/>
  <c r="N384" i="8" s="1"/>
  <c r="O384" i="8" s="1"/>
  <c r="L384" i="8"/>
  <c r="H384" i="8"/>
  <c r="C384" i="8" a="1"/>
  <c r="C384" i="8" s="1"/>
  <c r="A384" i="8" a="1"/>
  <c r="A384" i="8" s="1"/>
  <c r="AT383" i="8" a="1"/>
  <c r="AT383" i="8" s="1"/>
  <c r="AS383" i="8"/>
  <c r="AP383" i="8"/>
  <c r="AM383" i="8"/>
  <c r="AJ383" i="8"/>
  <c r="AG383" i="8"/>
  <c r="AD383" i="8"/>
  <c r="X383" i="8" a="1"/>
  <c r="X383" i="8" s="1"/>
  <c r="Y383" i="8" s="1"/>
  <c r="AA383" i="8" s="1"/>
  <c r="R383" i="8"/>
  <c r="N383" i="8" a="1"/>
  <c r="N383" i="8" s="1"/>
  <c r="O383" i="8" s="1"/>
  <c r="L383" i="8"/>
  <c r="H383" i="8"/>
  <c r="C383" i="8" a="1"/>
  <c r="C383" i="8" s="1"/>
  <c r="A383" i="8" a="1"/>
  <c r="A383" i="8" s="1"/>
  <c r="AT382" i="8" a="1"/>
  <c r="AT382" i="8" s="1"/>
  <c r="AS382" i="8"/>
  <c r="AP382" i="8"/>
  <c r="AM382" i="8"/>
  <c r="AJ382" i="8"/>
  <c r="AG382" i="8"/>
  <c r="AD382" i="8"/>
  <c r="X382" i="8" a="1"/>
  <c r="X382" i="8" s="1"/>
  <c r="Y382" i="8" s="1"/>
  <c r="V382" i="8"/>
  <c r="R382" i="8"/>
  <c r="N382" i="8" a="1"/>
  <c r="N382" i="8" s="1"/>
  <c r="O382" i="8" s="1"/>
  <c r="L382" i="8"/>
  <c r="H382" i="8"/>
  <c r="C382" i="8" a="1"/>
  <c r="C382" i="8" s="1"/>
  <c r="A382" i="8" a="1"/>
  <c r="A382" i="8" s="1"/>
  <c r="AT381" i="8" a="1"/>
  <c r="AT381" i="8" s="1"/>
  <c r="AS381" i="8"/>
  <c r="AP381" i="8"/>
  <c r="AM381" i="8"/>
  <c r="AJ381" i="8"/>
  <c r="AG381" i="8"/>
  <c r="AD381" i="8"/>
  <c r="X381" i="8" a="1"/>
  <c r="X381" i="8" s="1"/>
  <c r="Y381" i="8" s="1"/>
  <c r="V381" i="8"/>
  <c r="R381" i="8"/>
  <c r="N381" i="8" a="1"/>
  <c r="N381" i="8" s="1"/>
  <c r="O381" i="8" s="1"/>
  <c r="L381" i="8"/>
  <c r="H381" i="8"/>
  <c r="C381" i="8" a="1"/>
  <c r="C381" i="8" s="1"/>
  <c r="A381" i="8" a="1"/>
  <c r="A381" i="8" s="1"/>
  <c r="AT380" i="8" a="1"/>
  <c r="AT380" i="8" s="1"/>
  <c r="AS380" i="8"/>
  <c r="AP380" i="8"/>
  <c r="AM380" i="8"/>
  <c r="AJ380" i="8"/>
  <c r="AG380" i="8"/>
  <c r="AD380" i="8"/>
  <c r="X380" i="8" a="1"/>
  <c r="X380" i="8" s="1"/>
  <c r="Y380" i="8" s="1"/>
  <c r="V380" i="8"/>
  <c r="R380" i="8"/>
  <c r="N380" i="8" a="1"/>
  <c r="N380" i="8" s="1"/>
  <c r="O380" i="8" s="1"/>
  <c r="L380" i="8"/>
  <c r="H380" i="8"/>
  <c r="C380" i="8" a="1"/>
  <c r="C380" i="8" s="1"/>
  <c r="A380" i="8" a="1"/>
  <c r="A380" i="8" s="1"/>
  <c r="AT379" i="8" a="1"/>
  <c r="AT379" i="8" s="1"/>
  <c r="AS379" i="8"/>
  <c r="AP379" i="8"/>
  <c r="AM379" i="8"/>
  <c r="AJ379" i="8"/>
  <c r="AG379" i="8"/>
  <c r="AD379" i="8"/>
  <c r="X379" i="8" a="1"/>
  <c r="X379" i="8" s="1"/>
  <c r="Y379" i="8" s="1"/>
  <c r="AA379" i="8" s="1"/>
  <c r="R379" i="8"/>
  <c r="N379" i="8" a="1"/>
  <c r="N379" i="8" s="1"/>
  <c r="O379" i="8" s="1"/>
  <c r="L379" i="8"/>
  <c r="H379" i="8"/>
  <c r="C379" i="8" a="1"/>
  <c r="C379" i="8" s="1"/>
  <c r="A379" i="8" a="1"/>
  <c r="A379" i="8" s="1"/>
  <c r="AT378" i="8" a="1"/>
  <c r="AT378" i="8" s="1"/>
  <c r="AS378" i="8"/>
  <c r="AP378" i="8"/>
  <c r="AM378" i="8"/>
  <c r="AJ378" i="8"/>
  <c r="AG378" i="8"/>
  <c r="AD378" i="8"/>
  <c r="X378" i="8" a="1"/>
  <c r="X378" i="8" s="1"/>
  <c r="Y378" i="8" s="1"/>
  <c r="AA378" i="8" s="1"/>
  <c r="R378" i="8"/>
  <c r="N378" i="8" a="1"/>
  <c r="N378" i="8" s="1"/>
  <c r="O378" i="8" s="1"/>
  <c r="L378" i="8"/>
  <c r="H378" i="8"/>
  <c r="C378" i="8" a="1"/>
  <c r="C378" i="8" s="1"/>
  <c r="A378" i="8" a="1"/>
  <c r="A378" i="8" s="1"/>
  <c r="AT377" i="8" a="1"/>
  <c r="AT377" i="8" s="1"/>
  <c r="AS377" i="8"/>
  <c r="AP377" i="8"/>
  <c r="AM377" i="8"/>
  <c r="AJ377" i="8"/>
  <c r="AG377" i="8"/>
  <c r="AD377" i="8"/>
  <c r="X377" i="8" a="1"/>
  <c r="X377" i="8" s="1"/>
  <c r="Y377" i="8" s="1"/>
  <c r="AA377" i="8" s="1"/>
  <c r="R377" i="8"/>
  <c r="N377" i="8" a="1"/>
  <c r="N377" i="8" s="1"/>
  <c r="O377" i="8" s="1"/>
  <c r="L377" i="8"/>
  <c r="H377" i="8"/>
  <c r="C377" i="8" a="1"/>
  <c r="C377" i="8" s="1"/>
  <c r="A377" i="8" a="1"/>
  <c r="A377" i="8" s="1"/>
  <c r="AT376" i="8" a="1"/>
  <c r="AT376" i="8" s="1"/>
  <c r="AS376" i="8"/>
  <c r="AP376" i="8"/>
  <c r="AM376" i="8"/>
  <c r="AJ376" i="8"/>
  <c r="AG376" i="8"/>
  <c r="AD376" i="8"/>
  <c r="X376" i="8" a="1"/>
  <c r="X376" i="8" s="1"/>
  <c r="Y376" i="8" s="1"/>
  <c r="V376" i="8"/>
  <c r="R376" i="8"/>
  <c r="N376" i="8" a="1"/>
  <c r="N376" i="8" s="1"/>
  <c r="O376" i="8" s="1"/>
  <c r="L376" i="8"/>
  <c r="H376" i="8"/>
  <c r="C376" i="8" a="1"/>
  <c r="C376" i="8" s="1"/>
  <c r="A376" i="8" a="1"/>
  <c r="A376" i="8" s="1"/>
  <c r="AT375" i="8" a="1"/>
  <c r="AT375" i="8" s="1"/>
  <c r="AS375" i="8"/>
  <c r="AP375" i="8"/>
  <c r="AM375" i="8"/>
  <c r="AJ375" i="8"/>
  <c r="AG375" i="8"/>
  <c r="AD375" i="8"/>
  <c r="X375" i="8" a="1"/>
  <c r="X375" i="8" s="1"/>
  <c r="Y375" i="8" s="1"/>
  <c r="V375" i="8"/>
  <c r="R375" i="8"/>
  <c r="N375" i="8" a="1"/>
  <c r="N375" i="8" s="1"/>
  <c r="O375" i="8" s="1"/>
  <c r="L375" i="8"/>
  <c r="H375" i="8"/>
  <c r="C375" i="8" a="1"/>
  <c r="C375" i="8" s="1"/>
  <c r="A375" i="8" a="1"/>
  <c r="A375" i="8" s="1"/>
  <c r="AT374" i="8" a="1"/>
  <c r="AT374" i="8" s="1"/>
  <c r="AS374" i="8"/>
  <c r="AP374" i="8"/>
  <c r="AM374" i="8"/>
  <c r="AJ374" i="8"/>
  <c r="AG374" i="8"/>
  <c r="AD374" i="8"/>
  <c r="X374" i="8" a="1"/>
  <c r="X374" i="8" s="1"/>
  <c r="Y374" i="8" s="1"/>
  <c r="V374" i="8"/>
  <c r="R374" i="8"/>
  <c r="N374" i="8" a="1"/>
  <c r="N374" i="8" s="1"/>
  <c r="O374" i="8" s="1"/>
  <c r="L374" i="8"/>
  <c r="H374" i="8"/>
  <c r="C374" i="8" a="1"/>
  <c r="C374" i="8" s="1"/>
  <c r="A374" i="8" a="1"/>
  <c r="A374" i="8" s="1"/>
  <c r="AT373" i="8" a="1"/>
  <c r="AT373" i="8" s="1"/>
  <c r="AS373" i="8"/>
  <c r="AP373" i="8"/>
  <c r="AM373" i="8"/>
  <c r="AJ373" i="8"/>
  <c r="AG373" i="8"/>
  <c r="AD373" i="8"/>
  <c r="X373" i="8" a="1"/>
  <c r="X373" i="8" s="1"/>
  <c r="Y373" i="8" s="1"/>
  <c r="V373" i="8"/>
  <c r="R373" i="8"/>
  <c r="N373" i="8" a="1"/>
  <c r="N373" i="8" s="1"/>
  <c r="O373" i="8" s="1"/>
  <c r="L373" i="8"/>
  <c r="H373" i="8"/>
  <c r="C373" i="8" a="1"/>
  <c r="C373" i="8" s="1"/>
  <c r="A373" i="8" a="1"/>
  <c r="A373" i="8" s="1"/>
  <c r="AT372" i="8" a="1"/>
  <c r="AT372" i="8" s="1"/>
  <c r="AS372" i="8"/>
  <c r="AP372" i="8"/>
  <c r="AM372" i="8"/>
  <c r="AJ372" i="8"/>
  <c r="AG372" i="8"/>
  <c r="AD372" i="8"/>
  <c r="X372" i="8" a="1"/>
  <c r="X372" i="8" s="1"/>
  <c r="Y372" i="8" s="1"/>
  <c r="V372" i="8"/>
  <c r="R372" i="8"/>
  <c r="N372" i="8" a="1"/>
  <c r="N372" i="8" s="1"/>
  <c r="O372" i="8" s="1"/>
  <c r="L372" i="8"/>
  <c r="H372" i="8"/>
  <c r="C372" i="8" a="1"/>
  <c r="C372" i="8" s="1"/>
  <c r="A372" i="8" a="1"/>
  <c r="A372" i="8" s="1"/>
  <c r="AT371" i="8" a="1"/>
  <c r="AT371" i="8" s="1"/>
  <c r="AS371" i="8"/>
  <c r="AP371" i="8"/>
  <c r="AM371" i="8"/>
  <c r="AJ371" i="8"/>
  <c r="AG371" i="8"/>
  <c r="AD371" i="8"/>
  <c r="X371" i="8" a="1"/>
  <c r="X371" i="8" s="1"/>
  <c r="Y371" i="8" s="1"/>
  <c r="AA371" i="8" s="1"/>
  <c r="R371" i="8"/>
  <c r="N371" i="8" a="1"/>
  <c r="N371" i="8" s="1"/>
  <c r="O371" i="8" s="1"/>
  <c r="L371" i="8"/>
  <c r="H371" i="8"/>
  <c r="C371" i="8" a="1"/>
  <c r="C371" i="8" s="1"/>
  <c r="A371" i="8" a="1"/>
  <c r="A371" i="8" s="1"/>
  <c r="AT370" i="8" a="1"/>
  <c r="AT370" i="8" s="1"/>
  <c r="AS370" i="8"/>
  <c r="AP370" i="8"/>
  <c r="AM370" i="8"/>
  <c r="AJ370" i="8"/>
  <c r="AG370" i="8"/>
  <c r="AD370" i="8"/>
  <c r="X370" i="8" a="1"/>
  <c r="X370" i="8" s="1"/>
  <c r="Y370" i="8" s="1"/>
  <c r="AA370" i="8" s="1"/>
  <c r="R370" i="8"/>
  <c r="N370" i="8" a="1"/>
  <c r="N370" i="8" s="1"/>
  <c r="O370" i="8" s="1"/>
  <c r="L370" i="8"/>
  <c r="H370" i="8"/>
  <c r="C370" i="8" a="1"/>
  <c r="C370" i="8" s="1"/>
  <c r="A370" i="8" a="1"/>
  <c r="A370" i="8" s="1"/>
  <c r="AT369" i="8" a="1"/>
  <c r="AT369" i="8" s="1"/>
  <c r="AS369" i="8"/>
  <c r="AP369" i="8"/>
  <c r="AM369" i="8"/>
  <c r="AJ369" i="8"/>
  <c r="AG369" i="8"/>
  <c r="AD369" i="8"/>
  <c r="X369" i="8" a="1"/>
  <c r="X369" i="8" s="1"/>
  <c r="Y369" i="8" s="1"/>
  <c r="AA369" i="8" s="1"/>
  <c r="R369" i="8"/>
  <c r="N369" i="8" a="1"/>
  <c r="N369" i="8" s="1"/>
  <c r="O369" i="8" s="1"/>
  <c r="L369" i="8"/>
  <c r="H369" i="8"/>
  <c r="C369" i="8" a="1"/>
  <c r="C369" i="8" s="1"/>
  <c r="A369" i="8" a="1"/>
  <c r="A369" i="8" s="1"/>
  <c r="AT368" i="8" a="1"/>
  <c r="AT368" i="8" s="1"/>
  <c r="AS368" i="8"/>
  <c r="AP368" i="8"/>
  <c r="AM368" i="8"/>
  <c r="AJ368" i="8"/>
  <c r="AG368" i="8"/>
  <c r="AD368" i="8"/>
  <c r="X368" i="8" a="1"/>
  <c r="X368" i="8" s="1"/>
  <c r="Y368" i="8" s="1"/>
  <c r="AA368" i="8" s="1"/>
  <c r="R368" i="8"/>
  <c r="N368" i="8" a="1"/>
  <c r="N368" i="8" s="1"/>
  <c r="O368" i="8" s="1"/>
  <c r="L368" i="8"/>
  <c r="H368" i="8"/>
  <c r="C368" i="8" a="1"/>
  <c r="C368" i="8" s="1"/>
  <c r="A368" i="8" a="1"/>
  <c r="A368" i="8" s="1"/>
  <c r="AT367" i="8" a="1"/>
  <c r="AT367" i="8" s="1"/>
  <c r="AS367" i="8"/>
  <c r="AP367" i="8"/>
  <c r="AM367" i="8"/>
  <c r="AJ367" i="8"/>
  <c r="AG367" i="8"/>
  <c r="AD367" i="8"/>
  <c r="X367" i="8" a="1"/>
  <c r="X367" i="8" s="1"/>
  <c r="Y367" i="8" s="1"/>
  <c r="AA367" i="8" s="1"/>
  <c r="R367" i="8"/>
  <c r="N367" i="8" a="1"/>
  <c r="N367" i="8" s="1"/>
  <c r="O367" i="8" s="1"/>
  <c r="L367" i="8"/>
  <c r="H367" i="8"/>
  <c r="C367" i="8" a="1"/>
  <c r="C367" i="8" s="1"/>
  <c r="A367" i="8" a="1"/>
  <c r="A367" i="8" s="1"/>
  <c r="AT366" i="8" a="1"/>
  <c r="AT366" i="8" s="1"/>
  <c r="AS366" i="8"/>
  <c r="AP366" i="8"/>
  <c r="AM366" i="8"/>
  <c r="AJ366" i="8"/>
  <c r="AG366" i="8"/>
  <c r="AD366" i="8"/>
  <c r="X366" i="8" a="1"/>
  <c r="X366" i="8" s="1"/>
  <c r="Y366" i="8" s="1"/>
  <c r="AA366" i="8" s="1"/>
  <c r="R366" i="8"/>
  <c r="N366" i="8" a="1"/>
  <c r="N366" i="8" s="1"/>
  <c r="O366" i="8" s="1"/>
  <c r="L366" i="8"/>
  <c r="H366" i="8"/>
  <c r="C366" i="8" a="1"/>
  <c r="C366" i="8" s="1"/>
  <c r="A366" i="8" a="1"/>
  <c r="A366" i="8" s="1"/>
  <c r="AT365" i="8" a="1"/>
  <c r="AT365" i="8" s="1"/>
  <c r="AS365" i="8"/>
  <c r="AP365" i="8"/>
  <c r="AM365" i="8"/>
  <c r="AJ365" i="8"/>
  <c r="AG365" i="8"/>
  <c r="AD365" i="8"/>
  <c r="X365" i="8" a="1"/>
  <c r="X365" i="8" s="1"/>
  <c r="Y365" i="8" s="1"/>
  <c r="AA365" i="8" s="1"/>
  <c r="R365" i="8"/>
  <c r="N365" i="8" a="1"/>
  <c r="N365" i="8" s="1"/>
  <c r="O365" i="8" s="1"/>
  <c r="L365" i="8"/>
  <c r="H365" i="8"/>
  <c r="C365" i="8" a="1"/>
  <c r="C365" i="8" s="1"/>
  <c r="A365" i="8" a="1"/>
  <c r="A365" i="8" s="1"/>
  <c r="AT364" i="8" a="1"/>
  <c r="AT364" i="8" s="1"/>
  <c r="AS364" i="8"/>
  <c r="AP364" i="8"/>
  <c r="AM364" i="8"/>
  <c r="AJ364" i="8"/>
  <c r="AG364" i="8"/>
  <c r="AD364" i="8"/>
  <c r="X364" i="8" a="1"/>
  <c r="X364" i="8" s="1"/>
  <c r="Y364" i="8" s="1"/>
  <c r="AA364" i="8" s="1"/>
  <c r="R364" i="8"/>
  <c r="N364" i="8" a="1"/>
  <c r="N364" i="8" s="1"/>
  <c r="O364" i="8" s="1"/>
  <c r="L364" i="8"/>
  <c r="H364" i="8"/>
  <c r="C364" i="8" a="1"/>
  <c r="C364" i="8" s="1"/>
  <c r="A364" i="8" a="1"/>
  <c r="A364" i="8" s="1"/>
  <c r="AT363" i="8" a="1"/>
  <c r="AT363" i="8" s="1"/>
  <c r="AS363" i="8"/>
  <c r="AP363" i="8"/>
  <c r="AM363" i="8"/>
  <c r="AJ363" i="8"/>
  <c r="AG363" i="8"/>
  <c r="AD363" i="8"/>
  <c r="X363" i="8" a="1"/>
  <c r="X363" i="8" s="1"/>
  <c r="Y363" i="8" s="1"/>
  <c r="AA363" i="8" s="1"/>
  <c r="R363" i="8"/>
  <c r="N363" i="8" a="1"/>
  <c r="N363" i="8" s="1"/>
  <c r="O363" i="8" s="1"/>
  <c r="L363" i="8"/>
  <c r="H363" i="8"/>
  <c r="C363" i="8" a="1"/>
  <c r="C363" i="8" s="1"/>
  <c r="A363" i="8" a="1"/>
  <c r="A363" i="8" s="1"/>
  <c r="AT362" i="8" a="1"/>
  <c r="AT362" i="8" s="1"/>
  <c r="AS362" i="8"/>
  <c r="AP362" i="8"/>
  <c r="AM362" i="8"/>
  <c r="AJ362" i="8"/>
  <c r="AG362" i="8"/>
  <c r="AD362" i="8"/>
  <c r="X362" i="8" a="1"/>
  <c r="X362" i="8" s="1"/>
  <c r="Y362" i="8" s="1"/>
  <c r="AA362" i="8" s="1"/>
  <c r="R362" i="8"/>
  <c r="N362" i="8" a="1"/>
  <c r="N362" i="8" s="1"/>
  <c r="O362" i="8" s="1"/>
  <c r="L362" i="8"/>
  <c r="H362" i="8"/>
  <c r="C362" i="8" a="1"/>
  <c r="C362" i="8" s="1"/>
  <c r="A362" i="8" a="1"/>
  <c r="A362" i="8" s="1"/>
  <c r="AT361" i="8" a="1"/>
  <c r="AT361" i="8" s="1"/>
  <c r="AS361" i="8"/>
  <c r="AP361" i="8"/>
  <c r="AM361" i="8"/>
  <c r="AJ361" i="8"/>
  <c r="AG361" i="8"/>
  <c r="AD361" i="8"/>
  <c r="X361" i="8" a="1"/>
  <c r="X361" i="8" s="1"/>
  <c r="Y361" i="8" s="1"/>
  <c r="AA361" i="8" s="1"/>
  <c r="R361" i="8"/>
  <c r="N361" i="8" a="1"/>
  <c r="N361" i="8" s="1"/>
  <c r="O361" i="8" s="1"/>
  <c r="L361" i="8"/>
  <c r="H361" i="8"/>
  <c r="C361" i="8" a="1"/>
  <c r="C361" i="8" s="1"/>
  <c r="A361" i="8" a="1"/>
  <c r="A361" i="8" s="1"/>
  <c r="AT360" i="8" a="1"/>
  <c r="AT360" i="8" s="1"/>
  <c r="AS360" i="8"/>
  <c r="AP360" i="8"/>
  <c r="AM360" i="8"/>
  <c r="AJ360" i="8"/>
  <c r="AG360" i="8"/>
  <c r="AD360" i="8"/>
  <c r="X360" i="8" a="1"/>
  <c r="X360" i="8" s="1"/>
  <c r="Y360" i="8" s="1"/>
  <c r="AA360" i="8" s="1"/>
  <c r="R360" i="8"/>
  <c r="N360" i="8" a="1"/>
  <c r="N360" i="8" s="1"/>
  <c r="O360" i="8" s="1"/>
  <c r="L360" i="8"/>
  <c r="H360" i="8"/>
  <c r="C360" i="8" a="1"/>
  <c r="C360" i="8" s="1"/>
  <c r="A360" i="8" a="1"/>
  <c r="A360" i="8" s="1"/>
  <c r="AT359" i="8" a="1"/>
  <c r="AT359" i="8" s="1"/>
  <c r="AS359" i="8"/>
  <c r="AP359" i="8"/>
  <c r="AM359" i="8"/>
  <c r="AJ359" i="8"/>
  <c r="AG359" i="8"/>
  <c r="AD359" i="8"/>
  <c r="X359" i="8" a="1"/>
  <c r="X359" i="8" s="1"/>
  <c r="Y359" i="8" s="1"/>
  <c r="AA359" i="8" s="1"/>
  <c r="R359" i="8"/>
  <c r="N359" i="8" a="1"/>
  <c r="N359" i="8" s="1"/>
  <c r="O359" i="8" s="1"/>
  <c r="L359" i="8"/>
  <c r="H359" i="8"/>
  <c r="C359" i="8" a="1"/>
  <c r="C359" i="8" s="1"/>
  <c r="A359" i="8" a="1"/>
  <c r="A359" i="8" s="1"/>
  <c r="AT358" i="8" a="1"/>
  <c r="AT358" i="8" s="1"/>
  <c r="AS358" i="8"/>
  <c r="AP358" i="8"/>
  <c r="AM358" i="8"/>
  <c r="AJ358" i="8"/>
  <c r="AG358" i="8"/>
  <c r="AD358" i="8"/>
  <c r="X358" i="8" a="1"/>
  <c r="X358" i="8" s="1"/>
  <c r="Y358" i="8" s="1"/>
  <c r="V358" i="8"/>
  <c r="R358" i="8"/>
  <c r="N358" i="8" a="1"/>
  <c r="N358" i="8" s="1"/>
  <c r="O358" i="8" s="1"/>
  <c r="L358" i="8"/>
  <c r="H358" i="8"/>
  <c r="C358" i="8" a="1"/>
  <c r="C358" i="8" s="1"/>
  <c r="A358" i="8" a="1"/>
  <c r="A358" i="8" s="1"/>
  <c r="AT357" i="8" a="1"/>
  <c r="AT357" i="8" s="1"/>
  <c r="AS357" i="8"/>
  <c r="AP357" i="8"/>
  <c r="AM357" i="8"/>
  <c r="AJ357" i="8"/>
  <c r="AG357" i="8"/>
  <c r="AD357" i="8"/>
  <c r="X357" i="8" a="1"/>
  <c r="X357" i="8" s="1"/>
  <c r="Y357" i="8" s="1"/>
  <c r="AA357" i="8" s="1"/>
  <c r="R357" i="8"/>
  <c r="N357" i="8" a="1"/>
  <c r="N357" i="8" s="1"/>
  <c r="O357" i="8" s="1"/>
  <c r="L357" i="8"/>
  <c r="H357" i="8"/>
  <c r="C357" i="8" a="1"/>
  <c r="C357" i="8" s="1"/>
  <c r="A357" i="8" a="1"/>
  <c r="A357" i="8" s="1"/>
  <c r="AT356" i="8" a="1"/>
  <c r="AT356" i="8" s="1"/>
  <c r="AS356" i="8"/>
  <c r="AP356" i="8"/>
  <c r="AM356" i="8"/>
  <c r="AJ356" i="8"/>
  <c r="AG356" i="8"/>
  <c r="AD356" i="8"/>
  <c r="X356" i="8" a="1"/>
  <c r="X356" i="8" s="1"/>
  <c r="Y356" i="8" s="1"/>
  <c r="AA356" i="8" s="1"/>
  <c r="R356" i="8"/>
  <c r="N356" i="8" a="1"/>
  <c r="N356" i="8" s="1"/>
  <c r="O356" i="8" s="1"/>
  <c r="L356" i="8"/>
  <c r="H356" i="8"/>
  <c r="C356" i="8" a="1"/>
  <c r="C356" i="8" s="1"/>
  <c r="A356" i="8" a="1"/>
  <c r="A356" i="8" s="1"/>
  <c r="AT355" i="8" a="1"/>
  <c r="AT355" i="8" s="1"/>
  <c r="AS355" i="8"/>
  <c r="AP355" i="8"/>
  <c r="AM355" i="8"/>
  <c r="AJ355" i="8"/>
  <c r="AG355" i="8"/>
  <c r="AD355" i="8"/>
  <c r="X355" i="8" a="1"/>
  <c r="X355" i="8" s="1"/>
  <c r="Y355" i="8" s="1"/>
  <c r="AA355" i="8" s="1"/>
  <c r="R355" i="8"/>
  <c r="N355" i="8" a="1"/>
  <c r="N355" i="8" s="1"/>
  <c r="O355" i="8" s="1"/>
  <c r="L355" i="8"/>
  <c r="H355" i="8"/>
  <c r="C355" i="8" a="1"/>
  <c r="C355" i="8" s="1"/>
  <c r="A355" i="8" a="1"/>
  <c r="A355" i="8" s="1"/>
  <c r="AT354" i="8" a="1"/>
  <c r="AT354" i="8" s="1"/>
  <c r="AS354" i="8"/>
  <c r="AP354" i="8"/>
  <c r="AM354" i="8"/>
  <c r="AJ354" i="8"/>
  <c r="AG354" i="8"/>
  <c r="AD354" i="8"/>
  <c r="X354" i="8" a="1"/>
  <c r="X354" i="8" s="1"/>
  <c r="Y354" i="8" s="1"/>
  <c r="AA354" i="8" s="1"/>
  <c r="R354" i="8"/>
  <c r="N354" i="8" a="1"/>
  <c r="N354" i="8" s="1"/>
  <c r="O354" i="8" s="1"/>
  <c r="L354" i="8"/>
  <c r="H354" i="8"/>
  <c r="C354" i="8" a="1"/>
  <c r="C354" i="8" s="1"/>
  <c r="A354" i="8" a="1"/>
  <c r="A354" i="8" s="1"/>
  <c r="AT353" i="8" a="1"/>
  <c r="AT353" i="8" s="1"/>
  <c r="AS353" i="8"/>
  <c r="AP353" i="8"/>
  <c r="AM353" i="8"/>
  <c r="AJ353" i="8"/>
  <c r="AG353" i="8"/>
  <c r="AD353" i="8"/>
  <c r="X353" i="8" a="1"/>
  <c r="X353" i="8" s="1"/>
  <c r="Y353" i="8" s="1"/>
  <c r="AA353" i="8" s="1"/>
  <c r="R353" i="8"/>
  <c r="N353" i="8" a="1"/>
  <c r="N353" i="8" s="1"/>
  <c r="O353" i="8" s="1"/>
  <c r="L353" i="8"/>
  <c r="H353" i="8"/>
  <c r="C353" i="8" a="1"/>
  <c r="C353" i="8" s="1"/>
  <c r="A353" i="8" a="1"/>
  <c r="A353" i="8" s="1"/>
  <c r="AT352" i="8" a="1"/>
  <c r="AT352" i="8" s="1"/>
  <c r="AS352" i="8"/>
  <c r="AP352" i="8"/>
  <c r="AM352" i="8"/>
  <c r="AJ352" i="8"/>
  <c r="AG352" i="8"/>
  <c r="AD352" i="8"/>
  <c r="X352" i="8" a="1"/>
  <c r="X352" i="8" s="1"/>
  <c r="Y352" i="8" s="1"/>
  <c r="AA352" i="8" s="1"/>
  <c r="R352" i="8"/>
  <c r="N352" i="8" a="1"/>
  <c r="N352" i="8" s="1"/>
  <c r="O352" i="8" s="1"/>
  <c r="L352" i="8"/>
  <c r="H352" i="8"/>
  <c r="C352" i="8" a="1"/>
  <c r="C352" i="8" s="1"/>
  <c r="A352" i="8" a="1"/>
  <c r="A352" i="8" s="1"/>
  <c r="AT351" i="8" a="1"/>
  <c r="AT351" i="8" s="1"/>
  <c r="AS351" i="8"/>
  <c r="AP351" i="8"/>
  <c r="AM351" i="8"/>
  <c r="AJ351" i="8"/>
  <c r="AG351" i="8"/>
  <c r="AD351" i="8"/>
  <c r="X351" i="8" a="1"/>
  <c r="X351" i="8" s="1"/>
  <c r="Y351" i="8" s="1"/>
  <c r="AA351" i="8" s="1"/>
  <c r="R351" i="8"/>
  <c r="N351" i="8" a="1"/>
  <c r="N351" i="8" s="1"/>
  <c r="O351" i="8" s="1"/>
  <c r="L351" i="8"/>
  <c r="H351" i="8"/>
  <c r="C351" i="8" a="1"/>
  <c r="C351" i="8" s="1"/>
  <c r="A351" i="8" a="1"/>
  <c r="A351" i="8" s="1"/>
  <c r="AT350" i="8" a="1"/>
  <c r="AT350" i="8" s="1"/>
  <c r="AS350" i="8"/>
  <c r="AP350" i="8"/>
  <c r="AM350" i="8"/>
  <c r="AJ350" i="8"/>
  <c r="AG350" i="8"/>
  <c r="AD350" i="8"/>
  <c r="X350" i="8" a="1"/>
  <c r="X350" i="8" s="1"/>
  <c r="Y350" i="8" s="1"/>
  <c r="AA350" i="8" s="1"/>
  <c r="R350" i="8"/>
  <c r="N350" i="8" a="1"/>
  <c r="N350" i="8" s="1"/>
  <c r="O350" i="8" s="1"/>
  <c r="L350" i="8"/>
  <c r="H350" i="8"/>
  <c r="C350" i="8" a="1"/>
  <c r="C350" i="8" s="1"/>
  <c r="A350" i="8" a="1"/>
  <c r="A350" i="8" s="1"/>
  <c r="AT349" i="8" a="1"/>
  <c r="AT349" i="8" s="1"/>
  <c r="AS349" i="8"/>
  <c r="AP349" i="8"/>
  <c r="AM349" i="8"/>
  <c r="AJ349" i="8"/>
  <c r="AG349" i="8"/>
  <c r="AD349" i="8"/>
  <c r="X349" i="8" a="1"/>
  <c r="X349" i="8" s="1"/>
  <c r="Y349" i="8" s="1"/>
  <c r="AA349" i="8" s="1"/>
  <c r="R349" i="8"/>
  <c r="N349" i="8" a="1"/>
  <c r="N349" i="8" s="1"/>
  <c r="O349" i="8" s="1"/>
  <c r="L349" i="8"/>
  <c r="H349" i="8"/>
  <c r="C349" i="8" a="1"/>
  <c r="C349" i="8" s="1"/>
  <c r="A349" i="8" a="1"/>
  <c r="A349" i="8" s="1"/>
  <c r="AT348" i="8" a="1"/>
  <c r="AT348" i="8" s="1"/>
  <c r="AS348" i="8"/>
  <c r="AP348" i="8"/>
  <c r="AM348" i="8"/>
  <c r="AJ348" i="8"/>
  <c r="AG348" i="8"/>
  <c r="AD348" i="8"/>
  <c r="X348" i="8" a="1"/>
  <c r="X348" i="8" s="1"/>
  <c r="Y348" i="8" s="1"/>
  <c r="AA348" i="8" s="1"/>
  <c r="R348" i="8"/>
  <c r="N348" i="8" a="1"/>
  <c r="N348" i="8" s="1"/>
  <c r="O348" i="8" s="1"/>
  <c r="L348" i="8"/>
  <c r="H348" i="8"/>
  <c r="C348" i="8" a="1"/>
  <c r="C348" i="8" s="1"/>
  <c r="A348" i="8" a="1"/>
  <c r="A348" i="8" s="1"/>
  <c r="AT347" i="8" a="1"/>
  <c r="AT347" i="8" s="1"/>
  <c r="AS347" i="8"/>
  <c r="AP347" i="8"/>
  <c r="AM347" i="8"/>
  <c r="AJ347" i="8"/>
  <c r="AG347" i="8"/>
  <c r="AD347" i="8"/>
  <c r="X347" i="8" a="1"/>
  <c r="X347" i="8" s="1"/>
  <c r="Y347" i="8" s="1"/>
  <c r="AA347" i="8" s="1"/>
  <c r="R347" i="8"/>
  <c r="N347" i="8" a="1"/>
  <c r="N347" i="8" s="1"/>
  <c r="O347" i="8" s="1"/>
  <c r="L347" i="8"/>
  <c r="H347" i="8"/>
  <c r="C347" i="8" a="1"/>
  <c r="C347" i="8" s="1"/>
  <c r="A347" i="8" a="1"/>
  <c r="A347" i="8" s="1"/>
  <c r="AT346" i="8" a="1"/>
  <c r="AT346" i="8" s="1"/>
  <c r="AS346" i="8"/>
  <c r="AP346" i="8"/>
  <c r="AM346" i="8"/>
  <c r="AJ346" i="8"/>
  <c r="AG346" i="8"/>
  <c r="AD346" i="8"/>
  <c r="X346" i="8" a="1"/>
  <c r="X346" i="8" s="1"/>
  <c r="Y346" i="8" s="1"/>
  <c r="V346" i="8"/>
  <c r="R346" i="8"/>
  <c r="N346" i="8" a="1"/>
  <c r="N346" i="8" s="1"/>
  <c r="O346" i="8" s="1"/>
  <c r="L346" i="8"/>
  <c r="H346" i="8"/>
  <c r="C346" i="8" a="1"/>
  <c r="C346" i="8" s="1"/>
  <c r="A346" i="8" a="1"/>
  <c r="A346" i="8" s="1"/>
  <c r="AT345" i="8" a="1"/>
  <c r="AT345" i="8" s="1"/>
  <c r="AS345" i="8"/>
  <c r="AP345" i="8"/>
  <c r="AM345" i="8"/>
  <c r="AJ345" i="8"/>
  <c r="AG345" i="8"/>
  <c r="AD345" i="8"/>
  <c r="X345" i="8" a="1"/>
  <c r="X345" i="8" s="1"/>
  <c r="Y345" i="8" s="1"/>
  <c r="AA345" i="8" s="1"/>
  <c r="R345" i="8"/>
  <c r="N345" i="8" a="1"/>
  <c r="N345" i="8" s="1"/>
  <c r="O345" i="8" s="1"/>
  <c r="L345" i="8"/>
  <c r="H345" i="8"/>
  <c r="C345" i="8" a="1"/>
  <c r="C345" i="8" s="1"/>
  <c r="A345" i="8" a="1"/>
  <c r="A345" i="8" s="1"/>
  <c r="AT344" i="8" a="1"/>
  <c r="AT344" i="8" s="1"/>
  <c r="AS344" i="8"/>
  <c r="AP344" i="8"/>
  <c r="AM344" i="8"/>
  <c r="AJ344" i="8"/>
  <c r="AG344" i="8"/>
  <c r="AD344" i="8"/>
  <c r="X344" i="8" a="1"/>
  <c r="X344" i="8" s="1"/>
  <c r="Y344" i="8" s="1"/>
  <c r="AA344" i="8" s="1"/>
  <c r="R344" i="8"/>
  <c r="N344" i="8" a="1"/>
  <c r="N344" i="8" s="1"/>
  <c r="O344" i="8" s="1"/>
  <c r="L344" i="8"/>
  <c r="H344" i="8"/>
  <c r="C344" i="8" a="1"/>
  <c r="C344" i="8" s="1"/>
  <c r="A344" i="8" a="1"/>
  <c r="A344" i="8" s="1"/>
  <c r="AT343" i="8" a="1"/>
  <c r="AT343" i="8" s="1"/>
  <c r="AS343" i="8"/>
  <c r="AP343" i="8"/>
  <c r="AM343" i="8"/>
  <c r="AJ343" i="8"/>
  <c r="AG343" i="8"/>
  <c r="AD343" i="8"/>
  <c r="X343" i="8" a="1"/>
  <c r="X343" i="8" s="1"/>
  <c r="Y343" i="8" s="1"/>
  <c r="AA343" i="8" s="1"/>
  <c r="R343" i="8"/>
  <c r="N343" i="8" a="1"/>
  <c r="N343" i="8" s="1"/>
  <c r="O343" i="8" s="1"/>
  <c r="L343" i="8"/>
  <c r="H343" i="8"/>
  <c r="C343" i="8" a="1"/>
  <c r="C343" i="8" s="1"/>
  <c r="A343" i="8" a="1"/>
  <c r="A343" i="8" s="1"/>
  <c r="AT342" i="8" a="1"/>
  <c r="AT342" i="8" s="1"/>
  <c r="AS342" i="8"/>
  <c r="AP342" i="8"/>
  <c r="AM342" i="8"/>
  <c r="AJ342" i="8"/>
  <c r="AG342" i="8"/>
  <c r="AD342" i="8"/>
  <c r="X342" i="8" a="1"/>
  <c r="X342" i="8" s="1"/>
  <c r="Y342" i="8" s="1"/>
  <c r="AA342" i="8" s="1"/>
  <c r="R342" i="8"/>
  <c r="N342" i="8" a="1"/>
  <c r="N342" i="8" s="1"/>
  <c r="O342" i="8" s="1"/>
  <c r="L342" i="8"/>
  <c r="H342" i="8"/>
  <c r="C342" i="8" a="1"/>
  <c r="C342" i="8" s="1"/>
  <c r="A342" i="8" a="1"/>
  <c r="A342" i="8" s="1"/>
  <c r="AT341" i="8" a="1"/>
  <c r="AT341" i="8" s="1"/>
  <c r="AS341" i="8"/>
  <c r="AP341" i="8"/>
  <c r="AM341" i="8"/>
  <c r="AJ341" i="8"/>
  <c r="AG341" i="8"/>
  <c r="AD341" i="8"/>
  <c r="X341" i="8" a="1"/>
  <c r="X341" i="8" s="1"/>
  <c r="Y341" i="8" s="1"/>
  <c r="AA341" i="8" s="1"/>
  <c r="R341" i="8"/>
  <c r="N341" i="8" a="1"/>
  <c r="N341" i="8" s="1"/>
  <c r="O341" i="8" s="1"/>
  <c r="K341" i="8"/>
  <c r="L341" i="8" s="1"/>
  <c r="H341" i="8"/>
  <c r="C341" i="8" a="1"/>
  <c r="C341" i="8" s="1"/>
  <c r="A341" i="8" a="1"/>
  <c r="A341" i="8" s="1"/>
  <c r="AT340" i="8" a="1"/>
  <c r="AT340" i="8" s="1"/>
  <c r="AS340" i="8"/>
  <c r="AP340" i="8"/>
  <c r="AM340" i="8"/>
  <c r="AJ340" i="8"/>
  <c r="AG340" i="8"/>
  <c r="AD340" i="8"/>
  <c r="X340" i="8" a="1"/>
  <c r="X340" i="8" s="1"/>
  <c r="Y340" i="8" s="1"/>
  <c r="AA340" i="8" s="1"/>
  <c r="R340" i="8"/>
  <c r="N340" i="8" a="1"/>
  <c r="N340" i="8" s="1"/>
  <c r="O340" i="8" s="1"/>
  <c r="L340" i="8"/>
  <c r="H340" i="8"/>
  <c r="C340" i="8" a="1"/>
  <c r="C340" i="8" s="1"/>
  <c r="A340" i="8" a="1"/>
  <c r="A340" i="8" s="1"/>
  <c r="AT339" i="8" a="1"/>
  <c r="AT339" i="8" s="1"/>
  <c r="AS339" i="8"/>
  <c r="AP339" i="8"/>
  <c r="AM339" i="8"/>
  <c r="AJ339" i="8"/>
  <c r="AG339" i="8"/>
  <c r="AD339" i="8"/>
  <c r="X339" i="8" a="1"/>
  <c r="X339" i="8" s="1"/>
  <c r="Y339" i="8" s="1"/>
  <c r="AA339" i="8" s="1"/>
  <c r="R339" i="8"/>
  <c r="N339" i="8" a="1"/>
  <c r="N339" i="8" s="1"/>
  <c r="O339" i="8" s="1"/>
  <c r="L339" i="8"/>
  <c r="H339" i="8"/>
  <c r="C339" i="8" a="1"/>
  <c r="C339" i="8" s="1"/>
  <c r="A339" i="8" a="1"/>
  <c r="A339" i="8" s="1"/>
  <c r="AT338" i="8" a="1"/>
  <c r="AT338" i="8" s="1"/>
  <c r="AS338" i="8"/>
  <c r="AP338" i="8"/>
  <c r="AM338" i="8"/>
  <c r="AJ338" i="8"/>
  <c r="AG338" i="8"/>
  <c r="AD338" i="8"/>
  <c r="X338" i="8" a="1"/>
  <c r="X338" i="8" s="1"/>
  <c r="Y338" i="8" s="1"/>
  <c r="V338" i="8"/>
  <c r="R338" i="8"/>
  <c r="N338" i="8" a="1"/>
  <c r="N338" i="8" s="1"/>
  <c r="O338" i="8" s="1"/>
  <c r="L338" i="8"/>
  <c r="H338" i="8"/>
  <c r="C338" i="8" a="1"/>
  <c r="C338" i="8" s="1"/>
  <c r="A338" i="8" a="1"/>
  <c r="A338" i="8" s="1"/>
  <c r="AT337" i="8" a="1"/>
  <c r="AT337" i="8" s="1"/>
  <c r="AS337" i="8"/>
  <c r="AP337" i="8"/>
  <c r="AM337" i="8"/>
  <c r="AJ337" i="8"/>
  <c r="AG337" i="8"/>
  <c r="AD337" i="8"/>
  <c r="X337" i="8" a="1"/>
  <c r="X337" i="8" s="1"/>
  <c r="Y337" i="8" s="1"/>
  <c r="V337" i="8"/>
  <c r="R337" i="8"/>
  <c r="N337" i="8" a="1"/>
  <c r="N337" i="8" s="1"/>
  <c r="O337" i="8" s="1"/>
  <c r="L337" i="8"/>
  <c r="H337" i="8"/>
  <c r="C337" i="8" a="1"/>
  <c r="C337" i="8" s="1"/>
  <c r="A337" i="8" a="1"/>
  <c r="A337" i="8" s="1"/>
  <c r="AT336" i="8" a="1"/>
  <c r="AT336" i="8" s="1"/>
  <c r="AS336" i="8"/>
  <c r="AP336" i="8"/>
  <c r="AM336" i="8"/>
  <c r="AJ336" i="8"/>
  <c r="AG336" i="8"/>
  <c r="AD336" i="8"/>
  <c r="X336" i="8" a="1"/>
  <c r="X336" i="8" s="1"/>
  <c r="Y336" i="8" s="1"/>
  <c r="V336" i="8"/>
  <c r="R336" i="8"/>
  <c r="N336" i="8" a="1"/>
  <c r="N336" i="8" s="1"/>
  <c r="O336" i="8" s="1"/>
  <c r="L336" i="8"/>
  <c r="H336" i="8"/>
  <c r="C336" i="8" a="1"/>
  <c r="C336" i="8" s="1"/>
  <c r="A336" i="8" a="1"/>
  <c r="A336" i="8" s="1"/>
  <c r="AT335" i="8" a="1"/>
  <c r="AT335" i="8" s="1"/>
  <c r="AS335" i="8"/>
  <c r="AP335" i="8"/>
  <c r="AM335" i="8"/>
  <c r="AJ335" i="8"/>
  <c r="AG335" i="8"/>
  <c r="AD335" i="8"/>
  <c r="X335" i="8" a="1"/>
  <c r="X335" i="8" s="1"/>
  <c r="Y335" i="8" s="1"/>
  <c r="V335" i="8"/>
  <c r="R335" i="8"/>
  <c r="N335" i="8" a="1"/>
  <c r="N335" i="8" s="1"/>
  <c r="O335" i="8" s="1"/>
  <c r="L335" i="8"/>
  <c r="H335" i="8"/>
  <c r="C335" i="8" a="1"/>
  <c r="C335" i="8" s="1"/>
  <c r="A335" i="8" a="1"/>
  <c r="A335" i="8" s="1"/>
  <c r="AT334" i="8" a="1"/>
  <c r="AT334" i="8" s="1"/>
  <c r="AS334" i="8"/>
  <c r="AP334" i="8"/>
  <c r="AM334" i="8"/>
  <c r="AJ334" i="8"/>
  <c r="AG334" i="8"/>
  <c r="AD334" i="8"/>
  <c r="X334" i="8" a="1"/>
  <c r="X334" i="8" s="1"/>
  <c r="Y334" i="8" s="1"/>
  <c r="V334" i="8"/>
  <c r="R334" i="8"/>
  <c r="N334" i="8" a="1"/>
  <c r="N334" i="8" s="1"/>
  <c r="O334" i="8" s="1"/>
  <c r="L334" i="8"/>
  <c r="H334" i="8"/>
  <c r="C334" i="8" a="1"/>
  <c r="C334" i="8" s="1"/>
  <c r="A334" i="8" a="1"/>
  <c r="A334" i="8" s="1"/>
  <c r="AT333" i="8" a="1"/>
  <c r="AT333" i="8" s="1"/>
  <c r="AS333" i="8"/>
  <c r="AP333" i="8"/>
  <c r="AM333" i="8"/>
  <c r="AJ333" i="8"/>
  <c r="AG333" i="8"/>
  <c r="AD333" i="8"/>
  <c r="X333" i="8" a="1"/>
  <c r="X333" i="8" s="1"/>
  <c r="Y333" i="8" s="1"/>
  <c r="V333" i="8"/>
  <c r="R333" i="8"/>
  <c r="N333" i="8" a="1"/>
  <c r="N333" i="8" s="1"/>
  <c r="O333" i="8" s="1"/>
  <c r="L333" i="8"/>
  <c r="H333" i="8"/>
  <c r="C333" i="8" a="1"/>
  <c r="C333" i="8" s="1"/>
  <c r="A333" i="8" a="1"/>
  <c r="A333" i="8" s="1"/>
  <c r="AT332" i="8" a="1"/>
  <c r="AT332" i="8" s="1"/>
  <c r="AS332" i="8"/>
  <c r="AP332" i="8"/>
  <c r="AM332" i="8"/>
  <c r="AJ332" i="8"/>
  <c r="AG332" i="8"/>
  <c r="AD332" i="8"/>
  <c r="X332" i="8" a="1"/>
  <c r="X332" i="8" s="1"/>
  <c r="Y332" i="8" s="1"/>
  <c r="V332" i="8"/>
  <c r="R332" i="8"/>
  <c r="N332" i="8" a="1"/>
  <c r="N332" i="8" s="1"/>
  <c r="O332" i="8" s="1"/>
  <c r="L332" i="8"/>
  <c r="H332" i="8"/>
  <c r="C332" i="8" a="1"/>
  <c r="C332" i="8" s="1"/>
  <c r="A332" i="8" a="1"/>
  <c r="A332" i="8" s="1"/>
  <c r="AT331" i="8" a="1"/>
  <c r="AT331" i="8" s="1"/>
  <c r="AS331" i="8"/>
  <c r="AP331" i="8"/>
  <c r="AM331" i="8"/>
  <c r="AJ331" i="8"/>
  <c r="AG331" i="8"/>
  <c r="AD331" i="8"/>
  <c r="X331" i="8" a="1"/>
  <c r="X331" i="8" s="1"/>
  <c r="Y331" i="8" s="1"/>
  <c r="V331" i="8"/>
  <c r="R331" i="8"/>
  <c r="N331" i="8" a="1"/>
  <c r="N331" i="8" s="1"/>
  <c r="O331" i="8" s="1"/>
  <c r="L331" i="8"/>
  <c r="H331" i="8"/>
  <c r="C331" i="8" a="1"/>
  <c r="C331" i="8" s="1"/>
  <c r="A331" i="8" a="1"/>
  <c r="A331" i="8" s="1"/>
  <c r="AT330" i="8" a="1"/>
  <c r="AT330" i="8" s="1"/>
  <c r="AS330" i="8"/>
  <c r="AP330" i="8"/>
  <c r="AM330" i="8"/>
  <c r="AJ330" i="8"/>
  <c r="AG330" i="8"/>
  <c r="AD330" i="8"/>
  <c r="X330" i="8" a="1"/>
  <c r="X330" i="8" s="1"/>
  <c r="Y330" i="8" s="1"/>
  <c r="V330" i="8"/>
  <c r="R330" i="8"/>
  <c r="N330" i="8" a="1"/>
  <c r="N330" i="8" s="1"/>
  <c r="O330" i="8" s="1"/>
  <c r="L330" i="8"/>
  <c r="H330" i="8"/>
  <c r="C330" i="8" a="1"/>
  <c r="C330" i="8" s="1"/>
  <c r="A330" i="8" a="1"/>
  <c r="A330" i="8" s="1"/>
  <c r="AT329" i="8" a="1"/>
  <c r="AT329" i="8" s="1"/>
  <c r="AS329" i="8"/>
  <c r="AP329" i="8"/>
  <c r="AM329" i="8"/>
  <c r="AJ329" i="8"/>
  <c r="AG329" i="8"/>
  <c r="AD329" i="8"/>
  <c r="X329" i="8" a="1"/>
  <c r="X329" i="8" s="1"/>
  <c r="Y329" i="8" s="1"/>
  <c r="AA329" i="8" s="1"/>
  <c r="R329" i="8"/>
  <c r="N329" i="8" a="1"/>
  <c r="N329" i="8" s="1"/>
  <c r="O329" i="8" s="1"/>
  <c r="L329" i="8"/>
  <c r="H329" i="8"/>
  <c r="C329" i="8" a="1"/>
  <c r="C329" i="8" s="1"/>
  <c r="A329" i="8" a="1"/>
  <c r="A329" i="8" s="1"/>
  <c r="AT328" i="8" a="1"/>
  <c r="AT328" i="8" s="1"/>
  <c r="AS328" i="8"/>
  <c r="AP328" i="8"/>
  <c r="AM328" i="8"/>
  <c r="AJ328" i="8"/>
  <c r="AG328" i="8"/>
  <c r="AD328" i="8"/>
  <c r="X328" i="8" a="1"/>
  <c r="X328" i="8" s="1"/>
  <c r="Y328" i="8" s="1"/>
  <c r="AA328" i="8" s="1"/>
  <c r="R328" i="8"/>
  <c r="N328" i="8" a="1"/>
  <c r="N328" i="8" s="1"/>
  <c r="O328" i="8" s="1"/>
  <c r="L328" i="8"/>
  <c r="H328" i="8"/>
  <c r="C328" i="8" a="1"/>
  <c r="C328" i="8" s="1"/>
  <c r="A328" i="8" a="1"/>
  <c r="A328" i="8" s="1"/>
  <c r="AT327" i="8" a="1"/>
  <c r="AT327" i="8" s="1"/>
  <c r="AS327" i="8"/>
  <c r="AP327" i="8"/>
  <c r="AM327" i="8"/>
  <c r="AJ327" i="8"/>
  <c r="AG327" i="8"/>
  <c r="AD327" i="8"/>
  <c r="X327" i="8" a="1"/>
  <c r="X327" i="8" s="1"/>
  <c r="Y327" i="8" s="1"/>
  <c r="V327" i="8"/>
  <c r="R327" i="8"/>
  <c r="N327" i="8" a="1"/>
  <c r="N327" i="8" s="1"/>
  <c r="O327" i="8" s="1"/>
  <c r="L327" i="8"/>
  <c r="H327" i="8"/>
  <c r="C327" i="8" a="1"/>
  <c r="C327" i="8" s="1"/>
  <c r="A327" i="8" a="1"/>
  <c r="A327" i="8" s="1"/>
  <c r="AT326" i="8" a="1"/>
  <c r="AT326" i="8" s="1"/>
  <c r="AS326" i="8"/>
  <c r="AP326" i="8"/>
  <c r="AM326" i="8"/>
  <c r="AJ326" i="8"/>
  <c r="AG326" i="8"/>
  <c r="AD326" i="8"/>
  <c r="X326" i="8" a="1"/>
  <c r="X326" i="8" s="1"/>
  <c r="Y326" i="8" s="1"/>
  <c r="V326" i="8"/>
  <c r="R326" i="8"/>
  <c r="N326" i="8" a="1"/>
  <c r="N326" i="8" s="1"/>
  <c r="O326" i="8" s="1"/>
  <c r="L326" i="8"/>
  <c r="H326" i="8"/>
  <c r="C326" i="8" a="1"/>
  <c r="C326" i="8" s="1"/>
  <c r="A326" i="8" a="1"/>
  <c r="A326" i="8" s="1"/>
  <c r="AT325" i="8" a="1"/>
  <c r="AT325" i="8" s="1"/>
  <c r="AS325" i="8"/>
  <c r="X325" i="8" a="1"/>
  <c r="X325" i="8" s="1"/>
  <c r="Y325" i="8" s="1"/>
  <c r="AA325" i="8" s="1"/>
  <c r="N325" i="8" a="1"/>
  <c r="N325" i="8" s="1"/>
  <c r="H325" i="8"/>
  <c r="C325" i="8" a="1"/>
  <c r="C325" i="8" s="1"/>
  <c r="A325" i="8" a="1"/>
  <c r="A325" i="8" s="1"/>
  <c r="AT324" i="8" a="1"/>
  <c r="AT324" i="8" s="1"/>
  <c r="AS324" i="8"/>
  <c r="AP324" i="8"/>
  <c r="AM324" i="8"/>
  <c r="AJ324" i="8"/>
  <c r="AG324" i="8"/>
  <c r="AD324" i="8"/>
  <c r="X324" i="8" a="1"/>
  <c r="X324" i="8" s="1"/>
  <c r="Y324" i="8" s="1"/>
  <c r="V324" i="8"/>
  <c r="R324" i="8"/>
  <c r="N324" i="8" a="1"/>
  <c r="N324" i="8" s="1"/>
  <c r="O324" i="8" s="1"/>
  <c r="L324" i="8"/>
  <c r="H324" i="8"/>
  <c r="C324" i="8" a="1"/>
  <c r="C324" i="8" s="1"/>
  <c r="A324" i="8" a="1"/>
  <c r="A324" i="8" s="1"/>
  <c r="AT323" i="8" a="1"/>
  <c r="AT323" i="8" s="1"/>
  <c r="AS323" i="8"/>
  <c r="AP323" i="8"/>
  <c r="AM323" i="8"/>
  <c r="AJ323" i="8"/>
  <c r="AG323" i="8"/>
  <c r="AD323" i="8"/>
  <c r="X323" i="8" a="1"/>
  <c r="X323" i="8" s="1"/>
  <c r="Y323" i="8" s="1"/>
  <c r="AA323" i="8" s="1"/>
  <c r="R323" i="8"/>
  <c r="N323" i="8" a="1"/>
  <c r="N323" i="8" s="1"/>
  <c r="O323" i="8" s="1"/>
  <c r="L323" i="8"/>
  <c r="H323" i="8"/>
  <c r="C323" i="8" a="1"/>
  <c r="C323" i="8" s="1"/>
  <c r="A323" i="8" a="1"/>
  <c r="A323" i="8" s="1"/>
  <c r="AT322" i="8" a="1"/>
  <c r="AT322" i="8" s="1"/>
  <c r="AS322" i="8"/>
  <c r="AP322" i="8"/>
  <c r="AM322" i="8"/>
  <c r="AJ322" i="8"/>
  <c r="AG322" i="8"/>
  <c r="AD322" i="8"/>
  <c r="X322" i="8" a="1"/>
  <c r="X322" i="8" s="1"/>
  <c r="Y322" i="8" s="1"/>
  <c r="V322" i="8"/>
  <c r="R322" i="8"/>
  <c r="N322" i="8" a="1"/>
  <c r="N322" i="8" s="1"/>
  <c r="O322" i="8" s="1"/>
  <c r="L322" i="8"/>
  <c r="H322" i="8"/>
  <c r="C322" i="8" a="1"/>
  <c r="C322" i="8" s="1"/>
  <c r="A322" i="8" a="1"/>
  <c r="A322" i="8" s="1"/>
  <c r="AT321" i="8" a="1"/>
  <c r="AT321" i="8" s="1"/>
  <c r="AS321" i="8"/>
  <c r="AP321" i="8"/>
  <c r="AM321" i="8"/>
  <c r="AJ321" i="8"/>
  <c r="AG321" i="8"/>
  <c r="AD321" i="8"/>
  <c r="X321" i="8" a="1"/>
  <c r="X321" i="8" s="1"/>
  <c r="Y321" i="8" s="1"/>
  <c r="AA321" i="8" s="1"/>
  <c r="R321" i="8"/>
  <c r="N321" i="8" a="1"/>
  <c r="N321" i="8" s="1"/>
  <c r="O321" i="8" s="1"/>
  <c r="L321" i="8"/>
  <c r="H321" i="8"/>
  <c r="C321" i="8" a="1"/>
  <c r="C321" i="8" s="1"/>
  <c r="A321" i="8" a="1"/>
  <c r="A321" i="8" s="1"/>
  <c r="AT320" i="8" a="1"/>
  <c r="AT320" i="8" s="1"/>
  <c r="AS320" i="8"/>
  <c r="AP320" i="8"/>
  <c r="AM320" i="8"/>
  <c r="AJ320" i="8"/>
  <c r="AG320" i="8"/>
  <c r="AD320" i="8"/>
  <c r="X320" i="8" a="1"/>
  <c r="X320" i="8" s="1"/>
  <c r="Y320" i="8" s="1"/>
  <c r="V320" i="8"/>
  <c r="R320" i="8"/>
  <c r="N320" i="8" a="1"/>
  <c r="N320" i="8" s="1"/>
  <c r="O320" i="8" s="1"/>
  <c r="L320" i="8"/>
  <c r="H320" i="8"/>
  <c r="C320" i="8" a="1"/>
  <c r="C320" i="8" s="1"/>
  <c r="A320" i="8" a="1"/>
  <c r="A320" i="8" s="1"/>
  <c r="AT319" i="8" a="1"/>
  <c r="AT319" i="8" s="1"/>
  <c r="AS319" i="8"/>
  <c r="AP319" i="8"/>
  <c r="AM319" i="8"/>
  <c r="AJ319" i="8"/>
  <c r="AG319" i="8"/>
  <c r="AD319" i="8"/>
  <c r="X319" i="8" a="1"/>
  <c r="X319" i="8" s="1"/>
  <c r="Y319" i="8" s="1"/>
  <c r="V319" i="8"/>
  <c r="R319" i="8"/>
  <c r="N319" i="8" a="1"/>
  <c r="N319" i="8" s="1"/>
  <c r="O319" i="8" s="1"/>
  <c r="L319" i="8"/>
  <c r="H319" i="8"/>
  <c r="C319" i="8" a="1"/>
  <c r="C319" i="8" s="1"/>
  <c r="A319" i="8" a="1"/>
  <c r="A319" i="8" s="1"/>
  <c r="AT318" i="8" a="1"/>
  <c r="AT318" i="8" s="1"/>
  <c r="AS318" i="8"/>
  <c r="AP318" i="8"/>
  <c r="AM318" i="8"/>
  <c r="AJ318" i="8"/>
  <c r="AG318" i="8"/>
  <c r="AD318" i="8"/>
  <c r="X318" i="8" a="1"/>
  <c r="X318" i="8" s="1"/>
  <c r="Y318" i="8" s="1"/>
  <c r="V318" i="8"/>
  <c r="R318" i="8"/>
  <c r="N318" i="8" a="1"/>
  <c r="N318" i="8" s="1"/>
  <c r="O318" i="8" s="1"/>
  <c r="L318" i="8"/>
  <c r="H318" i="8"/>
  <c r="C318" i="8" a="1"/>
  <c r="C318" i="8" s="1"/>
  <c r="A318" i="8" a="1"/>
  <c r="A318" i="8" s="1"/>
  <c r="AT317" i="8" a="1"/>
  <c r="AT317" i="8" s="1"/>
  <c r="AS317" i="8"/>
  <c r="AP317" i="8"/>
  <c r="AM317" i="8"/>
  <c r="AJ317" i="8"/>
  <c r="AG317" i="8"/>
  <c r="AD317" i="8"/>
  <c r="X317" i="8" a="1"/>
  <c r="X317" i="8" s="1"/>
  <c r="Y317" i="8" s="1"/>
  <c r="V317" i="8"/>
  <c r="R317" i="8"/>
  <c r="N317" i="8" a="1"/>
  <c r="N317" i="8" s="1"/>
  <c r="O317" i="8" s="1"/>
  <c r="L317" i="8"/>
  <c r="H317" i="8"/>
  <c r="C317" i="8" a="1"/>
  <c r="C317" i="8" s="1"/>
  <c r="A317" i="8" a="1"/>
  <c r="A317" i="8" s="1"/>
  <c r="AT316" i="8" a="1"/>
  <c r="AT316" i="8" s="1"/>
  <c r="AS316" i="8"/>
  <c r="AP316" i="8"/>
  <c r="AM316" i="8"/>
  <c r="AJ316" i="8"/>
  <c r="AG316" i="8"/>
  <c r="AD316" i="8"/>
  <c r="X316" i="8" a="1"/>
  <c r="X316" i="8" s="1"/>
  <c r="Y316" i="8" s="1"/>
  <c r="AA316" i="8" s="1"/>
  <c r="R316" i="8"/>
  <c r="N316" i="8" a="1"/>
  <c r="N316" i="8" s="1"/>
  <c r="O316" i="8" s="1"/>
  <c r="L316" i="8"/>
  <c r="H316" i="8"/>
  <c r="C316" i="8" a="1"/>
  <c r="C316" i="8" s="1"/>
  <c r="A316" i="8" a="1"/>
  <c r="A316" i="8" s="1"/>
  <c r="AT315" i="8" a="1"/>
  <c r="AT315" i="8" s="1"/>
  <c r="AS315" i="8"/>
  <c r="AP315" i="8"/>
  <c r="AM315" i="8"/>
  <c r="AJ315" i="8"/>
  <c r="AG315" i="8"/>
  <c r="AD315" i="8"/>
  <c r="X315" i="8" a="1"/>
  <c r="X315" i="8" s="1"/>
  <c r="Y315" i="8" s="1"/>
  <c r="V315" i="8"/>
  <c r="R315" i="8"/>
  <c r="N315" i="8" a="1"/>
  <c r="N315" i="8" s="1"/>
  <c r="O315" i="8" s="1"/>
  <c r="L315" i="8"/>
  <c r="H315" i="8"/>
  <c r="C315" i="8" a="1"/>
  <c r="C315" i="8" s="1"/>
  <c r="A315" i="8" a="1"/>
  <c r="A315" i="8" s="1"/>
  <c r="AT314" i="8" a="1"/>
  <c r="AT314" i="8" s="1"/>
  <c r="AS314" i="8"/>
  <c r="AP314" i="8"/>
  <c r="AM314" i="8"/>
  <c r="AJ314" i="8"/>
  <c r="AG314" i="8"/>
  <c r="AD314" i="8"/>
  <c r="X314" i="8" a="1"/>
  <c r="X314" i="8" s="1"/>
  <c r="Y314" i="8" s="1"/>
  <c r="V314" i="8"/>
  <c r="R314" i="8"/>
  <c r="N314" i="8" a="1"/>
  <c r="N314" i="8" s="1"/>
  <c r="O314" i="8" s="1"/>
  <c r="L314" i="8"/>
  <c r="H314" i="8"/>
  <c r="C314" i="8" a="1"/>
  <c r="C314" i="8" s="1"/>
  <c r="A314" i="8" a="1"/>
  <c r="A314" i="8" s="1"/>
  <c r="AT313" i="8" a="1"/>
  <c r="AT313" i="8" s="1"/>
  <c r="AS313" i="8"/>
  <c r="AP313" i="8"/>
  <c r="AM313" i="8"/>
  <c r="AJ313" i="8"/>
  <c r="AG313" i="8"/>
  <c r="AD313" i="8"/>
  <c r="X313" i="8" a="1"/>
  <c r="X313" i="8" s="1"/>
  <c r="Y313" i="8" s="1"/>
  <c r="AA313" i="8" s="1"/>
  <c r="R313" i="8"/>
  <c r="N313" i="8" a="1"/>
  <c r="N313" i="8" s="1"/>
  <c r="O313" i="8" s="1"/>
  <c r="L313" i="8"/>
  <c r="H313" i="8"/>
  <c r="C313" i="8" a="1"/>
  <c r="C313" i="8" s="1"/>
  <c r="A313" i="8" a="1"/>
  <c r="A313" i="8" s="1"/>
  <c r="AT312" i="8" a="1"/>
  <c r="AT312" i="8" s="1"/>
  <c r="AS312" i="8"/>
  <c r="AP312" i="8"/>
  <c r="AM312" i="8"/>
  <c r="AJ312" i="8"/>
  <c r="AG312" i="8"/>
  <c r="AD312" i="8"/>
  <c r="X312" i="8" a="1"/>
  <c r="X312" i="8" s="1"/>
  <c r="Y312" i="8" s="1"/>
  <c r="V312" i="8"/>
  <c r="R312" i="8"/>
  <c r="N312" i="8" a="1"/>
  <c r="N312" i="8" s="1"/>
  <c r="O312" i="8" s="1"/>
  <c r="L312" i="8"/>
  <c r="H312" i="8"/>
  <c r="C312" i="8" a="1"/>
  <c r="C312" i="8" s="1"/>
  <c r="A312" i="8" a="1"/>
  <c r="A312" i="8" s="1"/>
  <c r="AT311" i="8" a="1"/>
  <c r="AT311" i="8" s="1"/>
  <c r="AS311" i="8"/>
  <c r="AP311" i="8"/>
  <c r="AM311" i="8"/>
  <c r="AJ311" i="8"/>
  <c r="AG311" i="8"/>
  <c r="AD311" i="8"/>
  <c r="X311" i="8" a="1"/>
  <c r="X311" i="8" s="1"/>
  <c r="Y311" i="8" s="1"/>
  <c r="V311" i="8"/>
  <c r="R311" i="8"/>
  <c r="N311" i="8" a="1"/>
  <c r="N311" i="8" s="1"/>
  <c r="O311" i="8" s="1"/>
  <c r="L311" i="8"/>
  <c r="H311" i="8"/>
  <c r="C311" i="8" a="1"/>
  <c r="C311" i="8" s="1"/>
  <c r="A311" i="8" a="1"/>
  <c r="A311" i="8" s="1"/>
  <c r="AT310" i="8" a="1"/>
  <c r="AT310" i="8" s="1"/>
  <c r="AS310" i="8"/>
  <c r="AP310" i="8"/>
  <c r="AM310" i="8"/>
  <c r="AJ310" i="8"/>
  <c r="AG310" i="8"/>
  <c r="AD310" i="8"/>
  <c r="X310" i="8" a="1"/>
  <c r="X310" i="8" s="1"/>
  <c r="Y310" i="8" s="1"/>
  <c r="V310" i="8"/>
  <c r="R310" i="8"/>
  <c r="N310" i="8" a="1"/>
  <c r="N310" i="8" s="1"/>
  <c r="O310" i="8" s="1"/>
  <c r="L310" i="8"/>
  <c r="H310" i="8"/>
  <c r="C310" i="8" a="1"/>
  <c r="C310" i="8" s="1"/>
  <c r="A310" i="8" a="1"/>
  <c r="A310" i="8" s="1"/>
  <c r="AT309" i="8" a="1"/>
  <c r="AT309" i="8" s="1"/>
  <c r="AS309" i="8"/>
  <c r="AP309" i="8"/>
  <c r="AM309" i="8"/>
  <c r="AJ309" i="8"/>
  <c r="AG309" i="8"/>
  <c r="AD309" i="8"/>
  <c r="X309" i="8" a="1"/>
  <c r="X309" i="8" s="1"/>
  <c r="Y309" i="8" s="1"/>
  <c r="V309" i="8"/>
  <c r="R309" i="8"/>
  <c r="N309" i="8" a="1"/>
  <c r="N309" i="8" s="1"/>
  <c r="O309" i="8" s="1"/>
  <c r="L309" i="8"/>
  <c r="H309" i="8"/>
  <c r="C309" i="8" a="1"/>
  <c r="C309" i="8" s="1"/>
  <c r="A309" i="8" a="1"/>
  <c r="A309" i="8" s="1"/>
  <c r="AT308" i="8" a="1"/>
  <c r="AT308" i="8" s="1"/>
  <c r="AS308" i="8"/>
  <c r="AP308" i="8"/>
  <c r="AM308" i="8"/>
  <c r="AJ308" i="8"/>
  <c r="AG308" i="8"/>
  <c r="AD308" i="8"/>
  <c r="X308" i="8" a="1"/>
  <c r="X308" i="8" s="1"/>
  <c r="Y308" i="8" s="1"/>
  <c r="V308" i="8"/>
  <c r="R308" i="8"/>
  <c r="N308" i="8" a="1"/>
  <c r="N308" i="8" s="1"/>
  <c r="O308" i="8" s="1"/>
  <c r="L308" i="8"/>
  <c r="H308" i="8"/>
  <c r="C308" i="8" a="1"/>
  <c r="C308" i="8" s="1"/>
  <c r="A308" i="8" a="1"/>
  <c r="A308" i="8" s="1"/>
  <c r="AT307" i="8" a="1"/>
  <c r="AT307" i="8" s="1"/>
  <c r="AS307" i="8"/>
  <c r="AP307" i="8"/>
  <c r="AM307" i="8"/>
  <c r="AJ307" i="8"/>
  <c r="AG307" i="8"/>
  <c r="AD307" i="8"/>
  <c r="X307" i="8" a="1"/>
  <c r="X307" i="8" s="1"/>
  <c r="Y307" i="8" s="1"/>
  <c r="V307" i="8"/>
  <c r="R307" i="8"/>
  <c r="N307" i="8" a="1"/>
  <c r="N307" i="8" s="1"/>
  <c r="O307" i="8" s="1"/>
  <c r="L307" i="8"/>
  <c r="H307" i="8"/>
  <c r="C307" i="8" a="1"/>
  <c r="C307" i="8" s="1"/>
  <c r="A307" i="8" a="1"/>
  <c r="A307" i="8" s="1"/>
  <c r="AT306" i="8" a="1"/>
  <c r="AT306" i="8" s="1"/>
  <c r="AS306" i="8"/>
  <c r="AP306" i="8"/>
  <c r="AM306" i="8"/>
  <c r="AJ306" i="8"/>
  <c r="AG306" i="8"/>
  <c r="AD306" i="8"/>
  <c r="X306" i="8" a="1"/>
  <c r="X306" i="8" s="1"/>
  <c r="Y306" i="8" s="1"/>
  <c r="V306" i="8"/>
  <c r="R306" i="8"/>
  <c r="N306" i="8" a="1"/>
  <c r="N306" i="8" s="1"/>
  <c r="O306" i="8" s="1"/>
  <c r="L306" i="8"/>
  <c r="H306" i="8"/>
  <c r="C306" i="8" a="1"/>
  <c r="C306" i="8" s="1"/>
  <c r="A306" i="8" a="1"/>
  <c r="A306" i="8" s="1"/>
  <c r="AT305" i="8" a="1"/>
  <c r="AT305" i="8" s="1"/>
  <c r="AS305" i="8"/>
  <c r="AP305" i="8"/>
  <c r="AM305" i="8"/>
  <c r="AJ305" i="8"/>
  <c r="AG305" i="8"/>
  <c r="AD305" i="8"/>
  <c r="X305" i="8" a="1"/>
  <c r="X305" i="8" s="1"/>
  <c r="Y305" i="8" s="1"/>
  <c r="V305" i="8"/>
  <c r="R305" i="8"/>
  <c r="N305" i="8" a="1"/>
  <c r="N305" i="8" s="1"/>
  <c r="O305" i="8" s="1"/>
  <c r="L305" i="8"/>
  <c r="H305" i="8"/>
  <c r="C305" i="8" a="1"/>
  <c r="C305" i="8" s="1"/>
  <c r="A305" i="8" a="1"/>
  <c r="A305" i="8" s="1"/>
  <c r="AT304" i="8" a="1"/>
  <c r="AT304" i="8" s="1"/>
  <c r="AS304" i="8"/>
  <c r="AP304" i="8"/>
  <c r="AM304" i="8"/>
  <c r="AJ304" i="8"/>
  <c r="AG304" i="8"/>
  <c r="AD304" i="8"/>
  <c r="X304" i="8" a="1"/>
  <c r="X304" i="8" s="1"/>
  <c r="Y304" i="8" s="1"/>
  <c r="V304" i="8"/>
  <c r="R304" i="8"/>
  <c r="N304" i="8" a="1"/>
  <c r="N304" i="8" s="1"/>
  <c r="O304" i="8" s="1"/>
  <c r="L304" i="8"/>
  <c r="H304" i="8"/>
  <c r="C304" i="8" a="1"/>
  <c r="C304" i="8" s="1"/>
  <c r="A304" i="8" a="1"/>
  <c r="A304" i="8" s="1"/>
  <c r="AT303" i="8" a="1"/>
  <c r="AT303" i="8" s="1"/>
  <c r="AS303" i="8"/>
  <c r="AP303" i="8"/>
  <c r="AM303" i="8"/>
  <c r="AJ303" i="8"/>
  <c r="AG303" i="8"/>
  <c r="AD303" i="8"/>
  <c r="X303" i="8" a="1"/>
  <c r="X303" i="8" s="1"/>
  <c r="Y303" i="8" s="1"/>
  <c r="AA303" i="8" s="1"/>
  <c r="R303" i="8"/>
  <c r="N303" i="8" a="1"/>
  <c r="N303" i="8" s="1"/>
  <c r="O303" i="8" s="1"/>
  <c r="L303" i="8"/>
  <c r="H303" i="8"/>
  <c r="C303" i="8" a="1"/>
  <c r="C303" i="8" s="1"/>
  <c r="A303" i="8" a="1"/>
  <c r="A303" i="8" s="1"/>
  <c r="AT302" i="8" a="1"/>
  <c r="AT302" i="8" s="1"/>
  <c r="AS302" i="8"/>
  <c r="AP302" i="8"/>
  <c r="AM302" i="8"/>
  <c r="AJ302" i="8"/>
  <c r="AG302" i="8"/>
  <c r="AD302" i="8"/>
  <c r="X302" i="8" a="1"/>
  <c r="X302" i="8" s="1"/>
  <c r="Y302" i="8" s="1"/>
  <c r="V302" i="8"/>
  <c r="R302" i="8"/>
  <c r="N302" i="8" a="1"/>
  <c r="N302" i="8" s="1"/>
  <c r="O302" i="8" s="1"/>
  <c r="L302" i="8"/>
  <c r="H302" i="8"/>
  <c r="C302" i="8" a="1"/>
  <c r="C302" i="8" s="1"/>
  <c r="A302" i="8" a="1"/>
  <c r="A302" i="8" s="1"/>
  <c r="AT301" i="8" a="1"/>
  <c r="AT301" i="8" s="1"/>
  <c r="AS301" i="8"/>
  <c r="AP301" i="8"/>
  <c r="AM301" i="8"/>
  <c r="AJ301" i="8"/>
  <c r="AG301" i="8"/>
  <c r="AD301" i="8"/>
  <c r="X301" i="8" a="1"/>
  <c r="X301" i="8" s="1"/>
  <c r="Y301" i="8" s="1"/>
  <c r="V301" i="8"/>
  <c r="R301" i="8"/>
  <c r="N301" i="8" a="1"/>
  <c r="N301" i="8" s="1"/>
  <c r="O301" i="8" s="1"/>
  <c r="L301" i="8"/>
  <c r="H301" i="8"/>
  <c r="C301" i="8" a="1"/>
  <c r="C301" i="8" s="1"/>
  <c r="A301" i="8" a="1"/>
  <c r="A301" i="8" s="1"/>
  <c r="AT300" i="8" a="1"/>
  <c r="AT300" i="8" s="1"/>
  <c r="AS300" i="8"/>
  <c r="AP300" i="8"/>
  <c r="AM300" i="8"/>
  <c r="AJ300" i="8"/>
  <c r="AG300" i="8"/>
  <c r="AD300" i="8"/>
  <c r="X300" i="8" a="1"/>
  <c r="X300" i="8" s="1"/>
  <c r="Y300" i="8" s="1"/>
  <c r="V300" i="8"/>
  <c r="R300" i="8"/>
  <c r="N300" i="8" a="1"/>
  <c r="N300" i="8" s="1"/>
  <c r="O300" i="8" s="1"/>
  <c r="L300" i="8"/>
  <c r="H300" i="8"/>
  <c r="C300" i="8" a="1"/>
  <c r="C300" i="8" s="1"/>
  <c r="A300" i="8" a="1"/>
  <c r="A300" i="8" s="1"/>
  <c r="AT299" i="8" a="1"/>
  <c r="AT299" i="8" s="1"/>
  <c r="AS299" i="8"/>
  <c r="AP299" i="8"/>
  <c r="AM299" i="8"/>
  <c r="AJ299" i="8"/>
  <c r="AG299" i="8"/>
  <c r="AD299" i="8"/>
  <c r="X299" i="8" a="1"/>
  <c r="X299" i="8" s="1"/>
  <c r="Y299" i="8" s="1"/>
  <c r="V299" i="8"/>
  <c r="R299" i="8"/>
  <c r="N299" i="8" a="1"/>
  <c r="N299" i="8" s="1"/>
  <c r="O299" i="8" s="1"/>
  <c r="L299" i="8"/>
  <c r="H299" i="8"/>
  <c r="C299" i="8" a="1"/>
  <c r="C299" i="8" s="1"/>
  <c r="A299" i="8" a="1"/>
  <c r="A299" i="8" s="1"/>
  <c r="AT298" i="8" a="1"/>
  <c r="AT298" i="8" s="1"/>
  <c r="AS298" i="8"/>
  <c r="AP298" i="8"/>
  <c r="AM298" i="8"/>
  <c r="AJ298" i="8"/>
  <c r="AG298" i="8"/>
  <c r="AD298" i="8"/>
  <c r="X298" i="8" a="1"/>
  <c r="X298" i="8" s="1"/>
  <c r="Y298" i="8" s="1"/>
  <c r="V298" i="8"/>
  <c r="R298" i="8"/>
  <c r="N298" i="8" a="1"/>
  <c r="N298" i="8" s="1"/>
  <c r="O298" i="8" s="1"/>
  <c r="L298" i="8"/>
  <c r="H298" i="8"/>
  <c r="C298" i="8" a="1"/>
  <c r="C298" i="8" s="1"/>
  <c r="A298" i="8" a="1"/>
  <c r="A298" i="8" s="1"/>
  <c r="AT297" i="8" a="1"/>
  <c r="AT297" i="8" s="1"/>
  <c r="AS297" i="8"/>
  <c r="AP297" i="8"/>
  <c r="AM297" i="8"/>
  <c r="AJ297" i="8"/>
  <c r="AG297" i="8"/>
  <c r="AD297" i="8"/>
  <c r="X297" i="8" a="1"/>
  <c r="X297" i="8" s="1"/>
  <c r="Y297" i="8" s="1"/>
  <c r="V297" i="8"/>
  <c r="R297" i="8"/>
  <c r="N297" i="8" a="1"/>
  <c r="N297" i="8" s="1"/>
  <c r="O297" i="8" s="1"/>
  <c r="L297" i="8"/>
  <c r="H297" i="8"/>
  <c r="C297" i="8" a="1"/>
  <c r="C297" i="8" s="1"/>
  <c r="A297" i="8" a="1"/>
  <c r="A297" i="8" s="1"/>
  <c r="AT296" i="8" a="1"/>
  <c r="AT296" i="8" s="1"/>
  <c r="AS296" i="8"/>
  <c r="AP296" i="8"/>
  <c r="AM296" i="8"/>
  <c r="AJ296" i="8"/>
  <c r="AG296" i="8"/>
  <c r="AD296" i="8"/>
  <c r="X296" i="8" a="1"/>
  <c r="X296" i="8" s="1"/>
  <c r="Y296" i="8" s="1"/>
  <c r="V296" i="8"/>
  <c r="R296" i="8"/>
  <c r="N296" i="8" a="1"/>
  <c r="N296" i="8" s="1"/>
  <c r="O296" i="8" s="1"/>
  <c r="L296" i="8"/>
  <c r="H296" i="8"/>
  <c r="C296" i="8" a="1"/>
  <c r="C296" i="8" s="1"/>
  <c r="A296" i="8" a="1"/>
  <c r="A296" i="8" s="1"/>
  <c r="AT295" i="8" a="1"/>
  <c r="AT295" i="8" s="1"/>
  <c r="AS295" i="8"/>
  <c r="AP295" i="8"/>
  <c r="AM295" i="8"/>
  <c r="AJ295" i="8"/>
  <c r="AG295" i="8"/>
  <c r="AD295" i="8"/>
  <c r="X295" i="8" a="1"/>
  <c r="X295" i="8" s="1"/>
  <c r="Y295" i="8" s="1"/>
  <c r="V295" i="8"/>
  <c r="R295" i="8"/>
  <c r="N295" i="8" a="1"/>
  <c r="N295" i="8" s="1"/>
  <c r="O295" i="8" s="1"/>
  <c r="L295" i="8"/>
  <c r="H295" i="8"/>
  <c r="C295" i="8" a="1"/>
  <c r="C295" i="8" s="1"/>
  <c r="A295" i="8" a="1"/>
  <c r="A295" i="8" s="1"/>
  <c r="AT294" i="8" a="1"/>
  <c r="AT294" i="8" s="1"/>
  <c r="AS294" i="8"/>
  <c r="AP294" i="8"/>
  <c r="AM294" i="8"/>
  <c r="AJ294" i="8"/>
  <c r="AG294" i="8"/>
  <c r="AD294" i="8"/>
  <c r="X294" i="8" a="1"/>
  <c r="X294" i="8" s="1"/>
  <c r="Y294" i="8" s="1"/>
  <c r="V294" i="8"/>
  <c r="R294" i="8"/>
  <c r="N294" i="8" a="1"/>
  <c r="N294" i="8" s="1"/>
  <c r="O294" i="8" s="1"/>
  <c r="L294" i="8"/>
  <c r="H294" i="8"/>
  <c r="C294" i="8" a="1"/>
  <c r="C294" i="8" s="1"/>
  <c r="A294" i="8" a="1"/>
  <c r="A294" i="8" s="1"/>
  <c r="AT293" i="8" a="1"/>
  <c r="AT293" i="8" s="1"/>
  <c r="AS293" i="8"/>
  <c r="AP293" i="8"/>
  <c r="AM293" i="8"/>
  <c r="AJ293" i="8"/>
  <c r="AG293" i="8"/>
  <c r="AD293" i="8"/>
  <c r="X293" i="8" a="1"/>
  <c r="X293" i="8" s="1"/>
  <c r="Y293" i="8" s="1"/>
  <c r="V293" i="8"/>
  <c r="R293" i="8"/>
  <c r="N293" i="8" a="1"/>
  <c r="N293" i="8" s="1"/>
  <c r="O293" i="8" s="1"/>
  <c r="L293" i="8"/>
  <c r="H293" i="8"/>
  <c r="C293" i="8" a="1"/>
  <c r="C293" i="8" s="1"/>
  <c r="A293" i="8" a="1"/>
  <c r="A293" i="8" s="1"/>
  <c r="AT292" i="8" a="1"/>
  <c r="AT292" i="8" s="1"/>
  <c r="AS292" i="8"/>
  <c r="AP292" i="8"/>
  <c r="AM292" i="8"/>
  <c r="AJ292" i="8"/>
  <c r="AG292" i="8"/>
  <c r="AD292" i="8"/>
  <c r="X292" i="8" a="1"/>
  <c r="X292" i="8" s="1"/>
  <c r="Y292" i="8" s="1"/>
  <c r="V292" i="8"/>
  <c r="R292" i="8"/>
  <c r="N292" i="8" a="1"/>
  <c r="N292" i="8" s="1"/>
  <c r="O292" i="8" s="1"/>
  <c r="L292" i="8"/>
  <c r="H292" i="8"/>
  <c r="C292" i="8" a="1"/>
  <c r="C292" i="8" s="1"/>
  <c r="A292" i="8" a="1"/>
  <c r="A292" i="8" s="1"/>
  <c r="AT291" i="8" a="1"/>
  <c r="AT291" i="8" s="1"/>
  <c r="AS291" i="8"/>
  <c r="AP291" i="8"/>
  <c r="AM291" i="8"/>
  <c r="AJ291" i="8"/>
  <c r="AG291" i="8"/>
  <c r="AD291" i="8"/>
  <c r="X291" i="8" a="1"/>
  <c r="X291" i="8" s="1"/>
  <c r="Y291" i="8" s="1"/>
  <c r="V291" i="8"/>
  <c r="R291" i="8"/>
  <c r="N291" i="8" a="1"/>
  <c r="N291" i="8" s="1"/>
  <c r="O291" i="8" s="1"/>
  <c r="L291" i="8"/>
  <c r="H291" i="8"/>
  <c r="C291" i="8" a="1"/>
  <c r="C291" i="8" s="1"/>
  <c r="A291" i="8" a="1"/>
  <c r="A291" i="8" s="1"/>
  <c r="AT290" i="8" a="1"/>
  <c r="AT290" i="8" s="1"/>
  <c r="AS290" i="8"/>
  <c r="AP290" i="8"/>
  <c r="AM290" i="8"/>
  <c r="AJ290" i="8"/>
  <c r="AG290" i="8"/>
  <c r="AD290" i="8"/>
  <c r="X290" i="8" a="1"/>
  <c r="X290" i="8" s="1"/>
  <c r="Y290" i="8" s="1"/>
  <c r="V290" i="8"/>
  <c r="R290" i="8"/>
  <c r="N290" i="8" a="1"/>
  <c r="N290" i="8" s="1"/>
  <c r="O290" i="8" s="1"/>
  <c r="L290" i="8"/>
  <c r="H290" i="8"/>
  <c r="C290" i="8" a="1"/>
  <c r="C290" i="8" s="1"/>
  <c r="A290" i="8" a="1"/>
  <c r="A290" i="8" s="1"/>
  <c r="AT289" i="8" a="1"/>
  <c r="AT289" i="8" s="1"/>
  <c r="AS289" i="8"/>
  <c r="AP289" i="8"/>
  <c r="AM289" i="8"/>
  <c r="AJ289" i="8"/>
  <c r="AG289" i="8"/>
  <c r="AD289" i="8"/>
  <c r="X289" i="8" a="1"/>
  <c r="X289" i="8" s="1"/>
  <c r="Y289" i="8" s="1"/>
  <c r="V289" i="8"/>
  <c r="R289" i="8"/>
  <c r="N289" i="8" a="1"/>
  <c r="N289" i="8" s="1"/>
  <c r="O289" i="8" s="1"/>
  <c r="L289" i="8"/>
  <c r="H289" i="8"/>
  <c r="C289" i="8" a="1"/>
  <c r="C289" i="8" s="1"/>
  <c r="A289" i="8" a="1"/>
  <c r="A289" i="8" s="1"/>
  <c r="AT288" i="8" a="1"/>
  <c r="AT288" i="8" s="1"/>
  <c r="AS288" i="8"/>
  <c r="AP288" i="8"/>
  <c r="AM288" i="8"/>
  <c r="AJ288" i="8"/>
  <c r="AG288" i="8"/>
  <c r="AD288" i="8"/>
  <c r="X288" i="8" a="1"/>
  <c r="X288" i="8" s="1"/>
  <c r="Y288" i="8" s="1"/>
  <c r="V288" i="8"/>
  <c r="R288" i="8"/>
  <c r="N288" i="8" a="1"/>
  <c r="N288" i="8" s="1"/>
  <c r="O288" i="8" s="1"/>
  <c r="L288" i="8"/>
  <c r="H288" i="8"/>
  <c r="C288" i="8" a="1"/>
  <c r="C288" i="8" s="1"/>
  <c r="A288" i="8" a="1"/>
  <c r="A288" i="8" s="1"/>
  <c r="AT287" i="8" a="1"/>
  <c r="AT287" i="8" s="1"/>
  <c r="AS287" i="8"/>
  <c r="AP287" i="8"/>
  <c r="AM287" i="8"/>
  <c r="AJ287" i="8"/>
  <c r="AG287" i="8"/>
  <c r="AD287" i="8"/>
  <c r="X287" i="8" a="1"/>
  <c r="X287" i="8" s="1"/>
  <c r="Y287" i="8" s="1"/>
  <c r="V287" i="8"/>
  <c r="R287" i="8"/>
  <c r="N287" i="8" a="1"/>
  <c r="N287" i="8" s="1"/>
  <c r="O287" i="8" s="1"/>
  <c r="L287" i="8"/>
  <c r="H287" i="8"/>
  <c r="C287" i="8" a="1"/>
  <c r="C287" i="8" s="1"/>
  <c r="A287" i="8" a="1"/>
  <c r="A287" i="8" s="1"/>
  <c r="AT286" i="8" a="1"/>
  <c r="AT286" i="8" s="1"/>
  <c r="AS286" i="8"/>
  <c r="AP286" i="8"/>
  <c r="AM286" i="8"/>
  <c r="AJ286" i="8"/>
  <c r="AG286" i="8"/>
  <c r="AD286" i="8"/>
  <c r="X286" i="8" a="1"/>
  <c r="X286" i="8" s="1"/>
  <c r="Y286" i="8" s="1"/>
  <c r="V286" i="8"/>
  <c r="R286" i="8"/>
  <c r="O286" i="8"/>
  <c r="L286" i="8"/>
  <c r="H286" i="8"/>
  <c r="C286" i="8" a="1"/>
  <c r="C286" i="8" s="1"/>
  <c r="A286" i="8" a="1"/>
  <c r="A286" i="8" s="1"/>
  <c r="AT285" i="8" a="1"/>
  <c r="AT285" i="8" s="1"/>
  <c r="AS285" i="8"/>
  <c r="AP285" i="8"/>
  <c r="AM285" i="8"/>
  <c r="AJ285" i="8"/>
  <c r="AG285" i="8"/>
  <c r="AD285" i="8"/>
  <c r="X285" i="8" a="1"/>
  <c r="X285" i="8" s="1"/>
  <c r="Y285" i="8" s="1"/>
  <c r="V285" i="8"/>
  <c r="R285" i="8"/>
  <c r="N285" i="8" a="1"/>
  <c r="N285" i="8" s="1"/>
  <c r="O285" i="8" s="1"/>
  <c r="L285" i="8"/>
  <c r="H285" i="8"/>
  <c r="C285" i="8" a="1"/>
  <c r="C285" i="8" s="1"/>
  <c r="A285" i="8" a="1"/>
  <c r="A285" i="8" s="1"/>
  <c r="AT284" i="8" a="1"/>
  <c r="AT284" i="8" s="1"/>
  <c r="AS284" i="8"/>
  <c r="AP284" i="8"/>
  <c r="AM284" i="8"/>
  <c r="AJ284" i="8"/>
  <c r="AG284" i="8"/>
  <c r="AD284" i="8"/>
  <c r="X284" i="8" a="1"/>
  <c r="X284" i="8" s="1"/>
  <c r="Y284" i="8" s="1"/>
  <c r="V284" i="8"/>
  <c r="R284" i="8"/>
  <c r="N284" i="8" a="1"/>
  <c r="N284" i="8" s="1"/>
  <c r="O284" i="8" s="1"/>
  <c r="L284" i="8"/>
  <c r="H284" i="8"/>
  <c r="C284" i="8" a="1"/>
  <c r="C284" i="8" s="1"/>
  <c r="A284" i="8" a="1"/>
  <c r="A284" i="8" s="1"/>
  <c r="AT283" i="8" a="1"/>
  <c r="AT283" i="8" s="1"/>
  <c r="AS283" i="8"/>
  <c r="AP283" i="8"/>
  <c r="AM283" i="8"/>
  <c r="AJ283" i="8"/>
  <c r="AG283" i="8"/>
  <c r="AD283" i="8"/>
  <c r="X283" i="8" a="1"/>
  <c r="X283" i="8" s="1"/>
  <c r="Y283" i="8" s="1"/>
  <c r="V283" i="8"/>
  <c r="R283" i="8"/>
  <c r="N283" i="8" a="1"/>
  <c r="N283" i="8" s="1"/>
  <c r="O283" i="8" s="1"/>
  <c r="L283" i="8"/>
  <c r="H283" i="8"/>
  <c r="C283" i="8" a="1"/>
  <c r="C283" i="8" s="1"/>
  <c r="A283" i="8" a="1"/>
  <c r="A283" i="8" s="1"/>
  <c r="AT282" i="8" a="1"/>
  <c r="AT282" i="8" s="1"/>
  <c r="AS282" i="8"/>
  <c r="AP282" i="8"/>
  <c r="AM282" i="8"/>
  <c r="AJ282" i="8"/>
  <c r="AG282" i="8"/>
  <c r="AD282" i="8"/>
  <c r="X282" i="8" a="1"/>
  <c r="X282" i="8" s="1"/>
  <c r="Y282" i="8" s="1"/>
  <c r="V282" i="8"/>
  <c r="R282" i="8"/>
  <c r="N282" i="8" a="1"/>
  <c r="N282" i="8" s="1"/>
  <c r="O282" i="8" s="1"/>
  <c r="L282" i="8"/>
  <c r="H282" i="8"/>
  <c r="C282" i="8" a="1"/>
  <c r="C282" i="8" s="1"/>
  <c r="A282" i="8" a="1"/>
  <c r="A282" i="8" s="1"/>
  <c r="AT281" i="8" a="1"/>
  <c r="AT281" i="8" s="1"/>
  <c r="AS281" i="8"/>
  <c r="AP281" i="8"/>
  <c r="AM281" i="8"/>
  <c r="AJ281" i="8"/>
  <c r="AG281" i="8"/>
  <c r="AD281" i="8"/>
  <c r="X281" i="8" a="1"/>
  <c r="X281" i="8" s="1"/>
  <c r="Y281" i="8" s="1"/>
  <c r="V281" i="8"/>
  <c r="R281" i="8"/>
  <c r="N281" i="8" a="1"/>
  <c r="N281" i="8" s="1"/>
  <c r="O281" i="8" s="1"/>
  <c r="L281" i="8"/>
  <c r="H281" i="8"/>
  <c r="C281" i="8" a="1"/>
  <c r="C281" i="8" s="1"/>
  <c r="AT280" i="8" a="1"/>
  <c r="AT280" i="8" s="1"/>
  <c r="AS280" i="8"/>
  <c r="AP280" i="8"/>
  <c r="AM280" i="8"/>
  <c r="AJ280" i="8"/>
  <c r="AG280" i="8"/>
  <c r="AD280" i="8"/>
  <c r="X280" i="8" a="1"/>
  <c r="X280" i="8" s="1"/>
  <c r="Y280" i="8" s="1"/>
  <c r="V280" i="8"/>
  <c r="R280" i="8"/>
  <c r="N280" i="8" a="1"/>
  <c r="N280" i="8" s="1"/>
  <c r="O280" i="8" s="1"/>
  <c r="L280" i="8"/>
  <c r="H280" i="8"/>
  <c r="C280" i="8" a="1"/>
  <c r="C280" i="8" s="1"/>
  <c r="A280" i="8" a="1"/>
  <c r="A280" i="8" s="1"/>
  <c r="AT279" i="8" a="1"/>
  <c r="AT279" i="8" s="1"/>
  <c r="AS279" i="8"/>
  <c r="AP279" i="8"/>
  <c r="AM279" i="8"/>
  <c r="AJ279" i="8"/>
  <c r="AG279" i="8"/>
  <c r="AD279" i="8"/>
  <c r="X279" i="8" a="1"/>
  <c r="X279" i="8" s="1"/>
  <c r="Y279" i="8" s="1"/>
  <c r="V279" i="8"/>
  <c r="R279" i="8"/>
  <c r="N279" i="8" a="1"/>
  <c r="N279" i="8" s="1"/>
  <c r="O279" i="8" s="1"/>
  <c r="L279" i="8"/>
  <c r="H279" i="8"/>
  <c r="C279" i="8" a="1"/>
  <c r="C279" i="8" s="1"/>
  <c r="A279" i="8" a="1"/>
  <c r="A279" i="8" s="1"/>
  <c r="AT278" i="8" a="1"/>
  <c r="AT278" i="8" s="1"/>
  <c r="AS278" i="8"/>
  <c r="AP278" i="8"/>
  <c r="AM278" i="8"/>
  <c r="AJ278" i="8"/>
  <c r="AG278" i="8"/>
  <c r="AD278" i="8"/>
  <c r="X278" i="8" a="1"/>
  <c r="X278" i="8" s="1"/>
  <c r="Y278" i="8" s="1"/>
  <c r="V278" i="8"/>
  <c r="R278" i="8"/>
  <c r="N278" i="8" a="1"/>
  <c r="N278" i="8" s="1"/>
  <c r="O278" i="8" s="1"/>
  <c r="L278" i="8"/>
  <c r="H278" i="8"/>
  <c r="C278" i="8" a="1"/>
  <c r="C278" i="8" s="1"/>
  <c r="A278" i="8" a="1"/>
  <c r="A278" i="8" s="1"/>
  <c r="AT277" i="8" a="1"/>
  <c r="AT277" i="8" s="1"/>
  <c r="AS277" i="8"/>
  <c r="AP277" i="8"/>
  <c r="AM277" i="8"/>
  <c r="AJ277" i="8"/>
  <c r="AG277" i="8"/>
  <c r="AD277" i="8"/>
  <c r="X277" i="8" a="1"/>
  <c r="X277" i="8" s="1"/>
  <c r="Y277" i="8" s="1"/>
  <c r="V277" i="8"/>
  <c r="R277" i="8"/>
  <c r="N277" i="8" a="1"/>
  <c r="N277" i="8" s="1"/>
  <c r="O277" i="8" s="1"/>
  <c r="L277" i="8"/>
  <c r="H277" i="8"/>
  <c r="C277" i="8" a="1"/>
  <c r="C277" i="8" s="1"/>
  <c r="A277" i="8" a="1"/>
  <c r="A277" i="8" s="1"/>
  <c r="AT276" i="8" a="1"/>
  <c r="AT276" i="8" s="1"/>
  <c r="AS276" i="8"/>
  <c r="AP276" i="8"/>
  <c r="AM276" i="8"/>
  <c r="AJ276" i="8"/>
  <c r="AG276" i="8"/>
  <c r="AD276" i="8"/>
  <c r="X276" i="8" a="1"/>
  <c r="X276" i="8" s="1"/>
  <c r="Y276" i="8" s="1"/>
  <c r="AA276" i="8" s="1"/>
  <c r="R276" i="8"/>
  <c r="N276" i="8" a="1"/>
  <c r="N276" i="8" s="1"/>
  <c r="O276" i="8" s="1"/>
  <c r="L276" i="8"/>
  <c r="H276" i="8"/>
  <c r="C276" i="8" a="1"/>
  <c r="C276" i="8" s="1"/>
  <c r="A276" i="8" a="1"/>
  <c r="A276" i="8" s="1"/>
  <c r="AT275" i="8" a="1"/>
  <c r="AT275" i="8" s="1"/>
  <c r="AS275" i="8"/>
  <c r="AP275" i="8"/>
  <c r="AM275" i="8"/>
  <c r="AJ275" i="8"/>
  <c r="AG275" i="8"/>
  <c r="AD275" i="8"/>
  <c r="X275" i="8" a="1"/>
  <c r="X275" i="8" s="1"/>
  <c r="Y275" i="8" s="1"/>
  <c r="V275" i="8"/>
  <c r="R275" i="8"/>
  <c r="N275" i="8" a="1"/>
  <c r="N275" i="8" s="1"/>
  <c r="O275" i="8" s="1"/>
  <c r="L275" i="8"/>
  <c r="H275" i="8"/>
  <c r="C275" i="8" a="1"/>
  <c r="C275" i="8" s="1"/>
  <c r="A275" i="8" a="1"/>
  <c r="A275" i="8" s="1"/>
  <c r="AT274" i="8" a="1"/>
  <c r="AT274" i="8" s="1"/>
  <c r="AS274" i="8"/>
  <c r="AP274" i="8"/>
  <c r="AM274" i="8"/>
  <c r="AJ274" i="8"/>
  <c r="AG274" i="8"/>
  <c r="AD274" i="8"/>
  <c r="X274" i="8" a="1"/>
  <c r="X274" i="8" s="1"/>
  <c r="Y274" i="8" s="1"/>
  <c r="V274" i="8"/>
  <c r="R274" i="8"/>
  <c r="N274" i="8" a="1"/>
  <c r="N274" i="8" s="1"/>
  <c r="O274" i="8" s="1"/>
  <c r="L274" i="8"/>
  <c r="H274" i="8"/>
  <c r="C274" i="8" a="1"/>
  <c r="C274" i="8" s="1"/>
  <c r="A274" i="8" a="1"/>
  <c r="A274" i="8" s="1"/>
  <c r="AT273" i="8" a="1"/>
  <c r="AT273" i="8" s="1"/>
  <c r="AS273" i="8"/>
  <c r="AP273" i="8"/>
  <c r="AM273" i="8"/>
  <c r="AJ273" i="8"/>
  <c r="AG273" i="8"/>
  <c r="AD273" i="8"/>
  <c r="X273" i="8" a="1"/>
  <c r="X273" i="8" s="1"/>
  <c r="Y273" i="8" s="1"/>
  <c r="V273" i="8"/>
  <c r="R273" i="8"/>
  <c r="N273" i="8" a="1"/>
  <c r="N273" i="8" s="1"/>
  <c r="O273" i="8" s="1"/>
  <c r="L273" i="8"/>
  <c r="H273" i="8"/>
  <c r="C273" i="8" a="1"/>
  <c r="C273" i="8" s="1"/>
  <c r="A273" i="8" a="1"/>
  <c r="A273" i="8" s="1"/>
  <c r="AT272" i="8" a="1"/>
  <c r="AT272" i="8" s="1"/>
  <c r="AS272" i="8"/>
  <c r="AP272" i="8"/>
  <c r="AM272" i="8"/>
  <c r="AJ272" i="8"/>
  <c r="AG272" i="8"/>
  <c r="AD272" i="8"/>
  <c r="X272" i="8" a="1"/>
  <c r="X272" i="8" s="1"/>
  <c r="Y272" i="8" s="1"/>
  <c r="V272" i="8"/>
  <c r="R272" i="8"/>
  <c r="N272" i="8" a="1"/>
  <c r="N272" i="8" s="1"/>
  <c r="O272" i="8" s="1"/>
  <c r="L272" i="8"/>
  <c r="H272" i="8"/>
  <c r="C272" i="8" a="1"/>
  <c r="C272" i="8" s="1"/>
  <c r="A272" i="8" a="1"/>
  <c r="A272" i="8" s="1"/>
  <c r="AT271" i="8" a="1"/>
  <c r="AT271" i="8" s="1"/>
  <c r="AS271" i="8"/>
  <c r="AP271" i="8"/>
  <c r="AM271" i="8"/>
  <c r="AJ271" i="8"/>
  <c r="AG271" i="8"/>
  <c r="AD271" i="8"/>
  <c r="X271" i="8" a="1"/>
  <c r="X271" i="8" s="1"/>
  <c r="Y271" i="8" s="1"/>
  <c r="V271" i="8"/>
  <c r="R271" i="8"/>
  <c r="N271" i="8" a="1"/>
  <c r="N271" i="8" s="1"/>
  <c r="O271" i="8" s="1"/>
  <c r="L271" i="8"/>
  <c r="H271" i="8"/>
  <c r="C271" i="8" a="1"/>
  <c r="C271" i="8" s="1"/>
  <c r="A271" i="8" a="1"/>
  <c r="A271" i="8" s="1"/>
  <c r="AT270" i="8" a="1"/>
  <c r="AT270" i="8" s="1"/>
  <c r="AS270" i="8"/>
  <c r="AP270" i="8"/>
  <c r="AM270" i="8"/>
  <c r="AJ270" i="8"/>
  <c r="AG270" i="8"/>
  <c r="AD270" i="8"/>
  <c r="X270" i="8" a="1"/>
  <c r="X270" i="8" s="1"/>
  <c r="Y270" i="8" s="1"/>
  <c r="V270" i="8"/>
  <c r="R270" i="8"/>
  <c r="N270" i="8" a="1"/>
  <c r="N270" i="8" s="1"/>
  <c r="O270" i="8" s="1"/>
  <c r="L270" i="8"/>
  <c r="H270" i="8"/>
  <c r="C270" i="8" a="1"/>
  <c r="C270" i="8" s="1"/>
  <c r="A270" i="8" a="1"/>
  <c r="A270" i="8" s="1"/>
  <c r="AT269" i="8" a="1"/>
  <c r="AT269" i="8" s="1"/>
  <c r="AS269" i="8"/>
  <c r="AP269" i="8"/>
  <c r="AM269" i="8"/>
  <c r="AJ269" i="8"/>
  <c r="AG269" i="8"/>
  <c r="AD269" i="8"/>
  <c r="X269" i="8" a="1"/>
  <c r="X269" i="8" s="1"/>
  <c r="Y269" i="8" s="1"/>
  <c r="AA269" i="8" s="1"/>
  <c r="R269" i="8"/>
  <c r="N269" i="8" a="1"/>
  <c r="N269" i="8" s="1"/>
  <c r="O269" i="8" s="1"/>
  <c r="L269" i="8"/>
  <c r="H269" i="8"/>
  <c r="C269" i="8" a="1"/>
  <c r="C269" i="8" s="1"/>
  <c r="A269" i="8" a="1"/>
  <c r="A269" i="8" s="1"/>
  <c r="AT268" i="8" a="1"/>
  <c r="AT268" i="8" s="1"/>
  <c r="AS268" i="8"/>
  <c r="AP268" i="8"/>
  <c r="AM268" i="8"/>
  <c r="AJ268" i="8"/>
  <c r="AG268" i="8"/>
  <c r="AD268" i="8"/>
  <c r="X268" i="8" a="1"/>
  <c r="X268" i="8" s="1"/>
  <c r="Y268" i="8" s="1"/>
  <c r="AA268" i="8" s="1"/>
  <c r="R268" i="8"/>
  <c r="N268" i="8" a="1"/>
  <c r="N268" i="8" s="1"/>
  <c r="O268" i="8" s="1"/>
  <c r="L268" i="8"/>
  <c r="H268" i="8"/>
  <c r="C268" i="8" a="1"/>
  <c r="C268" i="8" s="1"/>
  <c r="A268" i="8" a="1"/>
  <c r="A268" i="8" s="1"/>
  <c r="AT267" i="8" a="1"/>
  <c r="AT267" i="8" s="1"/>
  <c r="AS267" i="8"/>
  <c r="AP267" i="8"/>
  <c r="AM267" i="8"/>
  <c r="AJ267" i="8"/>
  <c r="AG267" i="8"/>
  <c r="AD267" i="8"/>
  <c r="X267" i="8" a="1"/>
  <c r="X267" i="8" s="1"/>
  <c r="Y267" i="8" s="1"/>
  <c r="AA267" i="8" s="1"/>
  <c r="R267" i="8"/>
  <c r="N267" i="8" a="1"/>
  <c r="N267" i="8" s="1"/>
  <c r="O267" i="8" s="1"/>
  <c r="L267" i="8"/>
  <c r="H267" i="8"/>
  <c r="C267" i="8" a="1"/>
  <c r="C267" i="8" s="1"/>
  <c r="A267" i="8" a="1"/>
  <c r="A267" i="8" s="1"/>
  <c r="AT266" i="8" a="1"/>
  <c r="AT266" i="8" s="1"/>
  <c r="AS266" i="8"/>
  <c r="AP266" i="8"/>
  <c r="AM266" i="8"/>
  <c r="AJ266" i="8"/>
  <c r="AG266" i="8"/>
  <c r="AD266" i="8"/>
  <c r="X266" i="8" a="1"/>
  <c r="X266" i="8" s="1"/>
  <c r="Y266" i="8" s="1"/>
  <c r="AA266" i="8" s="1"/>
  <c r="R266" i="8"/>
  <c r="N266" i="8" a="1"/>
  <c r="N266" i="8" s="1"/>
  <c r="O266" i="8" s="1"/>
  <c r="L266" i="8"/>
  <c r="H266" i="8"/>
  <c r="C266" i="8" a="1"/>
  <c r="C266" i="8" s="1"/>
  <c r="A266" i="8" a="1"/>
  <c r="A266" i="8" s="1"/>
  <c r="AT265" i="8" a="1"/>
  <c r="AT265" i="8" s="1"/>
  <c r="AS265" i="8"/>
  <c r="AP265" i="8"/>
  <c r="AM265" i="8"/>
  <c r="AJ265" i="8"/>
  <c r="AG265" i="8"/>
  <c r="AD265" i="8"/>
  <c r="X265" i="8" a="1"/>
  <c r="X265" i="8" s="1"/>
  <c r="Y265" i="8" s="1"/>
  <c r="AA265" i="8" s="1"/>
  <c r="R265" i="8"/>
  <c r="N265" i="8" a="1"/>
  <c r="N265" i="8" s="1"/>
  <c r="O265" i="8" s="1"/>
  <c r="L265" i="8"/>
  <c r="H265" i="8"/>
  <c r="C265" i="8" a="1"/>
  <c r="C265" i="8" s="1"/>
  <c r="A265" i="8" a="1"/>
  <c r="A265" i="8" s="1"/>
  <c r="AT264" i="8" a="1"/>
  <c r="AT264" i="8" s="1"/>
  <c r="AS264" i="8"/>
  <c r="AP264" i="8"/>
  <c r="AM264" i="8"/>
  <c r="AJ264" i="8"/>
  <c r="AG264" i="8"/>
  <c r="AD264" i="8"/>
  <c r="X264" i="8" a="1"/>
  <c r="X264" i="8" s="1"/>
  <c r="Y264" i="8" s="1"/>
  <c r="AA264" i="8" s="1"/>
  <c r="R264" i="8"/>
  <c r="N264" i="8" a="1"/>
  <c r="N264" i="8" s="1"/>
  <c r="O264" i="8" s="1"/>
  <c r="L264" i="8"/>
  <c r="H264" i="8"/>
  <c r="C264" i="8" a="1"/>
  <c r="C264" i="8" s="1"/>
  <c r="A264" i="8" a="1"/>
  <c r="A264" i="8" s="1"/>
  <c r="AT263" i="8" a="1"/>
  <c r="AT263" i="8" s="1"/>
  <c r="AS263" i="8"/>
  <c r="AP263" i="8"/>
  <c r="AM263" i="8"/>
  <c r="AJ263" i="8"/>
  <c r="AG263" i="8"/>
  <c r="AD263" i="8"/>
  <c r="X263" i="8" a="1"/>
  <c r="X263" i="8" s="1"/>
  <c r="Y263" i="8" s="1"/>
  <c r="AA263" i="8" s="1"/>
  <c r="R263" i="8"/>
  <c r="N263" i="8" a="1"/>
  <c r="N263" i="8" s="1"/>
  <c r="O263" i="8" s="1"/>
  <c r="L263" i="8"/>
  <c r="H263" i="8"/>
  <c r="C263" i="8" a="1"/>
  <c r="C263" i="8" s="1"/>
  <c r="A263" i="8" a="1"/>
  <c r="A263" i="8" s="1"/>
  <c r="AT262" i="8" a="1"/>
  <c r="AT262" i="8" s="1"/>
  <c r="AS262" i="8"/>
  <c r="AP262" i="8"/>
  <c r="AM262" i="8"/>
  <c r="AJ262" i="8"/>
  <c r="AG262" i="8"/>
  <c r="AD262" i="8"/>
  <c r="X262" i="8" a="1"/>
  <c r="X262" i="8" s="1"/>
  <c r="Y262" i="8" s="1"/>
  <c r="AA262" i="8" s="1"/>
  <c r="R262" i="8"/>
  <c r="N262" i="8" a="1"/>
  <c r="N262" i="8" s="1"/>
  <c r="O262" i="8" s="1"/>
  <c r="L262" i="8"/>
  <c r="H262" i="8"/>
  <c r="C262" i="8" a="1"/>
  <c r="C262" i="8" s="1"/>
  <c r="A262" i="8" a="1"/>
  <c r="A262" i="8" s="1"/>
  <c r="AT261" i="8" a="1"/>
  <c r="AT261" i="8" s="1"/>
  <c r="AS261" i="8"/>
  <c r="AP261" i="8"/>
  <c r="AM261" i="8"/>
  <c r="AJ261" i="8"/>
  <c r="AG261" i="8"/>
  <c r="AD261" i="8"/>
  <c r="X261" i="8" a="1"/>
  <c r="X261" i="8" s="1"/>
  <c r="Y261" i="8" s="1"/>
  <c r="V261" i="8"/>
  <c r="R261" i="8"/>
  <c r="N261" i="8" a="1"/>
  <c r="N261" i="8" s="1"/>
  <c r="O261" i="8" s="1"/>
  <c r="L261" i="8"/>
  <c r="H261" i="8"/>
  <c r="A261" i="8" a="1"/>
  <c r="A261" i="8" s="1"/>
  <c r="AT260" i="8" a="1"/>
  <c r="AT260" i="8" s="1"/>
  <c r="AS260" i="8"/>
  <c r="AP260" i="8"/>
  <c r="AM260" i="8"/>
  <c r="AJ260" i="8"/>
  <c r="AG260" i="8"/>
  <c r="AD260" i="8"/>
  <c r="X260" i="8" a="1"/>
  <c r="X260" i="8" s="1"/>
  <c r="Y260" i="8" s="1"/>
  <c r="AA260" i="8" s="1"/>
  <c r="R260" i="8"/>
  <c r="N260" i="8" a="1"/>
  <c r="N260" i="8" s="1"/>
  <c r="O260" i="8" s="1"/>
  <c r="L260" i="8"/>
  <c r="H260" i="8"/>
  <c r="C260" i="8" a="1"/>
  <c r="C260" i="8" s="1"/>
  <c r="A260" i="8" a="1"/>
  <c r="A260" i="8" s="1"/>
  <c r="AT259" i="8" a="1"/>
  <c r="AT259" i="8" s="1"/>
  <c r="AS259" i="8"/>
  <c r="AP259" i="8"/>
  <c r="AM259" i="8"/>
  <c r="AJ259" i="8"/>
  <c r="AG259" i="8"/>
  <c r="AD259" i="8"/>
  <c r="X259" i="8" a="1"/>
  <c r="X259" i="8" s="1"/>
  <c r="Y259" i="8" s="1"/>
  <c r="AA259" i="8" s="1"/>
  <c r="R259" i="8"/>
  <c r="N259" i="8" a="1"/>
  <c r="N259" i="8" s="1"/>
  <c r="O259" i="8" s="1"/>
  <c r="L259" i="8"/>
  <c r="H259" i="8"/>
  <c r="C259" i="8" a="1"/>
  <c r="C259" i="8" s="1"/>
  <c r="A259" i="8" a="1"/>
  <c r="A259" i="8" s="1"/>
  <c r="AT258" i="8" a="1"/>
  <c r="AT258" i="8" s="1"/>
  <c r="AS258" i="8"/>
  <c r="AP258" i="8"/>
  <c r="AM258" i="8"/>
  <c r="AJ258" i="8"/>
  <c r="AG258" i="8"/>
  <c r="AD258" i="8"/>
  <c r="X258" i="8" a="1"/>
  <c r="X258" i="8" s="1"/>
  <c r="Y258" i="8" s="1"/>
  <c r="AA258" i="8" s="1"/>
  <c r="R258" i="8"/>
  <c r="N258" i="8" a="1"/>
  <c r="N258" i="8" s="1"/>
  <c r="O258" i="8" s="1"/>
  <c r="L258" i="8"/>
  <c r="H258" i="8"/>
  <c r="C258" i="8" a="1"/>
  <c r="C258" i="8" s="1"/>
  <c r="A258" i="8" a="1"/>
  <c r="A258" i="8" s="1"/>
  <c r="AT257" i="8" a="1"/>
  <c r="AT257" i="8" s="1"/>
  <c r="AS257" i="8"/>
  <c r="AP257" i="8"/>
  <c r="AM257" i="8"/>
  <c r="AJ257" i="8"/>
  <c r="AG257" i="8"/>
  <c r="AD257" i="8"/>
  <c r="X257" i="8" a="1"/>
  <c r="X257" i="8" s="1"/>
  <c r="Y257" i="8" s="1"/>
  <c r="AA257" i="8" s="1"/>
  <c r="R257" i="8"/>
  <c r="N257" i="8" a="1"/>
  <c r="N257" i="8" s="1"/>
  <c r="O257" i="8" s="1"/>
  <c r="L257" i="8"/>
  <c r="H257" i="8"/>
  <c r="C257" i="8" a="1"/>
  <c r="C257" i="8" s="1"/>
  <c r="A257" i="8" a="1"/>
  <c r="A257" i="8" s="1"/>
  <c r="AT256" i="8" a="1"/>
  <c r="AT256" i="8" s="1"/>
  <c r="AS256" i="8"/>
  <c r="AP256" i="8"/>
  <c r="AM256" i="8"/>
  <c r="AJ256" i="8"/>
  <c r="AG256" i="8"/>
  <c r="AD256" i="8"/>
  <c r="X256" i="8" a="1"/>
  <c r="X256" i="8" s="1"/>
  <c r="Y256" i="8" s="1"/>
  <c r="AA256" i="8" s="1"/>
  <c r="R256" i="8"/>
  <c r="N256" i="8" a="1"/>
  <c r="N256" i="8" s="1"/>
  <c r="O256" i="8" s="1"/>
  <c r="L256" i="8"/>
  <c r="H256" i="8"/>
  <c r="C256" i="8" a="1"/>
  <c r="C256" i="8" s="1"/>
  <c r="A256" i="8" a="1"/>
  <c r="A256" i="8" s="1"/>
  <c r="AT255" i="8" a="1"/>
  <c r="AT255" i="8" s="1"/>
  <c r="AS255" i="8"/>
  <c r="AP255" i="8"/>
  <c r="AM255" i="8"/>
  <c r="AJ255" i="8"/>
  <c r="AG255" i="8"/>
  <c r="AD255" i="8"/>
  <c r="X255" i="8" a="1"/>
  <c r="X255" i="8" s="1"/>
  <c r="Y255" i="8" s="1"/>
  <c r="AA255" i="8" s="1"/>
  <c r="R255" i="8"/>
  <c r="N255" i="8" a="1"/>
  <c r="N255" i="8" s="1"/>
  <c r="O255" i="8" s="1"/>
  <c r="L255" i="8"/>
  <c r="H255" i="8"/>
  <c r="C255" i="8" a="1"/>
  <c r="C255" i="8" s="1"/>
  <c r="A255" i="8" a="1"/>
  <c r="A255" i="8" s="1"/>
  <c r="AT254" i="8" a="1"/>
  <c r="AT254" i="8" s="1"/>
  <c r="AS254" i="8"/>
  <c r="AP254" i="8"/>
  <c r="AM254" i="8"/>
  <c r="AJ254" i="8"/>
  <c r="AG254" i="8"/>
  <c r="AD254" i="8"/>
  <c r="X254" i="8" a="1"/>
  <c r="X254" i="8" s="1"/>
  <c r="Y254" i="8" s="1"/>
  <c r="AA254" i="8" s="1"/>
  <c r="R254" i="8"/>
  <c r="N254" i="8" a="1"/>
  <c r="N254" i="8" s="1"/>
  <c r="O254" i="8" s="1"/>
  <c r="L254" i="8"/>
  <c r="H254" i="8"/>
  <c r="C254" i="8" a="1"/>
  <c r="C254" i="8" s="1"/>
  <c r="A254" i="8" a="1"/>
  <c r="A254" i="8" s="1"/>
  <c r="AT253" i="8" a="1"/>
  <c r="AT253" i="8" s="1"/>
  <c r="AS253" i="8"/>
  <c r="AP253" i="8"/>
  <c r="AM253" i="8"/>
  <c r="AJ253" i="8"/>
  <c r="AG253" i="8"/>
  <c r="AD253" i="8"/>
  <c r="X253" i="8" a="1"/>
  <c r="X253" i="8" s="1"/>
  <c r="Y253" i="8" s="1"/>
  <c r="AA253" i="8" s="1"/>
  <c r="R253" i="8"/>
  <c r="N253" i="8" a="1"/>
  <c r="N253" i="8" s="1"/>
  <c r="O253" i="8" s="1"/>
  <c r="L253" i="8"/>
  <c r="H253" i="8"/>
  <c r="C253" i="8" a="1"/>
  <c r="C253" i="8" s="1"/>
  <c r="A253" i="8" a="1"/>
  <c r="A253" i="8" s="1"/>
  <c r="AT252" i="8" a="1"/>
  <c r="AT252" i="8" s="1"/>
  <c r="AS252" i="8"/>
  <c r="AP252" i="8"/>
  <c r="AM252" i="8"/>
  <c r="AJ252" i="8"/>
  <c r="AG252" i="8"/>
  <c r="AD252" i="8"/>
  <c r="X252" i="8" a="1"/>
  <c r="X252" i="8" s="1"/>
  <c r="Y252" i="8" s="1"/>
  <c r="AA252" i="8" s="1"/>
  <c r="R252" i="8"/>
  <c r="N252" i="8" a="1"/>
  <c r="N252" i="8" s="1"/>
  <c r="O252" i="8" s="1"/>
  <c r="L252" i="8"/>
  <c r="H252" i="8"/>
  <c r="C252" i="8" a="1"/>
  <c r="C252" i="8" s="1"/>
  <c r="A252" i="8" a="1"/>
  <c r="A252" i="8" s="1"/>
  <c r="AT251" i="8" a="1"/>
  <c r="AT251" i="8" s="1"/>
  <c r="AS251" i="8"/>
  <c r="AP251" i="8"/>
  <c r="AM251" i="8"/>
  <c r="AJ251" i="8"/>
  <c r="AG251" i="8"/>
  <c r="AD251" i="8"/>
  <c r="X251" i="8" a="1"/>
  <c r="X251" i="8" s="1"/>
  <c r="Y251" i="8" s="1"/>
  <c r="AA251" i="8" s="1"/>
  <c r="R251" i="8"/>
  <c r="N251" i="8" a="1"/>
  <c r="N251" i="8" s="1"/>
  <c r="O251" i="8" s="1"/>
  <c r="L251" i="8"/>
  <c r="H251" i="8"/>
  <c r="C251" i="8" a="1"/>
  <c r="C251" i="8" s="1"/>
  <c r="A251" i="8" a="1"/>
  <c r="A251" i="8" s="1"/>
  <c r="AT250" i="8" a="1"/>
  <c r="AT250" i="8" s="1"/>
  <c r="AS250" i="8"/>
  <c r="AP250" i="8"/>
  <c r="AM250" i="8"/>
  <c r="AJ250" i="8"/>
  <c r="AG250" i="8"/>
  <c r="AD250" i="8"/>
  <c r="X250" i="8" a="1"/>
  <c r="X250" i="8" s="1"/>
  <c r="Y250" i="8" s="1"/>
  <c r="AA250" i="8" s="1"/>
  <c r="R250" i="8"/>
  <c r="N250" i="8" a="1"/>
  <c r="N250" i="8" s="1"/>
  <c r="O250" i="8" s="1"/>
  <c r="L250" i="8"/>
  <c r="H250" i="8"/>
  <c r="C250" i="8" a="1"/>
  <c r="C250" i="8" s="1"/>
  <c r="A250" i="8" a="1"/>
  <c r="A250" i="8" s="1"/>
  <c r="AT249" i="8" a="1"/>
  <c r="AT249" i="8" s="1"/>
  <c r="AS249" i="8"/>
  <c r="AP249" i="8"/>
  <c r="AM249" i="8"/>
  <c r="AJ249" i="8"/>
  <c r="AG249" i="8"/>
  <c r="AD249" i="8"/>
  <c r="X249" i="8" a="1"/>
  <c r="X249" i="8" s="1"/>
  <c r="Y249" i="8" s="1"/>
  <c r="AA249" i="8" s="1"/>
  <c r="R249" i="8"/>
  <c r="N249" i="8" a="1"/>
  <c r="N249" i="8" s="1"/>
  <c r="O249" i="8" s="1"/>
  <c r="L249" i="8"/>
  <c r="H249" i="8"/>
  <c r="C249" i="8" a="1"/>
  <c r="C249" i="8" s="1"/>
  <c r="A249" i="8" a="1"/>
  <c r="A249" i="8" s="1"/>
  <c r="AT248" i="8" a="1"/>
  <c r="AT248" i="8" s="1"/>
  <c r="AS248" i="8"/>
  <c r="AP248" i="8"/>
  <c r="AM248" i="8"/>
  <c r="AJ248" i="8"/>
  <c r="AG248" i="8"/>
  <c r="AD248" i="8"/>
  <c r="X248" i="8" a="1"/>
  <c r="X248" i="8" s="1"/>
  <c r="Y248" i="8" s="1"/>
  <c r="AA248" i="8" s="1"/>
  <c r="R248" i="8"/>
  <c r="N248" i="8" a="1"/>
  <c r="N248" i="8" s="1"/>
  <c r="O248" i="8" s="1"/>
  <c r="L248" i="8"/>
  <c r="H248" i="8"/>
  <c r="C248" i="8" a="1"/>
  <c r="C248" i="8" s="1"/>
  <c r="A248" i="8" a="1"/>
  <c r="A248" i="8" s="1"/>
  <c r="AT247" i="8" a="1"/>
  <c r="AT247" i="8" s="1"/>
  <c r="AS247" i="8"/>
  <c r="AP247" i="8"/>
  <c r="AM247" i="8"/>
  <c r="AJ247" i="8"/>
  <c r="AG247" i="8"/>
  <c r="AD247" i="8"/>
  <c r="X247" i="8" a="1"/>
  <c r="X247" i="8" s="1"/>
  <c r="Y247" i="8" s="1"/>
  <c r="AA247" i="8" s="1"/>
  <c r="R247" i="8"/>
  <c r="N247" i="8" a="1"/>
  <c r="N247" i="8" s="1"/>
  <c r="O247" i="8" s="1"/>
  <c r="L247" i="8"/>
  <c r="H247" i="8"/>
  <c r="C247" i="8" a="1"/>
  <c r="C247" i="8" s="1"/>
  <c r="A247" i="8" a="1"/>
  <c r="A247" i="8" s="1"/>
  <c r="AT246" i="8" a="1"/>
  <c r="AT246" i="8" s="1"/>
  <c r="AS246" i="8"/>
  <c r="AP246" i="8"/>
  <c r="AM246" i="8"/>
  <c r="AJ246" i="8"/>
  <c r="AG246" i="8"/>
  <c r="AD246" i="8"/>
  <c r="X246" i="8" a="1"/>
  <c r="X246" i="8" s="1"/>
  <c r="Y246" i="8" s="1"/>
  <c r="AA246" i="8" s="1"/>
  <c r="R246" i="8"/>
  <c r="N246" i="8" a="1"/>
  <c r="N246" i="8" s="1"/>
  <c r="O246" i="8" s="1"/>
  <c r="L246" i="8"/>
  <c r="H246" i="8"/>
  <c r="C246" i="8" a="1"/>
  <c r="C246" i="8" s="1"/>
  <c r="A246" i="8" a="1"/>
  <c r="A246" i="8" s="1"/>
  <c r="AT245" i="8" a="1"/>
  <c r="AT245" i="8" s="1"/>
  <c r="AS245" i="8"/>
  <c r="AP245" i="8"/>
  <c r="AM245" i="8"/>
  <c r="AJ245" i="8"/>
  <c r="AG245" i="8"/>
  <c r="AD245" i="8"/>
  <c r="X245" i="8" a="1"/>
  <c r="X245" i="8" s="1"/>
  <c r="Y245" i="8" s="1"/>
  <c r="AA245" i="8" s="1"/>
  <c r="R245" i="8"/>
  <c r="N245" i="8" a="1"/>
  <c r="N245" i="8" s="1"/>
  <c r="O245" i="8" s="1"/>
  <c r="L245" i="8"/>
  <c r="H245" i="8"/>
  <c r="C245" i="8" a="1"/>
  <c r="C245" i="8" s="1"/>
  <c r="A245" i="8" a="1"/>
  <c r="A245" i="8" s="1"/>
  <c r="AT244" i="8" a="1"/>
  <c r="AT244" i="8" s="1"/>
  <c r="AS244" i="8"/>
  <c r="AP244" i="8"/>
  <c r="AM244" i="8"/>
  <c r="AJ244" i="8"/>
  <c r="AG244" i="8"/>
  <c r="AD244" i="8"/>
  <c r="X244" i="8" a="1"/>
  <c r="X244" i="8" s="1"/>
  <c r="Y244" i="8" s="1"/>
  <c r="V244" i="8"/>
  <c r="R244" i="8"/>
  <c r="N244" i="8" a="1"/>
  <c r="N244" i="8" s="1"/>
  <c r="O244" i="8" s="1"/>
  <c r="L244" i="8"/>
  <c r="H244" i="8"/>
  <c r="C244" i="8" a="1"/>
  <c r="C244" i="8" s="1"/>
  <c r="A244" i="8" a="1"/>
  <c r="A244" i="8" s="1"/>
  <c r="AT243" i="8" a="1"/>
  <c r="AT243" i="8" s="1"/>
  <c r="AS243" i="8"/>
  <c r="AP243" i="8"/>
  <c r="AM243" i="8"/>
  <c r="AJ243" i="8"/>
  <c r="AG243" i="8"/>
  <c r="AD243" i="8"/>
  <c r="X243" i="8" a="1"/>
  <c r="X243" i="8" s="1"/>
  <c r="Y243" i="8" s="1"/>
  <c r="R243" i="8"/>
  <c r="N243" i="8" a="1"/>
  <c r="N243" i="8" s="1"/>
  <c r="O243" i="8" s="1"/>
  <c r="L243" i="8"/>
  <c r="H243" i="8"/>
  <c r="C243" i="8" a="1"/>
  <c r="C243" i="8" s="1"/>
  <c r="A243" i="8" a="1"/>
  <c r="A243" i="8" s="1"/>
  <c r="AT242" i="8" a="1"/>
  <c r="AT242" i="8" s="1"/>
  <c r="AS242" i="8"/>
  <c r="AP242" i="8"/>
  <c r="AM242" i="8"/>
  <c r="AJ242" i="8"/>
  <c r="AG242" i="8"/>
  <c r="AD242" i="8"/>
  <c r="X242" i="8" a="1"/>
  <c r="X242" i="8" s="1"/>
  <c r="Y242" i="8" s="1"/>
  <c r="V242" i="8"/>
  <c r="R242" i="8"/>
  <c r="N242" i="8" a="1"/>
  <c r="N242" i="8" s="1"/>
  <c r="O242" i="8" s="1"/>
  <c r="L242" i="8"/>
  <c r="H242" i="8"/>
  <c r="C242" i="8" a="1"/>
  <c r="C242" i="8" s="1"/>
  <c r="A242" i="8" a="1"/>
  <c r="A242" i="8" s="1"/>
  <c r="AT241" i="8" a="1"/>
  <c r="AT241" i="8" s="1"/>
  <c r="AS241" i="8"/>
  <c r="AP241" i="8"/>
  <c r="AM241" i="8"/>
  <c r="AJ241" i="8"/>
  <c r="AG241" i="8"/>
  <c r="AD241" i="8"/>
  <c r="X241" i="8" a="1"/>
  <c r="X241" i="8" s="1"/>
  <c r="Y241" i="8" s="1"/>
  <c r="V241" i="8"/>
  <c r="R241" i="8"/>
  <c r="N241" i="8" a="1"/>
  <c r="N241" i="8" s="1"/>
  <c r="O241" i="8" s="1"/>
  <c r="L241" i="8"/>
  <c r="H241" i="8"/>
  <c r="C241" i="8" a="1"/>
  <c r="C241" i="8" s="1"/>
  <c r="A241" i="8" a="1"/>
  <c r="A241" i="8" s="1"/>
  <c r="AT240" i="8" a="1"/>
  <c r="AT240" i="8" s="1"/>
  <c r="AS240" i="8"/>
  <c r="AP240" i="8"/>
  <c r="AM240" i="8"/>
  <c r="AJ240" i="8"/>
  <c r="AG240" i="8"/>
  <c r="AD240" i="8"/>
  <c r="X240" i="8" a="1"/>
  <c r="X240" i="8" s="1"/>
  <c r="Y240" i="8" s="1"/>
  <c r="V240" i="8"/>
  <c r="R240" i="8"/>
  <c r="N240" i="8" a="1"/>
  <c r="N240" i="8" s="1"/>
  <c r="O240" i="8" s="1"/>
  <c r="L240" i="8"/>
  <c r="H240" i="8"/>
  <c r="C240" i="8" a="1"/>
  <c r="C240" i="8" s="1"/>
  <c r="A240" i="8" a="1"/>
  <c r="A240" i="8" s="1"/>
  <c r="AT239" i="8" a="1"/>
  <c r="AT239" i="8" s="1"/>
  <c r="AS239" i="8"/>
  <c r="AP239" i="8"/>
  <c r="AM239" i="8"/>
  <c r="AJ239" i="8"/>
  <c r="AG239" i="8"/>
  <c r="AD239" i="8"/>
  <c r="X239" i="8" a="1"/>
  <c r="X239" i="8" s="1"/>
  <c r="Y239" i="8" s="1"/>
  <c r="V239" i="8"/>
  <c r="R239" i="8"/>
  <c r="N239" i="8" a="1"/>
  <c r="N239" i="8" s="1"/>
  <c r="O239" i="8" s="1"/>
  <c r="L239" i="8"/>
  <c r="H239" i="8"/>
  <c r="C239" i="8" a="1"/>
  <c r="C239" i="8" s="1"/>
  <c r="A239" i="8" a="1"/>
  <c r="A239" i="8" s="1"/>
  <c r="AT238" i="8" a="1"/>
  <c r="AT238" i="8" s="1"/>
  <c r="AS238" i="8"/>
  <c r="AP238" i="8"/>
  <c r="AM238" i="8"/>
  <c r="AJ238" i="8"/>
  <c r="AG238" i="8"/>
  <c r="AD238" i="8"/>
  <c r="X238" i="8" a="1"/>
  <c r="X238" i="8" s="1"/>
  <c r="Y238" i="8" s="1"/>
  <c r="V238" i="8"/>
  <c r="R238" i="8"/>
  <c r="N238" i="8" a="1"/>
  <c r="N238" i="8" s="1"/>
  <c r="O238" i="8" s="1"/>
  <c r="L238" i="8"/>
  <c r="H238" i="8"/>
  <c r="C238" i="8" a="1"/>
  <c r="C238" i="8" s="1"/>
  <c r="A238" i="8" a="1"/>
  <c r="A238" i="8" s="1"/>
  <c r="AT237" i="8" a="1"/>
  <c r="AT237" i="8" s="1"/>
  <c r="AS237" i="8"/>
  <c r="AP237" i="8"/>
  <c r="AM237" i="8"/>
  <c r="AJ237" i="8"/>
  <c r="AG237" i="8"/>
  <c r="AD237" i="8"/>
  <c r="X237" i="8" a="1"/>
  <c r="X237" i="8" s="1"/>
  <c r="Y237" i="8" s="1"/>
  <c r="V237" i="8"/>
  <c r="R237" i="8"/>
  <c r="N237" i="8" a="1"/>
  <c r="N237" i="8" s="1"/>
  <c r="O237" i="8" s="1"/>
  <c r="L237" i="8"/>
  <c r="H237" i="8"/>
  <c r="C237" i="8" a="1"/>
  <c r="C237" i="8" s="1"/>
  <c r="A237" i="8" a="1"/>
  <c r="A237" i="8" s="1"/>
  <c r="AT236" i="8" a="1"/>
  <c r="AT236" i="8" s="1"/>
  <c r="AS236" i="8"/>
  <c r="AP236" i="8"/>
  <c r="AM236" i="8"/>
  <c r="AJ236" i="8"/>
  <c r="AG236" i="8"/>
  <c r="AD236" i="8"/>
  <c r="X236" i="8" a="1"/>
  <c r="X236" i="8" s="1"/>
  <c r="Y236" i="8" s="1"/>
  <c r="V236" i="8"/>
  <c r="R236" i="8"/>
  <c r="N236" i="8" a="1"/>
  <c r="N236" i="8" s="1"/>
  <c r="O236" i="8" s="1"/>
  <c r="L236" i="8"/>
  <c r="H236" i="8"/>
  <c r="C236" i="8" a="1"/>
  <c r="C236" i="8" s="1"/>
  <c r="A236" i="8" a="1"/>
  <c r="A236" i="8" s="1"/>
  <c r="AT235" i="8" a="1"/>
  <c r="AT235" i="8" s="1"/>
  <c r="AS235" i="8"/>
  <c r="AP235" i="8"/>
  <c r="AM235" i="8"/>
  <c r="AJ235" i="8"/>
  <c r="AG235" i="8"/>
  <c r="AD235" i="8"/>
  <c r="X235" i="8" a="1"/>
  <c r="X235" i="8" s="1"/>
  <c r="Y235" i="8" s="1"/>
  <c r="V235" i="8"/>
  <c r="R235" i="8"/>
  <c r="N235" i="8" a="1"/>
  <c r="N235" i="8" s="1"/>
  <c r="O235" i="8" s="1"/>
  <c r="L235" i="8"/>
  <c r="H235" i="8"/>
  <c r="C235" i="8" a="1"/>
  <c r="C235" i="8" s="1"/>
  <c r="A235" i="8" a="1"/>
  <c r="A235" i="8" s="1"/>
  <c r="AT234" i="8" a="1"/>
  <c r="AT234" i="8" s="1"/>
  <c r="AS234" i="8"/>
  <c r="AP234" i="8"/>
  <c r="AM234" i="8"/>
  <c r="AJ234" i="8"/>
  <c r="AG234" i="8"/>
  <c r="AD234" i="8"/>
  <c r="X234" i="8" a="1"/>
  <c r="X234" i="8" s="1"/>
  <c r="Y234" i="8" s="1"/>
  <c r="V234" i="8"/>
  <c r="R234" i="8"/>
  <c r="N234" i="8" a="1"/>
  <c r="N234" i="8" s="1"/>
  <c r="O234" i="8" s="1"/>
  <c r="L234" i="8"/>
  <c r="H234" i="8"/>
  <c r="C234" i="8" a="1"/>
  <c r="C234" i="8" s="1"/>
  <c r="A234" i="8" a="1"/>
  <c r="A234" i="8" s="1"/>
  <c r="AT233" i="8" a="1"/>
  <c r="AT233" i="8" s="1"/>
  <c r="AS233" i="8"/>
  <c r="AP233" i="8"/>
  <c r="AM233" i="8"/>
  <c r="AJ233" i="8"/>
  <c r="AG233" i="8"/>
  <c r="AD233" i="8"/>
  <c r="X233" i="8" a="1"/>
  <c r="X233" i="8" s="1"/>
  <c r="Y233" i="8" s="1"/>
  <c r="V233" i="8"/>
  <c r="R233" i="8"/>
  <c r="N233" i="8" a="1"/>
  <c r="N233" i="8" s="1"/>
  <c r="O233" i="8" s="1"/>
  <c r="L233" i="8"/>
  <c r="H233" i="8"/>
  <c r="C233" i="8" a="1"/>
  <c r="C233" i="8" s="1"/>
  <c r="A233" i="8" a="1"/>
  <c r="A233" i="8" s="1"/>
  <c r="AT232" i="8" a="1"/>
  <c r="AT232" i="8" s="1"/>
  <c r="AS232" i="8"/>
  <c r="AP232" i="8"/>
  <c r="AM232" i="8"/>
  <c r="AJ232" i="8"/>
  <c r="AG232" i="8"/>
  <c r="AD232" i="8"/>
  <c r="X232" i="8" a="1"/>
  <c r="X232" i="8" s="1"/>
  <c r="Y232" i="8" s="1"/>
  <c r="AA232" i="8" s="1"/>
  <c r="R232" i="8"/>
  <c r="N232" i="8" a="1"/>
  <c r="N232" i="8" s="1"/>
  <c r="O232" i="8" s="1"/>
  <c r="K232" i="8"/>
  <c r="L232" i="8" s="1"/>
  <c r="H232" i="8"/>
  <c r="C232" i="8" a="1"/>
  <c r="C232" i="8" s="1"/>
  <c r="A232" i="8" a="1"/>
  <c r="A232" i="8" s="1"/>
  <c r="AT231" i="8" a="1"/>
  <c r="AT231" i="8" s="1"/>
  <c r="AS231" i="8"/>
  <c r="AP231" i="8"/>
  <c r="AM231" i="8"/>
  <c r="AJ231" i="8"/>
  <c r="AG231" i="8"/>
  <c r="AD231" i="8"/>
  <c r="X231" i="8" a="1"/>
  <c r="X231" i="8" s="1"/>
  <c r="Y231" i="8" s="1"/>
  <c r="AA231" i="8" s="1"/>
  <c r="R231" i="8"/>
  <c r="N231" i="8" a="1"/>
  <c r="N231" i="8" s="1"/>
  <c r="O231" i="8" s="1"/>
  <c r="L231" i="8"/>
  <c r="H231" i="8"/>
  <c r="C231" i="8" a="1"/>
  <c r="C231" i="8" s="1"/>
  <c r="A231" i="8" a="1"/>
  <c r="A231" i="8" s="1"/>
  <c r="AT230" i="8" a="1"/>
  <c r="AT230" i="8" s="1"/>
  <c r="AS230" i="8"/>
  <c r="AP230" i="8"/>
  <c r="AM230" i="8"/>
  <c r="AJ230" i="8"/>
  <c r="AG230" i="8"/>
  <c r="AD230" i="8"/>
  <c r="X230" i="8" a="1"/>
  <c r="X230" i="8" s="1"/>
  <c r="Y230" i="8" s="1"/>
  <c r="AA230" i="8" s="1"/>
  <c r="R230" i="8"/>
  <c r="N230" i="8" a="1"/>
  <c r="N230" i="8" s="1"/>
  <c r="O230" i="8" s="1"/>
  <c r="L230" i="8"/>
  <c r="H230" i="8"/>
  <c r="C230" i="8" a="1"/>
  <c r="C230" i="8" s="1"/>
  <c r="A230" i="8" a="1"/>
  <c r="A230" i="8" s="1"/>
  <c r="AT229" i="8" a="1"/>
  <c r="AT229" i="8" s="1"/>
  <c r="AS229" i="8"/>
  <c r="AP229" i="8"/>
  <c r="AM229" i="8"/>
  <c r="AJ229" i="8"/>
  <c r="AG229" i="8"/>
  <c r="AD229" i="8"/>
  <c r="X229" i="8" a="1"/>
  <c r="X229" i="8" s="1"/>
  <c r="Y229" i="8" s="1"/>
  <c r="AA229" i="8" s="1"/>
  <c r="R229" i="8"/>
  <c r="N229" i="8" a="1"/>
  <c r="N229" i="8" s="1"/>
  <c r="O229" i="8" s="1"/>
  <c r="L229" i="8"/>
  <c r="H229" i="8"/>
  <c r="C229" i="8" a="1"/>
  <c r="C229" i="8" s="1"/>
  <c r="A229" i="8" a="1"/>
  <c r="A229" i="8" s="1"/>
  <c r="AT228" i="8" a="1"/>
  <c r="AT228" i="8" s="1"/>
  <c r="AS228" i="8"/>
  <c r="AP228" i="8"/>
  <c r="AM228" i="8"/>
  <c r="AJ228" i="8"/>
  <c r="AG228" i="8"/>
  <c r="AD228" i="8"/>
  <c r="X228" i="8" a="1"/>
  <c r="X228" i="8" s="1"/>
  <c r="Y228" i="8" s="1"/>
  <c r="AA228" i="8" s="1"/>
  <c r="R228" i="8"/>
  <c r="N228" i="8" a="1"/>
  <c r="N228" i="8" s="1"/>
  <c r="O228" i="8" s="1"/>
  <c r="L228" i="8"/>
  <c r="H228" i="8"/>
  <c r="C228" i="8" a="1"/>
  <c r="C228" i="8" s="1"/>
  <c r="A228" i="8" a="1"/>
  <c r="A228" i="8" s="1"/>
  <c r="AT227" i="8" a="1"/>
  <c r="AT227" i="8" s="1"/>
  <c r="AS227" i="8"/>
  <c r="AP227" i="8"/>
  <c r="AM227" i="8"/>
  <c r="AJ227" i="8"/>
  <c r="AG227" i="8"/>
  <c r="AD227" i="8"/>
  <c r="X227" i="8" a="1"/>
  <c r="X227" i="8" s="1"/>
  <c r="Y227" i="8" s="1"/>
  <c r="AA227" i="8" s="1"/>
  <c r="R227" i="8"/>
  <c r="N227" i="8" a="1"/>
  <c r="N227" i="8" s="1"/>
  <c r="O227" i="8" s="1"/>
  <c r="L227" i="8"/>
  <c r="H227" i="8"/>
  <c r="C227" i="8" a="1"/>
  <c r="C227" i="8" s="1"/>
  <c r="A227" i="8" a="1"/>
  <c r="A227" i="8" s="1"/>
  <c r="AT226" i="8" a="1"/>
  <c r="AT226" i="8" s="1"/>
  <c r="AS226" i="8"/>
  <c r="AP226" i="8"/>
  <c r="AM226" i="8"/>
  <c r="AJ226" i="8"/>
  <c r="AG226" i="8"/>
  <c r="AD226" i="8"/>
  <c r="X226" i="8" a="1"/>
  <c r="X226" i="8" s="1"/>
  <c r="Y226" i="8" s="1"/>
  <c r="AA226" i="8" s="1"/>
  <c r="R226" i="8"/>
  <c r="N226" i="8" a="1"/>
  <c r="N226" i="8" s="1"/>
  <c r="O226" i="8" s="1"/>
  <c r="L226" i="8"/>
  <c r="H226" i="8"/>
  <c r="C226" i="8" a="1"/>
  <c r="C226" i="8" s="1"/>
  <c r="A226" i="8" a="1"/>
  <c r="A226" i="8" s="1"/>
  <c r="AT225" i="8" a="1"/>
  <c r="AT225" i="8" s="1"/>
  <c r="AS225" i="8"/>
  <c r="AP225" i="8"/>
  <c r="AM225" i="8"/>
  <c r="AJ225" i="8"/>
  <c r="AG225" i="8"/>
  <c r="AD225" i="8"/>
  <c r="X225" i="8" a="1"/>
  <c r="X225" i="8" s="1"/>
  <c r="Y225" i="8" s="1"/>
  <c r="AA225" i="8" s="1"/>
  <c r="R225" i="8"/>
  <c r="N225" i="8" a="1"/>
  <c r="N225" i="8" s="1"/>
  <c r="O225" i="8" s="1"/>
  <c r="L225" i="8"/>
  <c r="H225" i="8"/>
  <c r="C225" i="8" a="1"/>
  <c r="C225" i="8" s="1"/>
  <c r="A225" i="8" a="1"/>
  <c r="A225" i="8" s="1"/>
  <c r="AT224" i="8" a="1"/>
  <c r="AT224" i="8" s="1"/>
  <c r="AS224" i="8"/>
  <c r="AP224" i="8"/>
  <c r="AM224" i="8"/>
  <c r="AJ224" i="8"/>
  <c r="AG224" i="8"/>
  <c r="AD224" i="8"/>
  <c r="X224" i="8" a="1"/>
  <c r="X224" i="8" s="1"/>
  <c r="Y224" i="8" s="1"/>
  <c r="AA224" i="8" s="1"/>
  <c r="R224" i="8"/>
  <c r="N224" i="8" a="1"/>
  <c r="N224" i="8" s="1"/>
  <c r="O224" i="8" s="1"/>
  <c r="L224" i="8"/>
  <c r="H224" i="8"/>
  <c r="C224" i="8" a="1"/>
  <c r="C224" i="8" s="1"/>
  <c r="A224" i="8" a="1"/>
  <c r="A224" i="8" s="1"/>
  <c r="AT223" i="8" a="1"/>
  <c r="AT223" i="8" s="1"/>
  <c r="AS223" i="8"/>
  <c r="AP223" i="8"/>
  <c r="AM223" i="8"/>
  <c r="AJ223" i="8"/>
  <c r="AG223" i="8"/>
  <c r="AD223" i="8"/>
  <c r="X223" i="8" a="1"/>
  <c r="X223" i="8" s="1"/>
  <c r="Y223" i="8" s="1"/>
  <c r="AA223" i="8" s="1"/>
  <c r="R223" i="8"/>
  <c r="N223" i="8" a="1"/>
  <c r="N223" i="8" s="1"/>
  <c r="O223" i="8" s="1"/>
  <c r="L223" i="8"/>
  <c r="H223" i="8"/>
  <c r="C223" i="8" a="1"/>
  <c r="C223" i="8" s="1"/>
  <c r="A223" i="8" a="1"/>
  <c r="A223" i="8" s="1"/>
  <c r="AT222" i="8" a="1"/>
  <c r="AT222" i="8" s="1"/>
  <c r="AS222" i="8"/>
  <c r="AP222" i="8"/>
  <c r="AM222" i="8"/>
  <c r="AJ222" i="8"/>
  <c r="AG222" i="8"/>
  <c r="AD222" i="8"/>
  <c r="X222" i="8" a="1"/>
  <c r="X222" i="8" s="1"/>
  <c r="Y222" i="8" s="1"/>
  <c r="AA222" i="8" s="1"/>
  <c r="R222" i="8"/>
  <c r="N222" i="8" a="1"/>
  <c r="N222" i="8" s="1"/>
  <c r="O222" i="8" s="1"/>
  <c r="L222" i="8"/>
  <c r="H222" i="8"/>
  <c r="C222" i="8" a="1"/>
  <c r="C222" i="8" s="1"/>
  <c r="A222" i="8" a="1"/>
  <c r="A222" i="8" s="1"/>
  <c r="AT221" i="8" a="1"/>
  <c r="AT221" i="8" s="1"/>
  <c r="AS221" i="8"/>
  <c r="AP221" i="8"/>
  <c r="AM221" i="8"/>
  <c r="AJ221" i="8"/>
  <c r="AG221" i="8"/>
  <c r="AD221" i="8"/>
  <c r="X221" i="8" a="1"/>
  <c r="X221" i="8" s="1"/>
  <c r="Y221" i="8" s="1"/>
  <c r="AA221" i="8" s="1"/>
  <c r="R221" i="8"/>
  <c r="N221" i="8" a="1"/>
  <c r="N221" i="8" s="1"/>
  <c r="O221" i="8" s="1"/>
  <c r="L221" i="8"/>
  <c r="H221" i="8"/>
  <c r="C221" i="8" a="1"/>
  <c r="C221" i="8" s="1"/>
  <c r="A221" i="8" a="1"/>
  <c r="A221" i="8" s="1"/>
  <c r="AT220" i="8" a="1"/>
  <c r="AT220" i="8" s="1"/>
  <c r="AS220" i="8"/>
  <c r="AP220" i="8"/>
  <c r="AM220" i="8"/>
  <c r="AJ220" i="8"/>
  <c r="AG220" i="8"/>
  <c r="AD220" i="8"/>
  <c r="X220" i="8" a="1"/>
  <c r="X220" i="8" s="1"/>
  <c r="Y220" i="8" s="1"/>
  <c r="AA220" i="8" s="1"/>
  <c r="R220" i="8"/>
  <c r="N220" i="8" a="1"/>
  <c r="N220" i="8" s="1"/>
  <c r="O220" i="8" s="1"/>
  <c r="L220" i="8"/>
  <c r="H220" i="8"/>
  <c r="C220" i="8" a="1"/>
  <c r="C220" i="8" s="1"/>
  <c r="A220" i="8" a="1"/>
  <c r="A220" i="8" s="1"/>
  <c r="AT219" i="8" a="1"/>
  <c r="AT219" i="8" s="1"/>
  <c r="AS219" i="8"/>
  <c r="AP219" i="8"/>
  <c r="AM219" i="8"/>
  <c r="AJ219" i="8"/>
  <c r="AG219" i="8"/>
  <c r="AD219" i="8"/>
  <c r="X219" i="8" a="1"/>
  <c r="X219" i="8" s="1"/>
  <c r="Y219" i="8" s="1"/>
  <c r="AA219" i="8" s="1"/>
  <c r="R219" i="8"/>
  <c r="N219" i="8" a="1"/>
  <c r="N219" i="8" s="1"/>
  <c r="O219" i="8" s="1"/>
  <c r="L219" i="8"/>
  <c r="H219" i="8"/>
  <c r="C219" i="8" a="1"/>
  <c r="C219" i="8" s="1"/>
  <c r="A219" i="8" a="1"/>
  <c r="A219" i="8" s="1"/>
  <c r="AT218" i="8" a="1"/>
  <c r="AT218" i="8" s="1"/>
  <c r="AS218" i="8"/>
  <c r="AP218" i="8"/>
  <c r="AM218" i="8"/>
  <c r="AJ218" i="8"/>
  <c r="AG218" i="8"/>
  <c r="AD218" i="8"/>
  <c r="X218" i="8" a="1"/>
  <c r="X218" i="8" s="1"/>
  <c r="Y218" i="8" s="1"/>
  <c r="AA218" i="8" s="1"/>
  <c r="R218" i="8"/>
  <c r="N218" i="8" a="1"/>
  <c r="N218" i="8" s="1"/>
  <c r="O218" i="8" s="1"/>
  <c r="L218" i="8"/>
  <c r="H218" i="8"/>
  <c r="C218" i="8" a="1"/>
  <c r="C218" i="8" s="1"/>
  <c r="A218" i="8" a="1"/>
  <c r="A218" i="8" s="1"/>
  <c r="AT217" i="8" a="1"/>
  <c r="AT217" i="8" s="1"/>
  <c r="AS217" i="8"/>
  <c r="AP217" i="8"/>
  <c r="AM217" i="8"/>
  <c r="AJ217" i="8"/>
  <c r="AG217" i="8"/>
  <c r="AD217" i="8"/>
  <c r="X217" i="8" a="1"/>
  <c r="X217" i="8" s="1"/>
  <c r="Y217" i="8" s="1"/>
  <c r="AA217" i="8" s="1"/>
  <c r="R217" i="8"/>
  <c r="N217" i="8" a="1"/>
  <c r="N217" i="8" s="1"/>
  <c r="O217" i="8" s="1"/>
  <c r="L217" i="8"/>
  <c r="H217" i="8"/>
  <c r="C217" i="8" a="1"/>
  <c r="C217" i="8" s="1"/>
  <c r="A217" i="8" a="1"/>
  <c r="A217" i="8" s="1"/>
  <c r="AT216" i="8" a="1"/>
  <c r="AT216" i="8" s="1"/>
  <c r="AS216" i="8"/>
  <c r="AP216" i="8"/>
  <c r="AM216" i="8"/>
  <c r="AJ216" i="8"/>
  <c r="AG216" i="8"/>
  <c r="AD216" i="8"/>
  <c r="X216" i="8" a="1"/>
  <c r="X216" i="8" s="1"/>
  <c r="Y216" i="8" s="1"/>
  <c r="AA216" i="8" s="1"/>
  <c r="R216" i="8"/>
  <c r="N216" i="8" a="1"/>
  <c r="N216" i="8" s="1"/>
  <c r="O216" i="8" s="1"/>
  <c r="L216" i="8"/>
  <c r="H216" i="8"/>
  <c r="C216" i="8" a="1"/>
  <c r="C216" i="8" s="1"/>
  <c r="A216" i="8" a="1"/>
  <c r="A216" i="8" s="1"/>
  <c r="AT215" i="8" a="1"/>
  <c r="AT215" i="8" s="1"/>
  <c r="AS215" i="8"/>
  <c r="AP215" i="8"/>
  <c r="AM215" i="8"/>
  <c r="AJ215" i="8"/>
  <c r="AG215" i="8"/>
  <c r="AD215" i="8"/>
  <c r="X215" i="8" a="1"/>
  <c r="X215" i="8" s="1"/>
  <c r="Y215" i="8" s="1"/>
  <c r="AA215" i="8" s="1"/>
  <c r="R215" i="8"/>
  <c r="N215" i="8" a="1"/>
  <c r="N215" i="8" s="1"/>
  <c r="O215" i="8" s="1"/>
  <c r="L215" i="8"/>
  <c r="H215" i="8"/>
  <c r="C215" i="8" a="1"/>
  <c r="C215" i="8" s="1"/>
  <c r="A215" i="8" a="1"/>
  <c r="A215" i="8" s="1"/>
  <c r="AT214" i="8" a="1"/>
  <c r="AT214" i="8" s="1"/>
  <c r="AS214" i="8"/>
  <c r="AP214" i="8"/>
  <c r="AM214" i="8"/>
  <c r="AJ214" i="8"/>
  <c r="AG214" i="8"/>
  <c r="AD214" i="8"/>
  <c r="X214" i="8" a="1"/>
  <c r="X214" i="8" s="1"/>
  <c r="Y214" i="8" s="1"/>
  <c r="V214" i="8"/>
  <c r="R214" i="8"/>
  <c r="N214" i="8" a="1"/>
  <c r="N214" i="8" s="1"/>
  <c r="O214" i="8" s="1"/>
  <c r="L214" i="8"/>
  <c r="H214" i="8"/>
  <c r="C214" i="8" a="1"/>
  <c r="C214" i="8" s="1"/>
  <c r="A214" i="8" a="1"/>
  <c r="A214" i="8" s="1"/>
  <c r="AT213" i="8" a="1"/>
  <c r="AT213" i="8" s="1"/>
  <c r="AS213" i="8"/>
  <c r="AP213" i="8"/>
  <c r="AM213" i="8"/>
  <c r="AJ213" i="8"/>
  <c r="AG213" i="8"/>
  <c r="AD213" i="8"/>
  <c r="X213" i="8" a="1"/>
  <c r="X213" i="8" s="1"/>
  <c r="Y213" i="8" s="1"/>
  <c r="AA213" i="8" s="1"/>
  <c r="R213" i="8"/>
  <c r="N213" i="8" a="1"/>
  <c r="N213" i="8" s="1"/>
  <c r="O213" i="8" s="1"/>
  <c r="L213" i="8"/>
  <c r="H213" i="8"/>
  <c r="C213" i="8" a="1"/>
  <c r="C213" i="8" s="1"/>
  <c r="A213" i="8" a="1"/>
  <c r="A213" i="8" s="1"/>
  <c r="AT212" i="8" a="1"/>
  <c r="AT212" i="8" s="1"/>
  <c r="AS212" i="8"/>
  <c r="AP212" i="8"/>
  <c r="AM212" i="8"/>
  <c r="AJ212" i="8"/>
  <c r="AG212" i="8"/>
  <c r="AD212" i="8"/>
  <c r="X212" i="8" a="1"/>
  <c r="X212" i="8" s="1"/>
  <c r="Y212" i="8" s="1"/>
  <c r="AA212" i="8" s="1"/>
  <c r="R212" i="8"/>
  <c r="N212" i="8" a="1"/>
  <c r="N212" i="8" s="1"/>
  <c r="O212" i="8" s="1"/>
  <c r="L212" i="8"/>
  <c r="H212" i="8"/>
  <c r="C212" i="8" a="1"/>
  <c r="C212" i="8" s="1"/>
  <c r="A212" i="8" a="1"/>
  <c r="A212" i="8" s="1"/>
  <c r="AT211" i="8" a="1"/>
  <c r="AT211" i="8" s="1"/>
  <c r="AS211" i="8"/>
  <c r="AP211" i="8"/>
  <c r="AM211" i="8"/>
  <c r="AJ211" i="8"/>
  <c r="AG211" i="8"/>
  <c r="AD211" i="8"/>
  <c r="X211" i="8" a="1"/>
  <c r="X211" i="8" s="1"/>
  <c r="Y211" i="8" s="1"/>
  <c r="AA211" i="8" s="1"/>
  <c r="R211" i="8"/>
  <c r="N211" i="8" a="1"/>
  <c r="N211" i="8" s="1"/>
  <c r="O211" i="8" s="1"/>
  <c r="L211" i="8"/>
  <c r="H211" i="8"/>
  <c r="C211" i="8" a="1"/>
  <c r="C211" i="8" s="1"/>
  <c r="A211" i="8" a="1"/>
  <c r="A211" i="8" s="1"/>
  <c r="AT210" i="8" a="1"/>
  <c r="AT210" i="8" s="1"/>
  <c r="AS210" i="8"/>
  <c r="AP210" i="8"/>
  <c r="AM210" i="8"/>
  <c r="AJ210" i="8"/>
  <c r="AG210" i="8"/>
  <c r="AD210" i="8"/>
  <c r="X210" i="8" a="1"/>
  <c r="X210" i="8" s="1"/>
  <c r="Y210" i="8" s="1"/>
  <c r="AA210" i="8" s="1"/>
  <c r="R210" i="8"/>
  <c r="N210" i="8" a="1"/>
  <c r="N210" i="8" s="1"/>
  <c r="O210" i="8" s="1"/>
  <c r="L210" i="8"/>
  <c r="H210" i="8"/>
  <c r="C210" i="8" a="1"/>
  <c r="C210" i="8" s="1"/>
  <c r="A210" i="8" a="1"/>
  <c r="A210" i="8" s="1"/>
  <c r="AT209" i="8" a="1"/>
  <c r="AT209" i="8" s="1"/>
  <c r="AS209" i="8"/>
  <c r="AP209" i="8"/>
  <c r="AM209" i="8"/>
  <c r="AJ209" i="8"/>
  <c r="AG209" i="8"/>
  <c r="AD209" i="8"/>
  <c r="X209" i="8" a="1"/>
  <c r="X209" i="8" s="1"/>
  <c r="Y209" i="8" s="1"/>
  <c r="AA209" i="8" s="1"/>
  <c r="R209" i="8"/>
  <c r="N209" i="8" a="1"/>
  <c r="N209" i="8" s="1"/>
  <c r="O209" i="8" s="1"/>
  <c r="L209" i="8"/>
  <c r="H209" i="8"/>
  <c r="C209" i="8" a="1"/>
  <c r="C209" i="8" s="1"/>
  <c r="A209" i="8" a="1"/>
  <c r="A209" i="8" s="1"/>
  <c r="AT208" i="8" a="1"/>
  <c r="AT208" i="8" s="1"/>
  <c r="AS208" i="8"/>
  <c r="AP208" i="8"/>
  <c r="AM208" i="8"/>
  <c r="AJ208" i="8"/>
  <c r="AG208" i="8"/>
  <c r="AD208" i="8"/>
  <c r="X208" i="8" a="1"/>
  <c r="X208" i="8" s="1"/>
  <c r="Y208" i="8" s="1"/>
  <c r="AA208" i="8" s="1"/>
  <c r="R208" i="8"/>
  <c r="N208" i="8" a="1"/>
  <c r="N208" i="8" s="1"/>
  <c r="O208" i="8" s="1"/>
  <c r="L208" i="8"/>
  <c r="H208" i="8"/>
  <c r="C208" i="8" a="1"/>
  <c r="C208" i="8" s="1"/>
  <c r="A208" i="8" a="1"/>
  <c r="A208" i="8" s="1"/>
  <c r="AT207" i="8" a="1"/>
  <c r="AT207" i="8" s="1"/>
  <c r="AS207" i="8"/>
  <c r="AP207" i="8"/>
  <c r="AM207" i="8"/>
  <c r="AJ207" i="8"/>
  <c r="AG207" i="8"/>
  <c r="AD207" i="8"/>
  <c r="X207" i="8" a="1"/>
  <c r="X207" i="8" s="1"/>
  <c r="Y207" i="8" s="1"/>
  <c r="AA207" i="8" s="1"/>
  <c r="R207" i="8"/>
  <c r="N207" i="8" a="1"/>
  <c r="N207" i="8" s="1"/>
  <c r="O207" i="8" s="1"/>
  <c r="L207" i="8"/>
  <c r="H207" i="8"/>
  <c r="C207" i="8" a="1"/>
  <c r="C207" i="8" s="1"/>
  <c r="A207" i="8" a="1"/>
  <c r="A207" i="8" s="1"/>
  <c r="AT206" i="8" a="1"/>
  <c r="AT206" i="8" s="1"/>
  <c r="AS206" i="8"/>
  <c r="AP206" i="8"/>
  <c r="AM206" i="8"/>
  <c r="AJ206" i="8"/>
  <c r="AG206" i="8"/>
  <c r="AD206" i="8"/>
  <c r="X206" i="8" a="1"/>
  <c r="X206" i="8" s="1"/>
  <c r="Y206" i="8" s="1"/>
  <c r="AA206" i="8" s="1"/>
  <c r="R206" i="8"/>
  <c r="N206" i="8" a="1"/>
  <c r="N206" i="8" s="1"/>
  <c r="O206" i="8" s="1"/>
  <c r="L206" i="8"/>
  <c r="H206" i="8"/>
  <c r="C206" i="8" a="1"/>
  <c r="C206" i="8" s="1"/>
  <c r="A206" i="8" a="1"/>
  <c r="A206" i="8" s="1"/>
  <c r="AT205" i="8" a="1"/>
  <c r="AT205" i="8" s="1"/>
  <c r="AS205" i="8"/>
  <c r="AP205" i="8"/>
  <c r="AM205" i="8"/>
  <c r="AJ205" i="8"/>
  <c r="AG205" i="8"/>
  <c r="AD205" i="8"/>
  <c r="X205" i="8" a="1"/>
  <c r="X205" i="8" s="1"/>
  <c r="Y205" i="8" s="1"/>
  <c r="AA205" i="8" s="1"/>
  <c r="R205" i="8"/>
  <c r="N205" i="8" a="1"/>
  <c r="N205" i="8" s="1"/>
  <c r="O205" i="8" s="1"/>
  <c r="L205" i="8"/>
  <c r="H205" i="8"/>
  <c r="C205" i="8" a="1"/>
  <c r="C205" i="8" s="1"/>
  <c r="A205" i="8" a="1"/>
  <c r="A205" i="8" s="1"/>
  <c r="AT204" i="8" a="1"/>
  <c r="AT204" i="8" s="1"/>
  <c r="AS204" i="8"/>
  <c r="AP204" i="8"/>
  <c r="AM204" i="8"/>
  <c r="AJ204" i="8"/>
  <c r="AG204" i="8"/>
  <c r="AD204" i="8"/>
  <c r="X204" i="8" a="1"/>
  <c r="X204" i="8" s="1"/>
  <c r="Y204" i="8" s="1"/>
  <c r="AA204" i="8" s="1"/>
  <c r="R204" i="8"/>
  <c r="N204" i="8" a="1"/>
  <c r="N204" i="8" s="1"/>
  <c r="O204" i="8" s="1"/>
  <c r="L204" i="8"/>
  <c r="H204" i="8"/>
  <c r="C204" i="8" a="1"/>
  <c r="C204" i="8" s="1"/>
  <c r="A204" i="8" a="1"/>
  <c r="A204" i="8" s="1"/>
  <c r="AT203" i="8" a="1"/>
  <c r="AT203" i="8" s="1"/>
  <c r="AS203" i="8"/>
  <c r="AP203" i="8"/>
  <c r="AM203" i="8"/>
  <c r="AJ203" i="8"/>
  <c r="AG203" i="8"/>
  <c r="AD203" i="8"/>
  <c r="X203" i="8" a="1"/>
  <c r="X203" i="8" s="1"/>
  <c r="Y203" i="8" s="1"/>
  <c r="AA203" i="8" s="1"/>
  <c r="R203" i="8"/>
  <c r="N203" i="8" a="1"/>
  <c r="N203" i="8" s="1"/>
  <c r="O203" i="8" s="1"/>
  <c r="L203" i="8"/>
  <c r="H203" i="8"/>
  <c r="C203" i="8" a="1"/>
  <c r="C203" i="8" s="1"/>
  <c r="A203" i="8" a="1"/>
  <c r="A203" i="8" s="1"/>
  <c r="AT202" i="8" a="1"/>
  <c r="AT202" i="8" s="1"/>
  <c r="AS202" i="8"/>
  <c r="AP202" i="8"/>
  <c r="AM202" i="8"/>
  <c r="AJ202" i="8"/>
  <c r="AG202" i="8"/>
  <c r="AD202" i="8"/>
  <c r="X202" i="8" a="1"/>
  <c r="X202" i="8" s="1"/>
  <c r="Y202" i="8" s="1"/>
  <c r="AA202" i="8" s="1"/>
  <c r="R202" i="8"/>
  <c r="N202" i="8" a="1"/>
  <c r="N202" i="8" s="1"/>
  <c r="O202" i="8" s="1"/>
  <c r="L202" i="8"/>
  <c r="H202" i="8"/>
  <c r="C202" i="8" a="1"/>
  <c r="C202" i="8" s="1"/>
  <c r="A202" i="8" a="1"/>
  <c r="A202" i="8" s="1"/>
  <c r="AT201" i="8" a="1"/>
  <c r="AT201" i="8" s="1"/>
  <c r="AS201" i="8"/>
  <c r="AP201" i="8"/>
  <c r="AM201" i="8"/>
  <c r="AJ201" i="8"/>
  <c r="AG201" i="8"/>
  <c r="AD201" i="8"/>
  <c r="X201" i="8" a="1"/>
  <c r="X201" i="8" s="1"/>
  <c r="Y201" i="8" s="1"/>
  <c r="AA201" i="8" s="1"/>
  <c r="R201" i="8"/>
  <c r="N201" i="8" a="1"/>
  <c r="N201" i="8" s="1"/>
  <c r="O201" i="8" s="1"/>
  <c r="L201" i="8"/>
  <c r="H201" i="8"/>
  <c r="C201" i="8" a="1"/>
  <c r="C201" i="8" s="1"/>
  <c r="A201" i="8" a="1"/>
  <c r="A201" i="8" s="1"/>
  <c r="AT200" i="8" a="1"/>
  <c r="AT200" i="8" s="1"/>
  <c r="AS200" i="8"/>
  <c r="AP200" i="8"/>
  <c r="AM200" i="8"/>
  <c r="AJ200" i="8"/>
  <c r="AG200" i="8"/>
  <c r="AD200" i="8"/>
  <c r="X200" i="8" a="1"/>
  <c r="X200" i="8" s="1"/>
  <c r="Y200" i="8" s="1"/>
  <c r="AA200" i="8" s="1"/>
  <c r="R200" i="8"/>
  <c r="N200" i="8" a="1"/>
  <c r="N200" i="8" s="1"/>
  <c r="O200" i="8" s="1"/>
  <c r="L200" i="8"/>
  <c r="H200" i="8"/>
  <c r="C200" i="8" a="1"/>
  <c r="C200" i="8" s="1"/>
  <c r="A200" i="8" a="1"/>
  <c r="A200" i="8" s="1"/>
  <c r="AT199" i="8" a="1"/>
  <c r="AT199" i="8" s="1"/>
  <c r="AS199" i="8"/>
  <c r="AP199" i="8"/>
  <c r="AM199" i="8"/>
  <c r="AJ199" i="8"/>
  <c r="AG199" i="8"/>
  <c r="AD199" i="8"/>
  <c r="X199" i="8" a="1"/>
  <c r="X199" i="8" s="1"/>
  <c r="Y199" i="8" s="1"/>
  <c r="V199" i="8"/>
  <c r="R199" i="8"/>
  <c r="N199" i="8" a="1"/>
  <c r="N199" i="8" s="1"/>
  <c r="O199" i="8" s="1"/>
  <c r="L199" i="8"/>
  <c r="H199" i="8"/>
  <c r="C199" i="8" a="1"/>
  <c r="C199" i="8" s="1"/>
  <c r="A199" i="8" a="1"/>
  <c r="A199" i="8" s="1"/>
  <c r="AT198" i="8" a="1"/>
  <c r="AT198" i="8" s="1"/>
  <c r="AS198" i="8"/>
  <c r="AP198" i="8"/>
  <c r="AM198" i="8"/>
  <c r="AJ198" i="8"/>
  <c r="AG198" i="8"/>
  <c r="AD198" i="8"/>
  <c r="X198" i="8" a="1"/>
  <c r="X198" i="8" s="1"/>
  <c r="Y198" i="8" s="1"/>
  <c r="V198" i="8"/>
  <c r="R198" i="8"/>
  <c r="N198" i="8" a="1"/>
  <c r="N198" i="8" s="1"/>
  <c r="O198" i="8" s="1"/>
  <c r="L198" i="8"/>
  <c r="H198" i="8"/>
  <c r="C198" i="8" a="1"/>
  <c r="C198" i="8" s="1"/>
  <c r="A198" i="8" a="1"/>
  <c r="A198" i="8" s="1"/>
  <c r="AT197" i="8" a="1"/>
  <c r="AT197" i="8" s="1"/>
  <c r="AS197" i="8"/>
  <c r="AP197" i="8"/>
  <c r="AM197" i="8"/>
  <c r="AJ197" i="8"/>
  <c r="AG197" i="8"/>
  <c r="AD197" i="8"/>
  <c r="X197" i="8" a="1"/>
  <c r="X197" i="8" s="1"/>
  <c r="Y197" i="8" s="1"/>
  <c r="V197" i="8"/>
  <c r="R197" i="8"/>
  <c r="N197" i="8" a="1"/>
  <c r="N197" i="8" s="1"/>
  <c r="O197" i="8" s="1"/>
  <c r="L197" i="8"/>
  <c r="H197" i="8"/>
  <c r="C197" i="8" a="1"/>
  <c r="C197" i="8" s="1"/>
  <c r="A197" i="8" a="1"/>
  <c r="A197" i="8" s="1"/>
  <c r="AT196" i="8" a="1"/>
  <c r="AT196" i="8" s="1"/>
  <c r="AS196" i="8"/>
  <c r="AP196" i="8"/>
  <c r="AM196" i="8"/>
  <c r="AJ196" i="8"/>
  <c r="AG196" i="8"/>
  <c r="AD196" i="8"/>
  <c r="X196" i="8" a="1"/>
  <c r="X196" i="8" s="1"/>
  <c r="Y196" i="8" s="1"/>
  <c r="AA196" i="8" s="1"/>
  <c r="R196" i="8"/>
  <c r="N196" i="8" a="1"/>
  <c r="N196" i="8" s="1"/>
  <c r="O196" i="8" s="1"/>
  <c r="L196" i="8"/>
  <c r="H196" i="8"/>
  <c r="C196" i="8" a="1"/>
  <c r="C196" i="8" s="1"/>
  <c r="A196" i="8" a="1"/>
  <c r="A196" i="8" s="1"/>
  <c r="AT195" i="8" a="1"/>
  <c r="AT195" i="8" s="1"/>
  <c r="AS195" i="8"/>
  <c r="AP195" i="8"/>
  <c r="AM195" i="8"/>
  <c r="AJ195" i="8"/>
  <c r="AG195" i="8"/>
  <c r="AD195" i="8"/>
  <c r="X195" i="8" a="1"/>
  <c r="X195" i="8" s="1"/>
  <c r="Y195" i="8" s="1"/>
  <c r="AA195" i="8" s="1"/>
  <c r="R195" i="8"/>
  <c r="N195" i="8" a="1"/>
  <c r="N195" i="8" s="1"/>
  <c r="O195" i="8" s="1"/>
  <c r="L195" i="8"/>
  <c r="H195" i="8"/>
  <c r="C195" i="8" a="1"/>
  <c r="C195" i="8" s="1"/>
  <c r="A195" i="8" a="1"/>
  <c r="A195" i="8" s="1"/>
  <c r="AT194" i="8" a="1"/>
  <c r="AT194" i="8" s="1"/>
  <c r="AS194" i="8"/>
  <c r="AP194" i="8"/>
  <c r="AM194" i="8"/>
  <c r="AJ194" i="8"/>
  <c r="AG194" i="8"/>
  <c r="AD194" i="8"/>
  <c r="X194" i="8" a="1"/>
  <c r="X194" i="8" s="1"/>
  <c r="Y194" i="8" s="1"/>
  <c r="AA194" i="8" s="1"/>
  <c r="R194" i="8"/>
  <c r="N194" i="8" a="1"/>
  <c r="N194" i="8" s="1"/>
  <c r="O194" i="8" s="1"/>
  <c r="L194" i="8"/>
  <c r="H194" i="8"/>
  <c r="C194" i="8" a="1"/>
  <c r="C194" i="8" s="1"/>
  <c r="A194" i="8" a="1"/>
  <c r="A194" i="8" s="1"/>
  <c r="AT193" i="8" a="1"/>
  <c r="AT193" i="8" s="1"/>
  <c r="AS193" i="8"/>
  <c r="AP193" i="8"/>
  <c r="AM193" i="8"/>
  <c r="AJ193" i="8"/>
  <c r="AG193" i="8"/>
  <c r="AD193" i="8"/>
  <c r="X193" i="8" a="1"/>
  <c r="X193" i="8" s="1"/>
  <c r="Y193" i="8" s="1"/>
  <c r="AA193" i="8" s="1"/>
  <c r="R193" i="8"/>
  <c r="N193" i="8" a="1"/>
  <c r="N193" i="8" s="1"/>
  <c r="O193" i="8" s="1"/>
  <c r="L193" i="8"/>
  <c r="H193" i="8"/>
  <c r="C193" i="8" a="1"/>
  <c r="C193" i="8" s="1"/>
  <c r="AT192" i="8" a="1"/>
  <c r="AT192" i="8" s="1"/>
  <c r="AS192" i="8"/>
  <c r="AP192" i="8"/>
  <c r="AM192" i="8"/>
  <c r="AJ192" i="8"/>
  <c r="AG192" i="8"/>
  <c r="AD192" i="8"/>
  <c r="X192" i="8" a="1"/>
  <c r="X192" i="8" s="1"/>
  <c r="Y192" i="8" s="1"/>
  <c r="AA192" i="8" s="1"/>
  <c r="R192" i="8"/>
  <c r="N192" i="8" a="1"/>
  <c r="N192" i="8" s="1"/>
  <c r="O192" i="8" s="1"/>
  <c r="L192" i="8"/>
  <c r="H192" i="8"/>
  <c r="C192" i="8" a="1"/>
  <c r="C192" i="8" s="1"/>
  <c r="A192" i="8" a="1"/>
  <c r="A192" i="8" s="1"/>
  <c r="AT191" i="8" a="1"/>
  <c r="AT191" i="8" s="1"/>
  <c r="AS191" i="8"/>
  <c r="AP191" i="8"/>
  <c r="AM191" i="8"/>
  <c r="AJ191" i="8"/>
  <c r="AG191" i="8"/>
  <c r="AD191" i="8"/>
  <c r="X191" i="8" a="1"/>
  <c r="X191" i="8" s="1"/>
  <c r="Y191" i="8" s="1"/>
  <c r="V191" i="8"/>
  <c r="R191" i="8"/>
  <c r="N191" i="8" a="1"/>
  <c r="N191" i="8" s="1"/>
  <c r="O191" i="8" s="1"/>
  <c r="L191" i="8"/>
  <c r="H191" i="8"/>
  <c r="C191" i="8" a="1"/>
  <c r="C191" i="8" s="1"/>
  <c r="A191" i="8" a="1"/>
  <c r="A191" i="8" s="1"/>
  <c r="AT190" i="8" a="1"/>
  <c r="AT190" i="8" s="1"/>
  <c r="AS190" i="8"/>
  <c r="AP190" i="8"/>
  <c r="AM190" i="8"/>
  <c r="AJ190" i="8"/>
  <c r="AG190" i="8"/>
  <c r="AD190" i="8"/>
  <c r="X190" i="8" a="1"/>
  <c r="X190" i="8" s="1"/>
  <c r="D190" i="8" s="1"/>
  <c r="V190" i="8"/>
  <c r="T190" i="8" a="1"/>
  <c r="T190" i="8" s="1"/>
  <c r="W190" i="8" s="1"/>
  <c r="R190" i="8"/>
  <c r="N190" i="8" a="1"/>
  <c r="N190" i="8" s="1"/>
  <c r="O190" i="8" s="1"/>
  <c r="L190" i="8"/>
  <c r="H190" i="8"/>
  <c r="C190" i="8" a="1"/>
  <c r="C190" i="8" s="1"/>
  <c r="A190" i="8" a="1"/>
  <c r="A190" i="8" s="1"/>
  <c r="AT189" i="8" a="1"/>
  <c r="AT189" i="8" s="1"/>
  <c r="AS189" i="8"/>
  <c r="AP189" i="8"/>
  <c r="AM189" i="8"/>
  <c r="AJ189" i="8"/>
  <c r="AG189" i="8"/>
  <c r="AD189" i="8"/>
  <c r="X189" i="8" a="1"/>
  <c r="X189" i="8" s="1"/>
  <c r="D189" i="8" s="1"/>
  <c r="V189" i="8"/>
  <c r="T189" i="8" a="1"/>
  <c r="T189" i="8" s="1"/>
  <c r="W189" i="8" s="1"/>
  <c r="R189" i="8"/>
  <c r="N189" i="8" a="1"/>
  <c r="N189" i="8" s="1"/>
  <c r="O189" i="8" s="1"/>
  <c r="L189" i="8"/>
  <c r="H189" i="8"/>
  <c r="C189" i="8" a="1"/>
  <c r="C189" i="8" s="1"/>
  <c r="A189" i="8" a="1"/>
  <c r="A189" i="8" s="1"/>
  <c r="AT188" i="8" a="1"/>
  <c r="AT188" i="8" s="1"/>
  <c r="AS188" i="8"/>
  <c r="AP188" i="8"/>
  <c r="AM188" i="8"/>
  <c r="AJ188" i="8"/>
  <c r="AG188" i="8"/>
  <c r="AD188" i="8"/>
  <c r="X188" i="8" a="1"/>
  <c r="X188" i="8" s="1"/>
  <c r="Y188" i="8" s="1"/>
  <c r="AA188" i="8" s="1"/>
  <c r="R188" i="8"/>
  <c r="N188" i="8" a="1"/>
  <c r="N188" i="8" s="1"/>
  <c r="O188" i="8" s="1"/>
  <c r="L188" i="8"/>
  <c r="H188" i="8"/>
  <c r="C188" i="8" a="1"/>
  <c r="C188" i="8" s="1"/>
  <c r="A188" i="8" a="1"/>
  <c r="A188" i="8" s="1"/>
  <c r="AT187" i="8" a="1"/>
  <c r="AT187" i="8" s="1"/>
  <c r="AS187" i="8"/>
  <c r="AP187" i="8"/>
  <c r="AM187" i="8"/>
  <c r="AJ187" i="8"/>
  <c r="AG187" i="8"/>
  <c r="AD187" i="8"/>
  <c r="X187" i="8" a="1"/>
  <c r="X187" i="8" s="1"/>
  <c r="Y187" i="8" s="1"/>
  <c r="V187" i="8"/>
  <c r="R187" i="8"/>
  <c r="N187" i="8" a="1"/>
  <c r="N187" i="8" s="1"/>
  <c r="O187" i="8" s="1"/>
  <c r="L187" i="8"/>
  <c r="H187" i="8"/>
  <c r="C187" i="8" a="1"/>
  <c r="C187" i="8" s="1"/>
  <c r="A187" i="8" a="1"/>
  <c r="A187" i="8" s="1"/>
  <c r="AT186" i="8" a="1"/>
  <c r="AT186" i="8" s="1"/>
  <c r="AS186" i="8"/>
  <c r="AP186" i="8"/>
  <c r="AM186" i="8"/>
  <c r="AJ186" i="8"/>
  <c r="AG186" i="8"/>
  <c r="AD186" i="8"/>
  <c r="X186" i="8" a="1"/>
  <c r="X186" i="8" s="1"/>
  <c r="Y186" i="8" s="1"/>
  <c r="V186" i="8"/>
  <c r="R186" i="8"/>
  <c r="N186" i="8" a="1"/>
  <c r="N186" i="8" s="1"/>
  <c r="O186" i="8" s="1"/>
  <c r="L186" i="8"/>
  <c r="H186" i="8"/>
  <c r="C186" i="8" a="1"/>
  <c r="C186" i="8" s="1"/>
  <c r="A186" i="8" a="1"/>
  <c r="A186" i="8" s="1"/>
  <c r="AT185" i="8" a="1"/>
  <c r="AT185" i="8" s="1"/>
  <c r="AS185" i="8"/>
  <c r="AP185" i="8"/>
  <c r="AM185" i="8"/>
  <c r="AJ185" i="8"/>
  <c r="AG185" i="8"/>
  <c r="AD185" i="8"/>
  <c r="X185" i="8" a="1"/>
  <c r="X185" i="8" s="1"/>
  <c r="Y185" i="8" s="1"/>
  <c r="V185" i="8"/>
  <c r="R185" i="8"/>
  <c r="N185" i="8" a="1"/>
  <c r="N185" i="8" s="1"/>
  <c r="O185" i="8" s="1"/>
  <c r="L185" i="8"/>
  <c r="H185" i="8"/>
  <c r="C185" i="8" a="1"/>
  <c r="C185" i="8" s="1"/>
  <c r="A185" i="8" a="1"/>
  <c r="A185" i="8" s="1"/>
  <c r="AT184" i="8" a="1"/>
  <c r="AT184" i="8" s="1"/>
  <c r="AS184" i="8"/>
  <c r="AP184" i="8"/>
  <c r="AM184" i="8"/>
  <c r="AJ184" i="8"/>
  <c r="AG184" i="8"/>
  <c r="AD184" i="8"/>
  <c r="X184" i="8" a="1"/>
  <c r="X184" i="8" s="1"/>
  <c r="Y184" i="8" s="1"/>
  <c r="V184" i="8"/>
  <c r="R184" i="8"/>
  <c r="N184" i="8" a="1"/>
  <c r="N184" i="8" s="1"/>
  <c r="O184" i="8" s="1"/>
  <c r="L184" i="8"/>
  <c r="H184" i="8"/>
  <c r="C184" i="8" a="1"/>
  <c r="C184" i="8" s="1"/>
  <c r="A184" i="8" a="1"/>
  <c r="A184" i="8" s="1"/>
  <c r="AT183" i="8" a="1"/>
  <c r="AT183" i="8" s="1"/>
  <c r="AS183" i="8"/>
  <c r="AP183" i="8"/>
  <c r="AM183" i="8"/>
  <c r="AJ183" i="8"/>
  <c r="AG183" i="8"/>
  <c r="AD183" i="8"/>
  <c r="X183" i="8" a="1"/>
  <c r="X183" i="8" s="1"/>
  <c r="Y183" i="8" s="1"/>
  <c r="V183" i="8"/>
  <c r="R183" i="8"/>
  <c r="N183" i="8" a="1"/>
  <c r="N183" i="8" s="1"/>
  <c r="O183" i="8" s="1"/>
  <c r="L183" i="8"/>
  <c r="H183" i="8"/>
  <c r="C183" i="8" a="1"/>
  <c r="C183" i="8" s="1"/>
  <c r="A183" i="8" a="1"/>
  <c r="A183" i="8" s="1"/>
  <c r="AT182" i="8" a="1"/>
  <c r="AT182" i="8" s="1"/>
  <c r="AS182" i="8"/>
  <c r="AP182" i="8"/>
  <c r="AM182" i="8"/>
  <c r="AJ182" i="8"/>
  <c r="AG182" i="8"/>
  <c r="AD182" i="8"/>
  <c r="X182" i="8" a="1"/>
  <c r="X182" i="8" s="1"/>
  <c r="Y182" i="8" s="1"/>
  <c r="V182" i="8"/>
  <c r="R182" i="8"/>
  <c r="N182" i="8" a="1"/>
  <c r="N182" i="8" s="1"/>
  <c r="O182" i="8" s="1"/>
  <c r="L182" i="8"/>
  <c r="H182" i="8"/>
  <c r="C182" i="8" a="1"/>
  <c r="C182" i="8" s="1"/>
  <c r="A182" i="8" a="1"/>
  <c r="A182" i="8" s="1"/>
  <c r="AT181" i="8" a="1"/>
  <c r="AT181" i="8" s="1"/>
  <c r="AS181" i="8"/>
  <c r="AP181" i="8"/>
  <c r="AM181" i="8"/>
  <c r="AJ181" i="8"/>
  <c r="AG181" i="8"/>
  <c r="AD181" i="8"/>
  <c r="X181" i="8" a="1"/>
  <c r="X181" i="8" s="1"/>
  <c r="Y181" i="8" s="1"/>
  <c r="V181" i="8"/>
  <c r="R181" i="8"/>
  <c r="N181" i="8" a="1"/>
  <c r="N181" i="8" s="1"/>
  <c r="O181" i="8" s="1"/>
  <c r="L181" i="8"/>
  <c r="H181" i="8"/>
  <c r="C181" i="8" a="1"/>
  <c r="C181" i="8" s="1"/>
  <c r="A181" i="8" a="1"/>
  <c r="A181" i="8" s="1"/>
  <c r="AT180" i="8" a="1"/>
  <c r="AT180" i="8" s="1"/>
  <c r="AS180" i="8"/>
  <c r="AP180" i="8"/>
  <c r="AM180" i="8"/>
  <c r="AJ180" i="8"/>
  <c r="AG180" i="8"/>
  <c r="AD180" i="8"/>
  <c r="X180" i="8" a="1"/>
  <c r="X180" i="8" s="1"/>
  <c r="Y180" i="8" s="1"/>
  <c r="V180" i="8"/>
  <c r="R180" i="8"/>
  <c r="N180" i="8" a="1"/>
  <c r="N180" i="8" s="1"/>
  <c r="O180" i="8" s="1"/>
  <c r="L180" i="8"/>
  <c r="H180" i="8"/>
  <c r="C180" i="8" a="1"/>
  <c r="C180" i="8" s="1"/>
  <c r="A180" i="8" a="1"/>
  <c r="A180" i="8" s="1"/>
  <c r="AT179" i="8" a="1"/>
  <c r="AT179" i="8" s="1"/>
  <c r="AS179" i="8"/>
  <c r="AP179" i="8"/>
  <c r="AM179" i="8"/>
  <c r="AJ179" i="8"/>
  <c r="AG179" i="8"/>
  <c r="AD179" i="8"/>
  <c r="X179" i="8" a="1"/>
  <c r="X179" i="8" s="1"/>
  <c r="Y179" i="8" s="1"/>
  <c r="V179" i="8"/>
  <c r="R179" i="8"/>
  <c r="N179" i="8" a="1"/>
  <c r="N179" i="8" s="1"/>
  <c r="O179" i="8" s="1"/>
  <c r="L179" i="8"/>
  <c r="H179" i="8"/>
  <c r="C179" i="8" a="1"/>
  <c r="C179" i="8" s="1"/>
  <c r="A179" i="8" a="1"/>
  <c r="A179" i="8" s="1"/>
  <c r="AT178" i="8" a="1"/>
  <c r="AT178" i="8" s="1"/>
  <c r="AS178" i="8"/>
  <c r="AP178" i="8"/>
  <c r="AM178" i="8"/>
  <c r="AJ178" i="8"/>
  <c r="AG178" i="8"/>
  <c r="AD178" i="8"/>
  <c r="X178" i="8" a="1"/>
  <c r="X178" i="8" s="1"/>
  <c r="Y178" i="8" s="1"/>
  <c r="V178" i="8"/>
  <c r="R178" i="8"/>
  <c r="N178" i="8" a="1"/>
  <c r="N178" i="8" s="1"/>
  <c r="O178" i="8" s="1"/>
  <c r="L178" i="8"/>
  <c r="H178" i="8"/>
  <c r="C178" i="8" a="1"/>
  <c r="C178" i="8" s="1"/>
  <c r="A178" i="8" a="1"/>
  <c r="A178" i="8" s="1"/>
  <c r="AT177" i="8" a="1"/>
  <c r="AT177" i="8" s="1"/>
  <c r="AS177" i="8"/>
  <c r="AP177" i="8"/>
  <c r="AM177" i="8"/>
  <c r="AJ177" i="8"/>
  <c r="AG177" i="8"/>
  <c r="AD177" i="8"/>
  <c r="X177" i="8" a="1"/>
  <c r="X177" i="8" s="1"/>
  <c r="Y177" i="8" s="1"/>
  <c r="V177" i="8"/>
  <c r="R177" i="8"/>
  <c r="N177" i="8" a="1"/>
  <c r="N177" i="8" s="1"/>
  <c r="O177" i="8" s="1"/>
  <c r="L177" i="8"/>
  <c r="H177" i="8"/>
  <c r="C177" i="8" a="1"/>
  <c r="C177" i="8" s="1"/>
  <c r="A177" i="8" a="1"/>
  <c r="A177" i="8" s="1"/>
  <c r="AT176" i="8" a="1"/>
  <c r="AT176" i="8" s="1"/>
  <c r="AS176" i="8"/>
  <c r="AP176" i="8"/>
  <c r="AM176" i="8"/>
  <c r="AJ176" i="8"/>
  <c r="AG176" i="8"/>
  <c r="AD176" i="8"/>
  <c r="X176" i="8" a="1"/>
  <c r="X176" i="8" s="1"/>
  <c r="Y176" i="8" s="1"/>
  <c r="V176" i="8"/>
  <c r="R176" i="8"/>
  <c r="N176" i="8" a="1"/>
  <c r="N176" i="8" s="1"/>
  <c r="O176" i="8" s="1"/>
  <c r="L176" i="8"/>
  <c r="H176" i="8"/>
  <c r="C176" i="8" a="1"/>
  <c r="C176" i="8" s="1"/>
  <c r="A176" i="8" a="1"/>
  <c r="A176" i="8" s="1"/>
  <c r="AT175" i="8" a="1"/>
  <c r="AT175" i="8" s="1"/>
  <c r="AS175" i="8"/>
  <c r="AP175" i="8"/>
  <c r="AM175" i="8"/>
  <c r="AJ175" i="8"/>
  <c r="AG175" i="8"/>
  <c r="AD175" i="8"/>
  <c r="X175" i="8" a="1"/>
  <c r="X175" i="8" s="1"/>
  <c r="Y175" i="8" s="1"/>
  <c r="AA175" i="8" s="1"/>
  <c r="R175" i="8"/>
  <c r="N175" i="8" a="1"/>
  <c r="N175" i="8" s="1"/>
  <c r="O175" i="8" s="1"/>
  <c r="L175" i="8"/>
  <c r="H175" i="8"/>
  <c r="C175" i="8" a="1"/>
  <c r="C175" i="8" s="1"/>
  <c r="A175" i="8" a="1"/>
  <c r="A175" i="8" s="1"/>
  <c r="AT174" i="8" a="1"/>
  <c r="AT174" i="8" s="1"/>
  <c r="AS174" i="8"/>
  <c r="AP174" i="8"/>
  <c r="AM174" i="8"/>
  <c r="AJ174" i="8"/>
  <c r="AG174" i="8"/>
  <c r="AD174" i="8"/>
  <c r="X174" i="8" a="1"/>
  <c r="X174" i="8" s="1"/>
  <c r="Y174" i="8" s="1"/>
  <c r="AA174" i="8" s="1"/>
  <c r="R174" i="8"/>
  <c r="N174" i="8" a="1"/>
  <c r="N174" i="8" s="1"/>
  <c r="O174" i="8" s="1"/>
  <c r="L174" i="8"/>
  <c r="H174" i="8"/>
  <c r="C174" i="8" a="1"/>
  <c r="C174" i="8" s="1"/>
  <c r="A174" i="8" a="1"/>
  <c r="A174" i="8" s="1"/>
  <c r="AT173" i="8" a="1"/>
  <c r="AT173" i="8" s="1"/>
  <c r="AS173" i="8"/>
  <c r="AP173" i="8"/>
  <c r="AM173" i="8"/>
  <c r="AJ173" i="8"/>
  <c r="AG173" i="8"/>
  <c r="AD173" i="8"/>
  <c r="X173" i="8" a="1"/>
  <c r="X173" i="8" s="1"/>
  <c r="Y173" i="8" s="1"/>
  <c r="V173" i="8"/>
  <c r="R173" i="8"/>
  <c r="N173" i="8" a="1"/>
  <c r="N173" i="8" s="1"/>
  <c r="O173" i="8" s="1"/>
  <c r="L173" i="8"/>
  <c r="H173" i="8"/>
  <c r="C173" i="8" a="1"/>
  <c r="C173" i="8" s="1"/>
  <c r="A173" i="8" a="1"/>
  <c r="A173" i="8" s="1"/>
  <c r="AT172" i="8" a="1"/>
  <c r="AT172" i="8" s="1"/>
  <c r="AS172" i="8"/>
  <c r="AP172" i="8"/>
  <c r="AM172" i="8"/>
  <c r="AJ172" i="8"/>
  <c r="AG172" i="8"/>
  <c r="AD172" i="8"/>
  <c r="X172" i="8" a="1"/>
  <c r="X172" i="8" s="1"/>
  <c r="Y172" i="8" s="1"/>
  <c r="V172" i="8"/>
  <c r="R172" i="8"/>
  <c r="N172" i="8" a="1"/>
  <c r="N172" i="8" s="1"/>
  <c r="O172" i="8" s="1"/>
  <c r="L172" i="8"/>
  <c r="H172" i="8"/>
  <c r="C172" i="8" a="1"/>
  <c r="C172" i="8" s="1"/>
  <c r="A172" i="8" a="1"/>
  <c r="A172" i="8" s="1"/>
  <c r="AT171" i="8" a="1"/>
  <c r="AT171" i="8" s="1"/>
  <c r="AS171" i="8"/>
  <c r="AP171" i="8"/>
  <c r="AM171" i="8"/>
  <c r="AJ171" i="8"/>
  <c r="AG171" i="8"/>
  <c r="AD171" i="8"/>
  <c r="X171" i="8" a="1"/>
  <c r="X171" i="8" s="1"/>
  <c r="Y171" i="8" s="1"/>
  <c r="V171" i="8"/>
  <c r="R171" i="8"/>
  <c r="N171" i="8" a="1"/>
  <c r="N171" i="8" s="1"/>
  <c r="O171" i="8" s="1"/>
  <c r="L171" i="8"/>
  <c r="H171" i="8"/>
  <c r="C171" i="8" a="1"/>
  <c r="C171" i="8" s="1"/>
  <c r="A171" i="8" a="1"/>
  <c r="A171" i="8" s="1"/>
  <c r="AT170" i="8" a="1"/>
  <c r="AT170" i="8" s="1"/>
  <c r="AS170" i="8"/>
  <c r="AP170" i="8"/>
  <c r="AM170" i="8"/>
  <c r="AJ170" i="8"/>
  <c r="AG170" i="8"/>
  <c r="AD170" i="8"/>
  <c r="X170" i="8" a="1"/>
  <c r="X170" i="8" s="1"/>
  <c r="Y170" i="8" s="1"/>
  <c r="V170" i="8"/>
  <c r="R170" i="8"/>
  <c r="N170" i="8" a="1"/>
  <c r="N170" i="8" s="1"/>
  <c r="O170" i="8" s="1"/>
  <c r="L170" i="8"/>
  <c r="H170" i="8"/>
  <c r="C170" i="8" a="1"/>
  <c r="C170" i="8" s="1"/>
  <c r="A170" i="8" a="1"/>
  <c r="A170" i="8" s="1"/>
  <c r="AT169" i="8" a="1"/>
  <c r="AT169" i="8" s="1"/>
  <c r="AS169" i="8"/>
  <c r="AP169" i="8"/>
  <c r="AM169" i="8"/>
  <c r="AJ169" i="8"/>
  <c r="AG169" i="8"/>
  <c r="AD169" i="8"/>
  <c r="X169" i="8" a="1"/>
  <c r="X169" i="8" s="1"/>
  <c r="Y169" i="8" s="1"/>
  <c r="AA169" i="8" s="1"/>
  <c r="R169" i="8"/>
  <c r="N169" i="8" a="1"/>
  <c r="N169" i="8" s="1"/>
  <c r="O169" i="8" s="1"/>
  <c r="L169" i="8"/>
  <c r="H169" i="8"/>
  <c r="C169" i="8" a="1"/>
  <c r="C169" i="8" s="1"/>
  <c r="A169" i="8" a="1"/>
  <c r="A169" i="8" s="1"/>
  <c r="AT168" i="8" a="1"/>
  <c r="AT168" i="8" s="1"/>
  <c r="AS168" i="8"/>
  <c r="AP168" i="8"/>
  <c r="AM168" i="8"/>
  <c r="AJ168" i="8"/>
  <c r="AG168" i="8"/>
  <c r="AD168" i="8"/>
  <c r="X168" i="8" a="1"/>
  <c r="X168" i="8" s="1"/>
  <c r="Y168" i="8" s="1"/>
  <c r="V168" i="8"/>
  <c r="R168" i="8"/>
  <c r="N168" i="8" a="1"/>
  <c r="N168" i="8" s="1"/>
  <c r="O168" i="8" s="1"/>
  <c r="L168" i="8"/>
  <c r="H168" i="8"/>
  <c r="C168" i="8" a="1"/>
  <c r="C168" i="8" s="1"/>
  <c r="A168" i="8" a="1"/>
  <c r="A168" i="8" s="1"/>
  <c r="AT167" i="8" a="1"/>
  <c r="AT167" i="8" s="1"/>
  <c r="AS167" i="8"/>
  <c r="AP167" i="8"/>
  <c r="AM167" i="8"/>
  <c r="AJ167" i="8"/>
  <c r="AG167" i="8"/>
  <c r="AD167" i="8"/>
  <c r="X167" i="8" a="1"/>
  <c r="X167" i="8" s="1"/>
  <c r="Y167" i="8" s="1"/>
  <c r="V167" i="8"/>
  <c r="R167" i="8"/>
  <c r="N167" i="8" a="1"/>
  <c r="N167" i="8" s="1"/>
  <c r="O167" i="8" s="1"/>
  <c r="L167" i="8"/>
  <c r="H167" i="8"/>
  <c r="C167" i="8" a="1"/>
  <c r="C167" i="8" s="1"/>
  <c r="A167" i="8" a="1"/>
  <c r="A167" i="8" s="1"/>
  <c r="AT166" i="8" a="1"/>
  <c r="AT166" i="8" s="1"/>
  <c r="AS166" i="8"/>
  <c r="AP166" i="8"/>
  <c r="AM166" i="8"/>
  <c r="AJ166" i="8"/>
  <c r="AG166" i="8"/>
  <c r="AD166" i="8"/>
  <c r="X166" i="8" a="1"/>
  <c r="X166" i="8" s="1"/>
  <c r="Y166" i="8" s="1"/>
  <c r="V166" i="8"/>
  <c r="R166" i="8"/>
  <c r="N166" i="8" a="1"/>
  <c r="N166" i="8" s="1"/>
  <c r="O166" i="8" s="1"/>
  <c r="L166" i="8"/>
  <c r="H166" i="8"/>
  <c r="C166" i="8" a="1"/>
  <c r="C166" i="8" s="1"/>
  <c r="A166" i="8" a="1"/>
  <c r="A166" i="8" s="1"/>
  <c r="AT165" i="8" a="1"/>
  <c r="AT165" i="8" s="1"/>
  <c r="AS165" i="8"/>
  <c r="AP165" i="8"/>
  <c r="AM165" i="8"/>
  <c r="AJ165" i="8"/>
  <c r="AG165" i="8"/>
  <c r="AD165" i="8"/>
  <c r="X165" i="8" a="1"/>
  <c r="X165" i="8" s="1"/>
  <c r="Y165" i="8" s="1"/>
  <c r="V165" i="8"/>
  <c r="R165" i="8"/>
  <c r="N165" i="8" a="1"/>
  <c r="N165" i="8" s="1"/>
  <c r="O165" i="8" s="1"/>
  <c r="L165" i="8"/>
  <c r="H165" i="8"/>
  <c r="C165" i="8" a="1"/>
  <c r="C165" i="8" s="1"/>
  <c r="A165" i="8" a="1"/>
  <c r="A165" i="8" s="1"/>
  <c r="AT164" i="8" a="1"/>
  <c r="AT164" i="8" s="1"/>
  <c r="AS164" i="8"/>
  <c r="AP164" i="8"/>
  <c r="AM164" i="8"/>
  <c r="AJ164" i="8"/>
  <c r="AG164" i="8"/>
  <c r="AD164" i="8"/>
  <c r="X164" i="8" a="1"/>
  <c r="X164" i="8" s="1"/>
  <c r="Y164" i="8" s="1"/>
  <c r="V164" i="8"/>
  <c r="R164" i="8"/>
  <c r="N164" i="8" a="1"/>
  <c r="N164" i="8" s="1"/>
  <c r="O164" i="8" s="1"/>
  <c r="L164" i="8"/>
  <c r="H164" i="8"/>
  <c r="C164" i="8" a="1"/>
  <c r="C164" i="8" s="1"/>
  <c r="A164" i="8" a="1"/>
  <c r="A164" i="8" s="1"/>
  <c r="AT163" i="8" a="1"/>
  <c r="AT163" i="8" s="1"/>
  <c r="AS163" i="8"/>
  <c r="AP163" i="8"/>
  <c r="AM163" i="8"/>
  <c r="AJ163" i="8"/>
  <c r="AG163" i="8"/>
  <c r="AD163" i="8"/>
  <c r="X163" i="8" a="1"/>
  <c r="X163" i="8" s="1"/>
  <c r="Y163" i="8" s="1"/>
  <c r="V163" i="8"/>
  <c r="R163" i="8"/>
  <c r="N163" i="8" a="1"/>
  <c r="N163" i="8" s="1"/>
  <c r="O163" i="8" s="1"/>
  <c r="L163" i="8"/>
  <c r="H163" i="8"/>
  <c r="C163" i="8" a="1"/>
  <c r="C163" i="8" s="1"/>
  <c r="A163" i="8" a="1"/>
  <c r="A163" i="8" s="1"/>
  <c r="AT162" i="8" a="1"/>
  <c r="AT162" i="8" s="1"/>
  <c r="AS162" i="8"/>
  <c r="AP162" i="8"/>
  <c r="AM162" i="8"/>
  <c r="AJ162" i="8"/>
  <c r="AG162" i="8"/>
  <c r="AD162" i="8"/>
  <c r="X162" i="8" a="1"/>
  <c r="X162" i="8" s="1"/>
  <c r="Y162" i="8" s="1"/>
  <c r="V162" i="8"/>
  <c r="R162" i="8"/>
  <c r="N162" i="8" a="1"/>
  <c r="N162" i="8" s="1"/>
  <c r="O162" i="8" s="1"/>
  <c r="L162" i="8"/>
  <c r="H162" i="8"/>
  <c r="C162" i="8" a="1"/>
  <c r="C162" i="8" s="1"/>
  <c r="A162" i="8" a="1"/>
  <c r="A162" i="8" s="1"/>
  <c r="AT161" i="8" a="1"/>
  <c r="AT161" i="8" s="1"/>
  <c r="AS161" i="8"/>
  <c r="AP161" i="8"/>
  <c r="AM161" i="8"/>
  <c r="AJ161" i="8"/>
  <c r="AG161" i="8"/>
  <c r="AD161" i="8"/>
  <c r="X161" i="8" a="1"/>
  <c r="X161" i="8" s="1"/>
  <c r="Y161" i="8" s="1"/>
  <c r="V161" i="8"/>
  <c r="R161" i="8"/>
  <c r="N161" i="8" a="1"/>
  <c r="N161" i="8" s="1"/>
  <c r="O161" i="8" s="1"/>
  <c r="L161" i="8"/>
  <c r="H161" i="8"/>
  <c r="C161" i="8" a="1"/>
  <c r="C161" i="8" s="1"/>
  <c r="A161" i="8" a="1"/>
  <c r="A161" i="8" s="1"/>
  <c r="AT160" i="8" a="1"/>
  <c r="AT160" i="8" s="1"/>
  <c r="AS160" i="8"/>
  <c r="AP160" i="8"/>
  <c r="AM160" i="8"/>
  <c r="AJ160" i="8"/>
  <c r="AG160" i="8"/>
  <c r="AD160" i="8"/>
  <c r="X160" i="8" a="1"/>
  <c r="X160" i="8" s="1"/>
  <c r="Y160" i="8" s="1"/>
  <c r="V160" i="8"/>
  <c r="R160" i="8"/>
  <c r="N160" i="8" a="1"/>
  <c r="N160" i="8" s="1"/>
  <c r="O160" i="8" s="1"/>
  <c r="L160" i="8"/>
  <c r="H160" i="8"/>
  <c r="C160" i="8" a="1"/>
  <c r="C160" i="8" s="1"/>
  <c r="A160" i="8" a="1"/>
  <c r="A160" i="8" s="1"/>
  <c r="AT159" i="8" a="1"/>
  <c r="AT159" i="8" s="1"/>
  <c r="AS159" i="8"/>
  <c r="AP159" i="8"/>
  <c r="AM159" i="8"/>
  <c r="AJ159" i="8"/>
  <c r="AG159" i="8"/>
  <c r="AD159" i="8"/>
  <c r="X159" i="8" a="1"/>
  <c r="X159" i="8" s="1"/>
  <c r="Y159" i="8" s="1"/>
  <c r="V159" i="8"/>
  <c r="R159" i="8"/>
  <c r="N159" i="8" a="1"/>
  <c r="N159" i="8" s="1"/>
  <c r="O159" i="8" s="1"/>
  <c r="L159" i="8"/>
  <c r="H159" i="8"/>
  <c r="C159" i="8" a="1"/>
  <c r="C159" i="8" s="1"/>
  <c r="A159" i="8" a="1"/>
  <c r="A159" i="8" s="1"/>
  <c r="AT158" i="8" a="1"/>
  <c r="AT158" i="8" s="1"/>
  <c r="AS158" i="8"/>
  <c r="AP158" i="8"/>
  <c r="AM158" i="8"/>
  <c r="AJ158" i="8"/>
  <c r="AG158" i="8"/>
  <c r="AD158" i="8"/>
  <c r="X158" i="8" a="1"/>
  <c r="X158" i="8" s="1"/>
  <c r="Y158" i="8" s="1"/>
  <c r="V158" i="8"/>
  <c r="R158" i="8"/>
  <c r="N158" i="8" a="1"/>
  <c r="N158" i="8" s="1"/>
  <c r="O158" i="8" s="1"/>
  <c r="L158" i="8"/>
  <c r="H158" i="8"/>
  <c r="C158" i="8" a="1"/>
  <c r="C158" i="8" s="1"/>
  <c r="A158" i="8" a="1"/>
  <c r="A158" i="8" s="1"/>
  <c r="AT157" i="8" a="1"/>
  <c r="AT157" i="8" s="1"/>
  <c r="AS157" i="8"/>
  <c r="AP157" i="8"/>
  <c r="AM157" i="8"/>
  <c r="AJ157" i="8"/>
  <c r="AG157" i="8"/>
  <c r="AD157" i="8"/>
  <c r="X157" i="8" a="1"/>
  <c r="X157" i="8" s="1"/>
  <c r="Y157" i="8" s="1"/>
  <c r="V157" i="8"/>
  <c r="R157" i="8"/>
  <c r="N157" i="8" a="1"/>
  <c r="N157" i="8" s="1"/>
  <c r="O157" i="8" s="1"/>
  <c r="L157" i="8"/>
  <c r="H157" i="8"/>
  <c r="C157" i="8" a="1"/>
  <c r="C157" i="8" s="1"/>
  <c r="A157" i="8" a="1"/>
  <c r="A157" i="8" s="1"/>
  <c r="AT156" i="8" a="1"/>
  <c r="AT156" i="8" s="1"/>
  <c r="AS156" i="8"/>
  <c r="AP156" i="8"/>
  <c r="AM156" i="8"/>
  <c r="AJ156" i="8"/>
  <c r="AG156" i="8"/>
  <c r="AD156" i="8"/>
  <c r="X156" i="8" a="1"/>
  <c r="X156" i="8" s="1"/>
  <c r="Y156" i="8" s="1"/>
  <c r="V156" i="8"/>
  <c r="R156" i="8"/>
  <c r="N156" i="8" a="1"/>
  <c r="N156" i="8" s="1"/>
  <c r="O156" i="8" s="1"/>
  <c r="L156" i="8"/>
  <c r="H156" i="8"/>
  <c r="C156" i="8" a="1"/>
  <c r="C156" i="8" s="1"/>
  <c r="A156" i="8" a="1"/>
  <c r="A156" i="8" s="1"/>
  <c r="AT155" i="8" a="1"/>
  <c r="AT155" i="8" s="1"/>
  <c r="AS155" i="8"/>
  <c r="AP155" i="8"/>
  <c r="AM155" i="8"/>
  <c r="AJ155" i="8"/>
  <c r="AG155" i="8"/>
  <c r="AD155" i="8"/>
  <c r="X155" i="8" a="1"/>
  <c r="X155" i="8" s="1"/>
  <c r="Y155" i="8" s="1"/>
  <c r="V155" i="8"/>
  <c r="R155" i="8"/>
  <c r="N155" i="8" a="1"/>
  <c r="N155" i="8" s="1"/>
  <c r="O155" i="8" s="1"/>
  <c r="L155" i="8"/>
  <c r="H155" i="8"/>
  <c r="C155" i="8" a="1"/>
  <c r="C155" i="8" s="1"/>
  <c r="A155" i="8" a="1"/>
  <c r="A155" i="8" s="1"/>
  <c r="AT154" i="8" a="1"/>
  <c r="AT154" i="8" s="1"/>
  <c r="AS154" i="8"/>
  <c r="AP154" i="8"/>
  <c r="AM154" i="8"/>
  <c r="AJ154" i="8"/>
  <c r="AG154" i="8"/>
  <c r="AD154" i="8"/>
  <c r="X154" i="8" a="1"/>
  <c r="X154" i="8" s="1"/>
  <c r="Y154" i="8" s="1"/>
  <c r="V154" i="8"/>
  <c r="R154" i="8"/>
  <c r="N154" i="8" a="1"/>
  <c r="N154" i="8" s="1"/>
  <c r="O154" i="8" s="1"/>
  <c r="L154" i="8"/>
  <c r="H154" i="8"/>
  <c r="C154" i="8" a="1"/>
  <c r="C154" i="8" s="1"/>
  <c r="A154" i="8" a="1"/>
  <c r="A154" i="8" s="1"/>
  <c r="AT153" i="8" a="1"/>
  <c r="AT153" i="8" s="1"/>
  <c r="AS153" i="8"/>
  <c r="AP153" i="8"/>
  <c r="AM153" i="8"/>
  <c r="AJ153" i="8"/>
  <c r="AG153" i="8"/>
  <c r="AD153" i="8"/>
  <c r="X153" i="8" a="1"/>
  <c r="X153" i="8" s="1"/>
  <c r="Y153" i="8" s="1"/>
  <c r="V153" i="8"/>
  <c r="R153" i="8"/>
  <c r="N153" i="8" a="1"/>
  <c r="N153" i="8" s="1"/>
  <c r="O153" i="8" s="1"/>
  <c r="L153" i="8"/>
  <c r="H153" i="8"/>
  <c r="C153" i="8" a="1"/>
  <c r="C153" i="8" s="1"/>
  <c r="A153" i="8" a="1"/>
  <c r="A153" i="8" s="1"/>
  <c r="AT152" i="8" a="1"/>
  <c r="AT152" i="8" s="1"/>
  <c r="AS152" i="8"/>
  <c r="AP152" i="8"/>
  <c r="AM152" i="8"/>
  <c r="AJ152" i="8"/>
  <c r="AG152" i="8"/>
  <c r="AD152" i="8"/>
  <c r="X152" i="8" a="1"/>
  <c r="X152" i="8" s="1"/>
  <c r="Y152" i="8" s="1"/>
  <c r="V152" i="8"/>
  <c r="R152" i="8"/>
  <c r="N152" i="8" a="1"/>
  <c r="N152" i="8" s="1"/>
  <c r="O152" i="8" s="1"/>
  <c r="L152" i="8"/>
  <c r="H152" i="8"/>
  <c r="C152" i="8" a="1"/>
  <c r="C152" i="8" s="1"/>
  <c r="A152" i="8" a="1"/>
  <c r="A152" i="8" s="1"/>
  <c r="AT151" i="8" a="1"/>
  <c r="AT151" i="8" s="1"/>
  <c r="AS151" i="8"/>
  <c r="AP151" i="8"/>
  <c r="AM151" i="8"/>
  <c r="AJ151" i="8"/>
  <c r="AG151" i="8"/>
  <c r="AD151" i="8"/>
  <c r="X151" i="8" a="1"/>
  <c r="X151" i="8" s="1"/>
  <c r="Y151" i="8" s="1"/>
  <c r="AA151" i="8" s="1"/>
  <c r="R151" i="8"/>
  <c r="N151" i="8" a="1"/>
  <c r="N151" i="8" s="1"/>
  <c r="O151" i="8" s="1"/>
  <c r="L151" i="8"/>
  <c r="H151" i="8"/>
  <c r="C151" i="8" a="1"/>
  <c r="C151" i="8" s="1"/>
  <c r="A151" i="8" a="1"/>
  <c r="A151" i="8" s="1"/>
  <c r="AT150" i="8" a="1"/>
  <c r="AT150" i="8" s="1"/>
  <c r="AS150" i="8"/>
  <c r="AP150" i="8"/>
  <c r="AM150" i="8"/>
  <c r="AJ150" i="8"/>
  <c r="AG150" i="8"/>
  <c r="AD150" i="8"/>
  <c r="X150" i="8" a="1"/>
  <c r="X150" i="8" s="1"/>
  <c r="Y150" i="8" s="1"/>
  <c r="V150" i="8"/>
  <c r="R150" i="8"/>
  <c r="N150" i="8" a="1"/>
  <c r="N150" i="8" s="1"/>
  <c r="O150" i="8" s="1"/>
  <c r="L150" i="8"/>
  <c r="H150" i="8"/>
  <c r="C150" i="8" a="1"/>
  <c r="C150" i="8" s="1"/>
  <c r="A150" i="8" a="1"/>
  <c r="A150" i="8" s="1"/>
  <c r="AT149" i="8" a="1"/>
  <c r="AT149" i="8" s="1"/>
  <c r="AS149" i="8"/>
  <c r="AP149" i="8"/>
  <c r="AM149" i="8"/>
  <c r="AJ149" i="8"/>
  <c r="AG149" i="8"/>
  <c r="AD149" i="8"/>
  <c r="X149" i="8" a="1"/>
  <c r="X149" i="8" s="1"/>
  <c r="Y149" i="8" s="1"/>
  <c r="V149" i="8"/>
  <c r="R149" i="8"/>
  <c r="N149" i="8" a="1"/>
  <c r="N149" i="8" s="1"/>
  <c r="O149" i="8" s="1"/>
  <c r="L149" i="8"/>
  <c r="H149" i="8"/>
  <c r="C149" i="8" a="1"/>
  <c r="C149" i="8" s="1"/>
  <c r="A149" i="8" a="1"/>
  <c r="A149" i="8" s="1"/>
  <c r="AT148" i="8" a="1"/>
  <c r="AT148" i="8" s="1"/>
  <c r="AS148" i="8"/>
  <c r="AP148" i="8"/>
  <c r="AM148" i="8"/>
  <c r="AJ148" i="8"/>
  <c r="AG148" i="8"/>
  <c r="AD148" i="8"/>
  <c r="X148" i="8" a="1"/>
  <c r="X148" i="8" s="1"/>
  <c r="Y148" i="8" s="1"/>
  <c r="V148" i="8"/>
  <c r="R148" i="8"/>
  <c r="N148" i="8" a="1"/>
  <c r="N148" i="8" s="1"/>
  <c r="O148" i="8" s="1"/>
  <c r="L148" i="8"/>
  <c r="H148" i="8"/>
  <c r="C148" i="8" a="1"/>
  <c r="C148" i="8" s="1"/>
  <c r="A148" i="8" a="1"/>
  <c r="A148" i="8" s="1"/>
  <c r="AT147" i="8" a="1"/>
  <c r="AT147" i="8" s="1"/>
  <c r="AS147" i="8"/>
  <c r="AP147" i="8"/>
  <c r="AM147" i="8"/>
  <c r="AJ147" i="8"/>
  <c r="AG147" i="8"/>
  <c r="AD147" i="8"/>
  <c r="X147" i="8" a="1"/>
  <c r="X147" i="8" s="1"/>
  <c r="Y147" i="8" s="1"/>
  <c r="V147" i="8"/>
  <c r="R147" i="8"/>
  <c r="N147" i="8" a="1"/>
  <c r="N147" i="8" s="1"/>
  <c r="O147" i="8" s="1"/>
  <c r="L147" i="8"/>
  <c r="H147" i="8"/>
  <c r="C147" i="8" a="1"/>
  <c r="C147" i="8" s="1"/>
  <c r="A147" i="8" a="1"/>
  <c r="A147" i="8" s="1"/>
  <c r="AT146" i="8" a="1"/>
  <c r="AT146" i="8" s="1"/>
  <c r="AS146" i="8"/>
  <c r="AP146" i="8"/>
  <c r="AM146" i="8"/>
  <c r="AJ146" i="8"/>
  <c r="AG146" i="8"/>
  <c r="AD146" i="8"/>
  <c r="X146" i="8" a="1"/>
  <c r="X146" i="8" s="1"/>
  <c r="Y146" i="8" s="1"/>
  <c r="AA146" i="8" s="1"/>
  <c r="R146" i="8"/>
  <c r="N146" i="8" a="1"/>
  <c r="N146" i="8" s="1"/>
  <c r="O146" i="8" s="1"/>
  <c r="K146" i="8"/>
  <c r="L146" i="8" s="1"/>
  <c r="H146" i="8"/>
  <c r="C146" i="8" a="1"/>
  <c r="C146" i="8" s="1"/>
  <c r="A146" i="8" a="1"/>
  <c r="A146" i="8" s="1"/>
  <c r="AT145" i="8" a="1"/>
  <c r="AT145" i="8" s="1"/>
  <c r="AS145" i="8"/>
  <c r="AP145" i="8"/>
  <c r="AM145" i="8"/>
  <c r="AJ145" i="8"/>
  <c r="AG145" i="8"/>
  <c r="AD145" i="8"/>
  <c r="X145" i="8" a="1"/>
  <c r="X145" i="8" s="1"/>
  <c r="Y145" i="8" s="1"/>
  <c r="V145" i="8"/>
  <c r="R145" i="8"/>
  <c r="N145" i="8" a="1"/>
  <c r="N145" i="8" s="1"/>
  <c r="O145" i="8" s="1"/>
  <c r="L145" i="8"/>
  <c r="H145" i="8"/>
  <c r="C145" i="8" a="1"/>
  <c r="C145" i="8" s="1"/>
  <c r="A145" i="8" a="1"/>
  <c r="A145" i="8" s="1"/>
  <c r="AT144" i="8" a="1"/>
  <c r="AT144" i="8" s="1"/>
  <c r="AS144" i="8"/>
  <c r="AP144" i="8"/>
  <c r="AM144" i="8"/>
  <c r="AJ144" i="8"/>
  <c r="AG144" i="8"/>
  <c r="AD144" i="8"/>
  <c r="X144" i="8" a="1"/>
  <c r="X144" i="8" s="1"/>
  <c r="Y144" i="8" s="1"/>
  <c r="V144" i="8"/>
  <c r="R144" i="8"/>
  <c r="N144" i="8" a="1"/>
  <c r="N144" i="8" s="1"/>
  <c r="O144" i="8" s="1"/>
  <c r="L144" i="8"/>
  <c r="H144" i="8"/>
  <c r="C144" i="8" a="1"/>
  <c r="C144" i="8" s="1"/>
  <c r="A144" i="8" a="1"/>
  <c r="A144" i="8" s="1"/>
  <c r="AT143" i="8" a="1"/>
  <c r="AT143" i="8" s="1"/>
  <c r="AS143" i="8"/>
  <c r="AP143" i="8"/>
  <c r="AM143" i="8"/>
  <c r="AJ143" i="8"/>
  <c r="AG143" i="8"/>
  <c r="AD143" i="8"/>
  <c r="X143" i="8" a="1"/>
  <c r="X143" i="8" s="1"/>
  <c r="Y143" i="8" s="1"/>
  <c r="V143" i="8"/>
  <c r="R143" i="8"/>
  <c r="N143" i="8" a="1"/>
  <c r="N143" i="8" s="1"/>
  <c r="O143" i="8" s="1"/>
  <c r="L143" i="8"/>
  <c r="H143" i="8"/>
  <c r="C143" i="8" a="1"/>
  <c r="C143" i="8" s="1"/>
  <c r="A143" i="8" a="1"/>
  <c r="A143" i="8" s="1"/>
  <c r="AT142" i="8" a="1"/>
  <c r="AT142" i="8" s="1"/>
  <c r="AS142" i="8"/>
  <c r="AP142" i="8"/>
  <c r="AM142" i="8"/>
  <c r="AJ142" i="8"/>
  <c r="AG142" i="8"/>
  <c r="AD142" i="8"/>
  <c r="X142" i="8" a="1"/>
  <c r="X142" i="8" s="1"/>
  <c r="Y142" i="8" s="1"/>
  <c r="V142" i="8"/>
  <c r="R142" i="8"/>
  <c r="N142" i="8" a="1"/>
  <c r="N142" i="8" s="1"/>
  <c r="O142" i="8" s="1"/>
  <c r="L142" i="8"/>
  <c r="H142" i="8"/>
  <c r="C142" i="8" a="1"/>
  <c r="C142" i="8" s="1"/>
  <c r="A142" i="8" a="1"/>
  <c r="A142" i="8" s="1"/>
  <c r="AT141" i="8" a="1"/>
  <c r="AT141" i="8" s="1"/>
  <c r="AS141" i="8"/>
  <c r="AP141" i="8"/>
  <c r="AM141" i="8"/>
  <c r="AJ141" i="8"/>
  <c r="AG141" i="8"/>
  <c r="AD141" i="8"/>
  <c r="X141" i="8" a="1"/>
  <c r="X141" i="8" s="1"/>
  <c r="Y141" i="8" s="1"/>
  <c r="V141" i="8"/>
  <c r="R141" i="8"/>
  <c r="N141" i="8" a="1"/>
  <c r="N141" i="8" s="1"/>
  <c r="O141" i="8" s="1"/>
  <c r="L141" i="8"/>
  <c r="H141" i="8"/>
  <c r="C141" i="8" a="1"/>
  <c r="C141" i="8" s="1"/>
  <c r="A141" i="8" a="1"/>
  <c r="A141" i="8" s="1"/>
  <c r="AT140" i="8" a="1"/>
  <c r="AT140" i="8" s="1"/>
  <c r="AS140" i="8"/>
  <c r="AP140" i="8"/>
  <c r="AM140" i="8"/>
  <c r="AJ140" i="8"/>
  <c r="AG140" i="8"/>
  <c r="AD140" i="8"/>
  <c r="X140" i="8" a="1"/>
  <c r="X140" i="8" s="1"/>
  <c r="Y140" i="8" s="1"/>
  <c r="AA140" i="8" s="1"/>
  <c r="R140" i="8"/>
  <c r="N140" i="8" a="1"/>
  <c r="N140" i="8" s="1"/>
  <c r="O140" i="8" s="1"/>
  <c r="L140" i="8"/>
  <c r="H140" i="8"/>
  <c r="C140" i="8" a="1"/>
  <c r="C140" i="8" s="1"/>
  <c r="A140" i="8" a="1"/>
  <c r="A140" i="8" s="1"/>
  <c r="AT139" i="8" a="1"/>
  <c r="AT139" i="8" s="1"/>
  <c r="AS139" i="8"/>
  <c r="AP139" i="8"/>
  <c r="AM139" i="8"/>
  <c r="AJ139" i="8"/>
  <c r="AG139" i="8"/>
  <c r="AD139" i="8"/>
  <c r="X139" i="8" a="1"/>
  <c r="X139" i="8" s="1"/>
  <c r="Y139" i="8" s="1"/>
  <c r="V139" i="8"/>
  <c r="R139" i="8"/>
  <c r="N139" i="8" a="1"/>
  <c r="N139" i="8" s="1"/>
  <c r="O139" i="8" s="1"/>
  <c r="L139" i="8"/>
  <c r="H139" i="8"/>
  <c r="C139" i="8" a="1"/>
  <c r="C139" i="8" s="1"/>
  <c r="A139" i="8" a="1"/>
  <c r="A139" i="8" s="1"/>
  <c r="AT138" i="8" a="1"/>
  <c r="AT138" i="8" s="1"/>
  <c r="AS138" i="8"/>
  <c r="AP138" i="8"/>
  <c r="AM138" i="8"/>
  <c r="AJ138" i="8"/>
  <c r="AG138" i="8"/>
  <c r="AD138" i="8"/>
  <c r="X138" i="8" a="1"/>
  <c r="X138" i="8" s="1"/>
  <c r="Y138" i="8" s="1"/>
  <c r="V138" i="8"/>
  <c r="R138" i="8"/>
  <c r="N138" i="8" a="1"/>
  <c r="N138" i="8" s="1"/>
  <c r="O138" i="8" s="1"/>
  <c r="L138" i="8"/>
  <c r="H138" i="8"/>
  <c r="C138" i="8" a="1"/>
  <c r="C138" i="8" s="1"/>
  <c r="A138" i="8" a="1"/>
  <c r="A138" i="8" s="1"/>
  <c r="AT137" i="8" a="1"/>
  <c r="AT137" i="8" s="1"/>
  <c r="AS137" i="8"/>
  <c r="AP137" i="8"/>
  <c r="AM137" i="8"/>
  <c r="AJ137" i="8"/>
  <c r="AG137" i="8"/>
  <c r="AD137" i="8"/>
  <c r="X137" i="8" a="1"/>
  <c r="X137" i="8" s="1"/>
  <c r="Y137" i="8" s="1"/>
  <c r="V137" i="8"/>
  <c r="R137" i="8"/>
  <c r="N137" i="8" a="1"/>
  <c r="N137" i="8" s="1"/>
  <c r="O137" i="8" s="1"/>
  <c r="L137" i="8"/>
  <c r="H137" i="8"/>
  <c r="C137" i="8" a="1"/>
  <c r="C137" i="8" s="1"/>
  <c r="A137" i="8" a="1"/>
  <c r="A137" i="8" s="1"/>
  <c r="AT136" i="8" a="1"/>
  <c r="AT136" i="8" s="1"/>
  <c r="AS136" i="8"/>
  <c r="AP136" i="8"/>
  <c r="AM136" i="8"/>
  <c r="AJ136" i="8"/>
  <c r="AG136" i="8"/>
  <c r="AD136" i="8"/>
  <c r="X136" i="8" a="1"/>
  <c r="X136" i="8" s="1"/>
  <c r="Y136" i="8" s="1"/>
  <c r="V136" i="8"/>
  <c r="R136" i="8"/>
  <c r="N136" i="8" a="1"/>
  <c r="N136" i="8" s="1"/>
  <c r="O136" i="8" s="1"/>
  <c r="L136" i="8"/>
  <c r="H136" i="8"/>
  <c r="C136" i="8" a="1"/>
  <c r="C136" i="8" s="1"/>
  <c r="A136" i="8" a="1"/>
  <c r="A136" i="8" s="1"/>
  <c r="AT135" i="8" a="1"/>
  <c r="AT135" i="8" s="1"/>
  <c r="AS135" i="8"/>
  <c r="AP135" i="8"/>
  <c r="AM135" i="8"/>
  <c r="AJ135" i="8"/>
  <c r="AG135" i="8"/>
  <c r="AD135" i="8"/>
  <c r="X135" i="8" a="1"/>
  <c r="X135" i="8" s="1"/>
  <c r="Y135" i="8" s="1"/>
  <c r="AA135" i="8" s="1"/>
  <c r="R135" i="8"/>
  <c r="N135" i="8" a="1"/>
  <c r="N135" i="8" s="1"/>
  <c r="O135" i="8" s="1"/>
  <c r="L135" i="8"/>
  <c r="H135" i="8"/>
  <c r="C135" i="8" a="1"/>
  <c r="C135" i="8" s="1"/>
  <c r="A135" i="8" a="1"/>
  <c r="A135" i="8" s="1"/>
  <c r="AT134" i="8" a="1"/>
  <c r="AT134" i="8" s="1"/>
  <c r="AS134" i="8"/>
  <c r="AP134" i="8"/>
  <c r="AM134" i="8"/>
  <c r="AJ134" i="8"/>
  <c r="AG134" i="8"/>
  <c r="AD134" i="8"/>
  <c r="X134" i="8" a="1"/>
  <c r="X134" i="8" s="1"/>
  <c r="Y134" i="8" s="1"/>
  <c r="V134" i="8"/>
  <c r="R134" i="8"/>
  <c r="N134" i="8" a="1"/>
  <c r="N134" i="8" s="1"/>
  <c r="O134" i="8" s="1"/>
  <c r="L134" i="8"/>
  <c r="H134" i="8"/>
  <c r="C134" i="8" a="1"/>
  <c r="C134" i="8" s="1"/>
  <c r="A134" i="8" a="1"/>
  <c r="A134" i="8" s="1"/>
  <c r="AT133" i="8" a="1"/>
  <c r="AT133" i="8" s="1"/>
  <c r="AS133" i="8"/>
  <c r="AP133" i="8"/>
  <c r="AM133" i="8"/>
  <c r="AJ133" i="8"/>
  <c r="AG133" i="8"/>
  <c r="AD133" i="8"/>
  <c r="X133" i="8" a="1"/>
  <c r="X133" i="8" s="1"/>
  <c r="Y133" i="8" s="1"/>
  <c r="AA133" i="8" s="1"/>
  <c r="R133" i="8"/>
  <c r="N133" i="8" a="1"/>
  <c r="N133" i="8" s="1"/>
  <c r="O133" i="8" s="1"/>
  <c r="L133" i="8"/>
  <c r="H133" i="8"/>
  <c r="C133" i="8" a="1"/>
  <c r="C133" i="8" s="1"/>
  <c r="A133" i="8" a="1"/>
  <c r="A133" i="8" s="1"/>
  <c r="AT132" i="8" a="1"/>
  <c r="AT132" i="8" s="1"/>
  <c r="AS132" i="8"/>
  <c r="AP132" i="8"/>
  <c r="AM132" i="8"/>
  <c r="AJ132" i="8"/>
  <c r="AG132" i="8"/>
  <c r="AD132" i="8"/>
  <c r="X132" i="8" a="1"/>
  <c r="X132" i="8" s="1"/>
  <c r="Y132" i="8" s="1"/>
  <c r="AA132" i="8" s="1"/>
  <c r="R132" i="8"/>
  <c r="N132" i="8" a="1"/>
  <c r="N132" i="8" s="1"/>
  <c r="O132" i="8" s="1"/>
  <c r="L132" i="8"/>
  <c r="H132" i="8"/>
  <c r="C132" i="8" a="1"/>
  <c r="C132" i="8" s="1"/>
  <c r="A132" i="8" a="1"/>
  <c r="A132" i="8" s="1"/>
  <c r="AT131" i="8" a="1"/>
  <c r="AT131" i="8" s="1"/>
  <c r="AS131" i="8"/>
  <c r="AP131" i="8"/>
  <c r="AM131" i="8"/>
  <c r="AJ131" i="8"/>
  <c r="AG131" i="8"/>
  <c r="AD131" i="8"/>
  <c r="X131" i="8" a="1"/>
  <c r="X131" i="8" s="1"/>
  <c r="Y131" i="8" s="1"/>
  <c r="V131" i="8"/>
  <c r="R131" i="8"/>
  <c r="N131" i="8" a="1"/>
  <c r="N131" i="8" s="1"/>
  <c r="O131" i="8" s="1"/>
  <c r="L131" i="8"/>
  <c r="H131" i="8"/>
  <c r="C131" i="8" a="1"/>
  <c r="C131" i="8" s="1"/>
  <c r="A131" i="8" a="1"/>
  <c r="A131" i="8" s="1"/>
  <c r="AT130" i="8" a="1"/>
  <c r="AT130" i="8" s="1"/>
  <c r="AS130" i="8"/>
  <c r="AP130" i="8"/>
  <c r="AM130" i="8"/>
  <c r="AJ130" i="8"/>
  <c r="AG130" i="8"/>
  <c r="AD130" i="8"/>
  <c r="X130" i="8" a="1"/>
  <c r="X130" i="8" s="1"/>
  <c r="Y130" i="8" s="1"/>
  <c r="V130" i="8"/>
  <c r="R130" i="8"/>
  <c r="N130" i="8" a="1"/>
  <c r="N130" i="8" s="1"/>
  <c r="O130" i="8" s="1"/>
  <c r="L130" i="8"/>
  <c r="H130" i="8"/>
  <c r="C130" i="8" a="1"/>
  <c r="C130" i="8" s="1"/>
  <c r="A130" i="8" a="1"/>
  <c r="A130" i="8" s="1"/>
  <c r="AT129" i="8" a="1"/>
  <c r="AT129" i="8" s="1"/>
  <c r="AS129" i="8"/>
  <c r="AP129" i="8"/>
  <c r="AM129" i="8"/>
  <c r="AJ129" i="8"/>
  <c r="AG129" i="8"/>
  <c r="AD129" i="8"/>
  <c r="X129" i="8" a="1"/>
  <c r="X129" i="8" s="1"/>
  <c r="Y129" i="8" s="1"/>
  <c r="V129" i="8"/>
  <c r="R129" i="8"/>
  <c r="N129" i="8" a="1"/>
  <c r="N129" i="8" s="1"/>
  <c r="O129" i="8" s="1"/>
  <c r="L129" i="8"/>
  <c r="H129" i="8"/>
  <c r="C129" i="8" a="1"/>
  <c r="C129" i="8" s="1"/>
  <c r="A129" i="8" a="1"/>
  <c r="A129" i="8" s="1"/>
  <c r="AT128" i="8" a="1"/>
  <c r="AT128" i="8" s="1"/>
  <c r="AS128" i="8"/>
  <c r="AP128" i="8"/>
  <c r="AM128" i="8"/>
  <c r="AJ128" i="8"/>
  <c r="AG128" i="8"/>
  <c r="AD128" i="8"/>
  <c r="X128" i="8" a="1"/>
  <c r="X128" i="8" s="1"/>
  <c r="Y128" i="8" s="1"/>
  <c r="V128" i="8"/>
  <c r="R128" i="8"/>
  <c r="N128" i="8" a="1"/>
  <c r="N128" i="8" s="1"/>
  <c r="O128" i="8" s="1"/>
  <c r="L128" i="8"/>
  <c r="H128" i="8"/>
  <c r="C128" i="8" a="1"/>
  <c r="C128" i="8" s="1"/>
  <c r="A128" i="8" a="1"/>
  <c r="A128" i="8" s="1"/>
  <c r="AT127" i="8" a="1"/>
  <c r="AT127" i="8" s="1"/>
  <c r="AS127" i="8"/>
  <c r="AP127" i="8"/>
  <c r="AM127" i="8"/>
  <c r="AJ127" i="8"/>
  <c r="AG127" i="8"/>
  <c r="AD127" i="8"/>
  <c r="X127" i="8" a="1"/>
  <c r="X127" i="8" s="1"/>
  <c r="Y127" i="8" s="1"/>
  <c r="V127" i="8"/>
  <c r="R127" i="8"/>
  <c r="N127" i="8" a="1"/>
  <c r="N127" i="8" s="1"/>
  <c r="O127" i="8" s="1"/>
  <c r="L127" i="8"/>
  <c r="H127" i="8"/>
  <c r="C127" i="8" a="1"/>
  <c r="C127" i="8" s="1"/>
  <c r="A127" i="8" a="1"/>
  <c r="A127" i="8" s="1"/>
  <c r="AT126" i="8" a="1"/>
  <c r="AT126" i="8" s="1"/>
  <c r="AS126" i="8"/>
  <c r="AP126" i="8"/>
  <c r="AM126" i="8"/>
  <c r="AJ126" i="8"/>
  <c r="AG126" i="8"/>
  <c r="AD126" i="8"/>
  <c r="X126" i="8" a="1"/>
  <c r="X126" i="8" s="1"/>
  <c r="Y126" i="8" s="1"/>
  <c r="V126" i="8"/>
  <c r="R126" i="8"/>
  <c r="N126" i="8" a="1"/>
  <c r="N126" i="8" s="1"/>
  <c r="O126" i="8" s="1"/>
  <c r="L126" i="8"/>
  <c r="H126" i="8"/>
  <c r="C126" i="8" a="1"/>
  <c r="C126" i="8" s="1"/>
  <c r="A126" i="8" a="1"/>
  <c r="A126" i="8" s="1"/>
  <c r="AT125" i="8" a="1"/>
  <c r="AT125" i="8" s="1"/>
  <c r="AS125" i="8"/>
  <c r="AP125" i="8"/>
  <c r="AM125" i="8"/>
  <c r="AJ125" i="8"/>
  <c r="AG125" i="8"/>
  <c r="AD125" i="8"/>
  <c r="X125" i="8" a="1"/>
  <c r="X125" i="8" s="1"/>
  <c r="D125" i="8" s="1"/>
  <c r="T125" i="8" a="1"/>
  <c r="T125" i="8" s="1"/>
  <c r="W125" i="8" s="1"/>
  <c r="R125" i="8"/>
  <c r="N125" i="8" a="1"/>
  <c r="N125" i="8" s="1"/>
  <c r="O125" i="8" s="1"/>
  <c r="L125" i="8"/>
  <c r="H125" i="8"/>
  <c r="C125" i="8" a="1"/>
  <c r="C125" i="8" s="1"/>
  <c r="A125" i="8" a="1"/>
  <c r="A125" i="8" s="1"/>
  <c r="AT124" i="8" a="1"/>
  <c r="AT124" i="8" s="1"/>
  <c r="AS124" i="8"/>
  <c r="AP124" i="8"/>
  <c r="AM124" i="8"/>
  <c r="AJ124" i="8"/>
  <c r="AG124" i="8"/>
  <c r="AD124" i="8"/>
  <c r="X124" i="8" a="1"/>
  <c r="X124" i="8" s="1"/>
  <c r="Y124" i="8" s="1"/>
  <c r="V124" i="8"/>
  <c r="R124" i="8"/>
  <c r="N124" i="8" a="1"/>
  <c r="N124" i="8" s="1"/>
  <c r="O124" i="8" s="1"/>
  <c r="L124" i="8"/>
  <c r="H124" i="8"/>
  <c r="C124" i="8" a="1"/>
  <c r="C124" i="8" s="1"/>
  <c r="A124" i="8" a="1"/>
  <c r="A124" i="8" s="1"/>
  <c r="AT123" i="8" a="1"/>
  <c r="AT123" i="8" s="1"/>
  <c r="AS123" i="8"/>
  <c r="AP123" i="8"/>
  <c r="AM123" i="8"/>
  <c r="AJ123" i="8"/>
  <c r="AG123" i="8"/>
  <c r="AD123" i="8"/>
  <c r="X123" i="8" a="1"/>
  <c r="X123" i="8" s="1"/>
  <c r="Y123" i="8" s="1"/>
  <c r="V123" i="8"/>
  <c r="R123" i="8"/>
  <c r="N123" i="8" a="1"/>
  <c r="N123" i="8" s="1"/>
  <c r="O123" i="8" s="1"/>
  <c r="L123" i="8"/>
  <c r="H123" i="8"/>
  <c r="C123" i="8" a="1"/>
  <c r="C123" i="8" s="1"/>
  <c r="A123" i="8" a="1"/>
  <c r="A123" i="8" s="1"/>
  <c r="AT122" i="8" a="1"/>
  <c r="AT122" i="8" s="1"/>
  <c r="AS122" i="8"/>
  <c r="AP122" i="8"/>
  <c r="AM122" i="8"/>
  <c r="AJ122" i="8"/>
  <c r="AG122" i="8"/>
  <c r="AD122" i="8"/>
  <c r="X122" i="8" a="1"/>
  <c r="X122" i="8" s="1"/>
  <c r="Y122" i="8" s="1"/>
  <c r="V122" i="8"/>
  <c r="R122" i="8"/>
  <c r="N122" i="8" a="1"/>
  <c r="N122" i="8" s="1"/>
  <c r="O122" i="8" s="1"/>
  <c r="L122" i="8"/>
  <c r="H122" i="8"/>
  <c r="C122" i="8" a="1"/>
  <c r="C122" i="8" s="1"/>
  <c r="A122" i="8" a="1"/>
  <c r="A122" i="8" s="1"/>
  <c r="AT121" i="8" a="1"/>
  <c r="AT121" i="8" s="1"/>
  <c r="AS121" i="8"/>
  <c r="AP121" i="8"/>
  <c r="AM121" i="8"/>
  <c r="AJ121" i="8"/>
  <c r="AG121" i="8"/>
  <c r="AD121" i="8"/>
  <c r="X121" i="8" a="1"/>
  <c r="X121" i="8" s="1"/>
  <c r="Y121" i="8" s="1"/>
  <c r="AA121" i="8" s="1"/>
  <c r="R121" i="8"/>
  <c r="N121" i="8" a="1"/>
  <c r="N121" i="8" s="1"/>
  <c r="O121" i="8" s="1"/>
  <c r="L121" i="8"/>
  <c r="H121" i="8"/>
  <c r="C121" i="8" a="1"/>
  <c r="C121" i="8" s="1"/>
  <c r="A121" i="8" a="1"/>
  <c r="A121" i="8" s="1"/>
  <c r="AT120" i="8" a="1"/>
  <c r="AT120" i="8" s="1"/>
  <c r="AS120" i="8"/>
  <c r="AP120" i="8"/>
  <c r="AM120" i="8"/>
  <c r="AJ120" i="8"/>
  <c r="AG120" i="8"/>
  <c r="AD120" i="8"/>
  <c r="X120" i="8" a="1"/>
  <c r="X120" i="8" s="1"/>
  <c r="Y120" i="8" s="1"/>
  <c r="AA120" i="8" s="1"/>
  <c r="R120" i="8"/>
  <c r="N120" i="8" a="1"/>
  <c r="N120" i="8" s="1"/>
  <c r="O120" i="8" s="1"/>
  <c r="L120" i="8"/>
  <c r="H120" i="8"/>
  <c r="C120" i="8" a="1"/>
  <c r="C120" i="8" s="1"/>
  <c r="A120" i="8" a="1"/>
  <c r="A120" i="8" s="1"/>
  <c r="AT119" i="8" a="1"/>
  <c r="AT119" i="8" s="1"/>
  <c r="AS119" i="8"/>
  <c r="AP119" i="8"/>
  <c r="AM119" i="8"/>
  <c r="AJ119" i="8"/>
  <c r="AG119" i="8"/>
  <c r="AD119" i="8"/>
  <c r="X119" i="8" a="1"/>
  <c r="X119" i="8" s="1"/>
  <c r="Y119" i="8" s="1"/>
  <c r="AA119" i="8" s="1"/>
  <c r="R119" i="8"/>
  <c r="N119" i="8" a="1"/>
  <c r="N119" i="8" s="1"/>
  <c r="O119" i="8" s="1"/>
  <c r="L119" i="8"/>
  <c r="H119" i="8"/>
  <c r="C119" i="8" a="1"/>
  <c r="C119" i="8" s="1"/>
  <c r="A119" i="8" a="1"/>
  <c r="A119" i="8" s="1"/>
  <c r="AT118" i="8" a="1"/>
  <c r="AT118" i="8" s="1"/>
  <c r="AS118" i="8"/>
  <c r="AP118" i="8"/>
  <c r="AM118" i="8"/>
  <c r="AJ118" i="8"/>
  <c r="AG118" i="8"/>
  <c r="AD118" i="8"/>
  <c r="X118" i="8" a="1"/>
  <c r="X118" i="8" s="1"/>
  <c r="Y118" i="8" s="1"/>
  <c r="AA118" i="8" s="1"/>
  <c r="R118" i="8"/>
  <c r="N118" i="8" a="1"/>
  <c r="N118" i="8" s="1"/>
  <c r="O118" i="8" s="1"/>
  <c r="L118" i="8"/>
  <c r="H118" i="8"/>
  <c r="C118" i="8" a="1"/>
  <c r="C118" i="8" s="1"/>
  <c r="A118" i="8" a="1"/>
  <c r="A118" i="8" s="1"/>
  <c r="AT117" i="8" a="1"/>
  <c r="AT117" i="8" s="1"/>
  <c r="AS117" i="8"/>
  <c r="AP117" i="8"/>
  <c r="AM117" i="8"/>
  <c r="AJ117" i="8"/>
  <c r="AG117" i="8"/>
  <c r="AD117" i="8"/>
  <c r="X117" i="8" a="1"/>
  <c r="X117" i="8" s="1"/>
  <c r="Y117" i="8" s="1"/>
  <c r="AA117" i="8" s="1"/>
  <c r="R117" i="8"/>
  <c r="N117" i="8" a="1"/>
  <c r="N117" i="8" s="1"/>
  <c r="O117" i="8" s="1"/>
  <c r="L117" i="8"/>
  <c r="H117" i="8"/>
  <c r="C117" i="8" a="1"/>
  <c r="C117" i="8" s="1"/>
  <c r="A117" i="8" a="1"/>
  <c r="A117" i="8" s="1"/>
  <c r="AT116" i="8" a="1"/>
  <c r="AT116" i="8" s="1"/>
  <c r="AS116" i="8"/>
  <c r="AP116" i="8"/>
  <c r="AM116" i="8"/>
  <c r="AJ116" i="8"/>
  <c r="AG116" i="8"/>
  <c r="AD116" i="8"/>
  <c r="X116" i="8" a="1"/>
  <c r="X116" i="8" s="1"/>
  <c r="Y116" i="8" s="1"/>
  <c r="AA116" i="8" s="1"/>
  <c r="R116" i="8"/>
  <c r="N116" i="8" a="1"/>
  <c r="N116" i="8" s="1"/>
  <c r="O116" i="8" s="1"/>
  <c r="L116" i="8"/>
  <c r="H116" i="8"/>
  <c r="C116" i="8" a="1"/>
  <c r="C116" i="8" s="1"/>
  <c r="A116" i="8" a="1"/>
  <c r="A116" i="8" s="1"/>
  <c r="AT115" i="8" a="1"/>
  <c r="AT115" i="8" s="1"/>
  <c r="AS115" i="8"/>
  <c r="AP115" i="8"/>
  <c r="AM115" i="8"/>
  <c r="AJ115" i="8"/>
  <c r="AG115" i="8"/>
  <c r="AD115" i="8"/>
  <c r="X115" i="8" a="1"/>
  <c r="X115" i="8" s="1"/>
  <c r="Y115" i="8" s="1"/>
  <c r="AA115" i="8" s="1"/>
  <c r="R115" i="8"/>
  <c r="N115" i="8" a="1"/>
  <c r="N115" i="8" s="1"/>
  <c r="O115" i="8" s="1"/>
  <c r="L115" i="8"/>
  <c r="H115" i="8"/>
  <c r="C115" i="8" a="1"/>
  <c r="C115" i="8" s="1"/>
  <c r="A115" i="8" a="1"/>
  <c r="A115" i="8" s="1"/>
  <c r="AT114" i="8" a="1"/>
  <c r="AT114" i="8" s="1"/>
  <c r="AS114" i="8"/>
  <c r="AP114" i="8"/>
  <c r="AM114" i="8"/>
  <c r="AJ114" i="8"/>
  <c r="AG114" i="8"/>
  <c r="AD114" i="8"/>
  <c r="X114" i="8" a="1"/>
  <c r="X114" i="8" s="1"/>
  <c r="Y114" i="8" s="1"/>
  <c r="AA114" i="8" s="1"/>
  <c r="R114" i="8"/>
  <c r="N114" i="8" a="1"/>
  <c r="N114" i="8" s="1"/>
  <c r="O114" i="8" s="1"/>
  <c r="L114" i="8"/>
  <c r="H114" i="8"/>
  <c r="C114" i="8" a="1"/>
  <c r="C114" i="8" s="1"/>
  <c r="A114" i="8" a="1"/>
  <c r="A114" i="8" s="1"/>
  <c r="AT113" i="8" a="1"/>
  <c r="AT113" i="8" s="1"/>
  <c r="AS113" i="8"/>
  <c r="AP113" i="8"/>
  <c r="AM113" i="8"/>
  <c r="AJ113" i="8"/>
  <c r="AG113" i="8"/>
  <c r="AD113" i="8"/>
  <c r="X113" i="8" a="1"/>
  <c r="X113" i="8" s="1"/>
  <c r="Y113" i="8" s="1"/>
  <c r="AA113" i="8" s="1"/>
  <c r="R113" i="8"/>
  <c r="N113" i="8" a="1"/>
  <c r="N113" i="8" s="1"/>
  <c r="O113" i="8" s="1"/>
  <c r="L113" i="8"/>
  <c r="H113" i="8"/>
  <c r="C113" i="8" a="1"/>
  <c r="C113" i="8" s="1"/>
  <c r="A113" i="8" a="1"/>
  <c r="A113" i="8" s="1"/>
  <c r="AT112" i="8" a="1"/>
  <c r="AT112" i="8" s="1"/>
  <c r="AS112" i="8"/>
  <c r="AP112" i="8"/>
  <c r="AM112" i="8"/>
  <c r="AJ112" i="8"/>
  <c r="AG112" i="8"/>
  <c r="AD112" i="8"/>
  <c r="X112" i="8" a="1"/>
  <c r="X112" i="8" s="1"/>
  <c r="Y112" i="8" s="1"/>
  <c r="V112" i="8"/>
  <c r="R112" i="8"/>
  <c r="N112" i="8" a="1"/>
  <c r="N112" i="8" s="1"/>
  <c r="O112" i="8" s="1"/>
  <c r="L112" i="8"/>
  <c r="H112" i="8"/>
  <c r="C112" i="8" a="1"/>
  <c r="C112" i="8" s="1"/>
  <c r="A112" i="8" a="1"/>
  <c r="A112" i="8" s="1"/>
  <c r="AT111" i="8" a="1"/>
  <c r="AT111" i="8" s="1"/>
  <c r="AS111" i="8"/>
  <c r="AP111" i="8"/>
  <c r="AM111" i="8"/>
  <c r="AJ111" i="8"/>
  <c r="AG111" i="8"/>
  <c r="AD111" i="8"/>
  <c r="X111" i="8" a="1"/>
  <c r="X111" i="8" s="1"/>
  <c r="Y111" i="8" s="1"/>
  <c r="AA111" i="8" s="1"/>
  <c r="R111" i="8"/>
  <c r="N111" i="8" a="1"/>
  <c r="N111" i="8" s="1"/>
  <c r="O111" i="8" s="1"/>
  <c r="L111" i="8"/>
  <c r="H111" i="8"/>
  <c r="C111" i="8" a="1"/>
  <c r="C111" i="8" s="1"/>
  <c r="A111" i="8" a="1"/>
  <c r="A111" i="8" s="1"/>
  <c r="AT110" i="8" a="1"/>
  <c r="AT110" i="8" s="1"/>
  <c r="AS110" i="8"/>
  <c r="AP110" i="8"/>
  <c r="AM110" i="8"/>
  <c r="AJ110" i="8"/>
  <c r="AG110" i="8"/>
  <c r="AD110" i="8"/>
  <c r="X110" i="8" a="1"/>
  <c r="X110" i="8" s="1"/>
  <c r="Y110" i="8" s="1"/>
  <c r="AA110" i="8" s="1"/>
  <c r="R110" i="8"/>
  <c r="N110" i="8" a="1"/>
  <c r="N110" i="8" s="1"/>
  <c r="O110" i="8" s="1"/>
  <c r="L110" i="8"/>
  <c r="H110" i="8"/>
  <c r="C110" i="8" a="1"/>
  <c r="C110" i="8" s="1"/>
  <c r="A110" i="8" a="1"/>
  <c r="A110" i="8" s="1"/>
  <c r="AT109" i="8" a="1"/>
  <c r="AT109" i="8" s="1"/>
  <c r="AS109" i="8"/>
  <c r="AP109" i="8"/>
  <c r="AM109" i="8"/>
  <c r="AJ109" i="8"/>
  <c r="AG109" i="8"/>
  <c r="AD109" i="8"/>
  <c r="X109" i="8" a="1"/>
  <c r="X109" i="8" s="1"/>
  <c r="Y109" i="8" s="1"/>
  <c r="AA109" i="8" s="1"/>
  <c r="R109" i="8"/>
  <c r="N109" i="8" a="1"/>
  <c r="N109" i="8" s="1"/>
  <c r="O109" i="8" s="1"/>
  <c r="L109" i="8"/>
  <c r="H109" i="8"/>
  <c r="C109" i="8" a="1"/>
  <c r="C109" i="8" s="1"/>
  <c r="A109" i="8" a="1"/>
  <c r="A109" i="8" s="1"/>
  <c r="AT108" i="8" a="1"/>
  <c r="AT108" i="8" s="1"/>
  <c r="AS108" i="8"/>
  <c r="AP108" i="8"/>
  <c r="AM108" i="8"/>
  <c r="AJ108" i="8"/>
  <c r="AG108" i="8"/>
  <c r="AD108" i="8"/>
  <c r="X108" i="8" a="1"/>
  <c r="X108" i="8" s="1"/>
  <c r="Y108" i="8" s="1"/>
  <c r="AA108" i="8" s="1"/>
  <c r="R108" i="8"/>
  <c r="N108" i="8" a="1"/>
  <c r="N108" i="8" s="1"/>
  <c r="O108" i="8" s="1"/>
  <c r="L108" i="8"/>
  <c r="H108" i="8"/>
  <c r="C108" i="8" a="1"/>
  <c r="C108" i="8" s="1"/>
  <c r="A108" i="8" a="1"/>
  <c r="A108" i="8" s="1"/>
  <c r="AT107" i="8" a="1"/>
  <c r="AT107" i="8" s="1"/>
  <c r="AS107" i="8"/>
  <c r="AP107" i="8"/>
  <c r="AM107" i="8"/>
  <c r="AJ107" i="8"/>
  <c r="AG107" i="8"/>
  <c r="AD107" i="8"/>
  <c r="X107" i="8" a="1"/>
  <c r="X107" i="8" s="1"/>
  <c r="Y107" i="8" s="1"/>
  <c r="AA107" i="8" s="1"/>
  <c r="R107" i="8"/>
  <c r="N107" i="8" a="1"/>
  <c r="N107" i="8" s="1"/>
  <c r="O107" i="8" s="1"/>
  <c r="L107" i="8"/>
  <c r="H107" i="8"/>
  <c r="C107" i="8" a="1"/>
  <c r="C107" i="8" s="1"/>
  <c r="A107" i="8" a="1"/>
  <c r="A107" i="8" s="1"/>
  <c r="AT106" i="8" a="1"/>
  <c r="AT106" i="8" s="1"/>
  <c r="AS106" i="8"/>
  <c r="AP106" i="8"/>
  <c r="AM106" i="8"/>
  <c r="AJ106" i="8"/>
  <c r="AG106" i="8"/>
  <c r="AD106" i="8"/>
  <c r="X106" i="8" a="1"/>
  <c r="X106" i="8" s="1"/>
  <c r="Y106" i="8" s="1"/>
  <c r="AA106" i="8" s="1"/>
  <c r="R106" i="8"/>
  <c r="N106" i="8" a="1"/>
  <c r="N106" i="8" s="1"/>
  <c r="O106" i="8" s="1"/>
  <c r="L106" i="8"/>
  <c r="H106" i="8"/>
  <c r="C106" i="8" a="1"/>
  <c r="C106" i="8" s="1"/>
  <c r="A106" i="8" a="1"/>
  <c r="A106" i="8" s="1"/>
  <c r="AT105" i="8" a="1"/>
  <c r="AT105" i="8" s="1"/>
  <c r="AS105" i="8"/>
  <c r="AP105" i="8"/>
  <c r="AM105" i="8"/>
  <c r="AJ105" i="8"/>
  <c r="AG105" i="8"/>
  <c r="AD105" i="8"/>
  <c r="X105" i="8" a="1"/>
  <c r="X105" i="8" s="1"/>
  <c r="Y105" i="8" s="1"/>
  <c r="AA105" i="8" s="1"/>
  <c r="R105" i="8"/>
  <c r="N105" i="8" a="1"/>
  <c r="N105" i="8" s="1"/>
  <c r="O105" i="8" s="1"/>
  <c r="L105" i="8"/>
  <c r="H105" i="8"/>
  <c r="C105" i="8" a="1"/>
  <c r="C105" i="8" s="1"/>
  <c r="A105" i="8" a="1"/>
  <c r="A105" i="8" s="1"/>
  <c r="AT104" i="8" a="1"/>
  <c r="AT104" i="8" s="1"/>
  <c r="AS104" i="8"/>
  <c r="AP104" i="8"/>
  <c r="AM104" i="8"/>
  <c r="AJ104" i="8"/>
  <c r="AG104" i="8"/>
  <c r="AD104" i="8"/>
  <c r="X104" i="8" a="1"/>
  <c r="X104" i="8" s="1"/>
  <c r="Y104" i="8" s="1"/>
  <c r="AA104" i="8" s="1"/>
  <c r="R104" i="8"/>
  <c r="N104" i="8" a="1"/>
  <c r="N104" i="8" s="1"/>
  <c r="O104" i="8" s="1"/>
  <c r="L104" i="8"/>
  <c r="H104" i="8"/>
  <c r="C104" i="8" a="1"/>
  <c r="C104" i="8" s="1"/>
  <c r="A104" i="8" a="1"/>
  <c r="A104" i="8" s="1"/>
  <c r="AT103" i="8" a="1"/>
  <c r="AT103" i="8" s="1"/>
  <c r="AS103" i="8"/>
  <c r="AP103" i="8"/>
  <c r="AM103" i="8"/>
  <c r="AJ103" i="8"/>
  <c r="AG103" i="8"/>
  <c r="AD103" i="8"/>
  <c r="X103" i="8" a="1"/>
  <c r="X103" i="8" s="1"/>
  <c r="Y103" i="8" s="1"/>
  <c r="V103" i="8"/>
  <c r="R103" i="8"/>
  <c r="N103" i="8" a="1"/>
  <c r="N103" i="8" s="1"/>
  <c r="O103" i="8" s="1"/>
  <c r="L103" i="8"/>
  <c r="H103" i="8"/>
  <c r="C103" i="8" a="1"/>
  <c r="C103" i="8" s="1"/>
  <c r="A103" i="8" a="1"/>
  <c r="A103" i="8" s="1"/>
  <c r="AT102" i="8" a="1"/>
  <c r="AT102" i="8" s="1"/>
  <c r="AS102" i="8"/>
  <c r="AP102" i="8"/>
  <c r="AM102" i="8"/>
  <c r="AJ102" i="8"/>
  <c r="AG102" i="8"/>
  <c r="AD102" i="8"/>
  <c r="X102" i="8" a="1"/>
  <c r="X102" i="8" s="1"/>
  <c r="Y102" i="8" s="1"/>
  <c r="AA102" i="8" s="1"/>
  <c r="R102" i="8"/>
  <c r="N102" i="8" a="1"/>
  <c r="N102" i="8" s="1"/>
  <c r="O102" i="8" s="1"/>
  <c r="L102" i="8"/>
  <c r="H102" i="8"/>
  <c r="C102" i="8" a="1"/>
  <c r="C102" i="8" s="1"/>
  <c r="A102" i="8" a="1"/>
  <c r="A102" i="8" s="1"/>
  <c r="AT101" i="8" a="1"/>
  <c r="AT101" i="8" s="1"/>
  <c r="AS101" i="8"/>
  <c r="AP101" i="8"/>
  <c r="AM101" i="8"/>
  <c r="AJ101" i="8"/>
  <c r="AG101" i="8"/>
  <c r="AD101" i="8"/>
  <c r="X101" i="8" a="1"/>
  <c r="X101" i="8" s="1"/>
  <c r="Y101" i="8" s="1"/>
  <c r="AA101" i="8" s="1"/>
  <c r="R101" i="8"/>
  <c r="N101" i="8" a="1"/>
  <c r="N101" i="8" s="1"/>
  <c r="O101" i="8" s="1"/>
  <c r="L101" i="8"/>
  <c r="H101" i="8"/>
  <c r="C101" i="8" a="1"/>
  <c r="C101" i="8" s="1"/>
  <c r="A101" i="8" a="1"/>
  <c r="A101" i="8" s="1"/>
  <c r="AT100" i="8" a="1"/>
  <c r="AT100" i="8" s="1"/>
  <c r="AS100" i="8"/>
  <c r="AP100" i="8"/>
  <c r="AM100" i="8"/>
  <c r="AJ100" i="8"/>
  <c r="AG100" i="8"/>
  <c r="AD100" i="8"/>
  <c r="X100" i="8" a="1"/>
  <c r="X100" i="8" s="1"/>
  <c r="Y100" i="8" s="1"/>
  <c r="AA100" i="8" s="1"/>
  <c r="R100" i="8"/>
  <c r="N100" i="8" a="1"/>
  <c r="N100" i="8" s="1"/>
  <c r="O100" i="8" s="1"/>
  <c r="L100" i="8"/>
  <c r="H100" i="8"/>
  <c r="C100" i="8" a="1"/>
  <c r="C100" i="8" s="1"/>
  <c r="A100" i="8" a="1"/>
  <c r="A100" i="8" s="1"/>
  <c r="AT99" i="8" a="1"/>
  <c r="AT99" i="8" s="1"/>
  <c r="AS99" i="8"/>
  <c r="AP99" i="8"/>
  <c r="AM99" i="8"/>
  <c r="AJ99" i="8"/>
  <c r="AG99" i="8"/>
  <c r="AD99" i="8"/>
  <c r="X99" i="8" a="1"/>
  <c r="X99" i="8" s="1"/>
  <c r="Y99" i="8" s="1"/>
  <c r="AA99" i="8" s="1"/>
  <c r="R99" i="8"/>
  <c r="N99" i="8" a="1"/>
  <c r="N99" i="8" s="1"/>
  <c r="O99" i="8" s="1"/>
  <c r="L99" i="8"/>
  <c r="H99" i="8"/>
  <c r="C99" i="8" a="1"/>
  <c r="C99" i="8" s="1"/>
  <c r="A99" i="8" a="1"/>
  <c r="A99" i="8" s="1"/>
  <c r="AT98" i="8" a="1"/>
  <c r="AT98" i="8" s="1"/>
  <c r="AS98" i="8"/>
  <c r="AP98" i="8"/>
  <c r="AM98" i="8"/>
  <c r="AJ98" i="8"/>
  <c r="AG98" i="8"/>
  <c r="AD98" i="8"/>
  <c r="X98" i="8" a="1"/>
  <c r="X98" i="8" s="1"/>
  <c r="Y98" i="8" s="1"/>
  <c r="AA98" i="8" s="1"/>
  <c r="R98" i="8"/>
  <c r="N98" i="8" a="1"/>
  <c r="N98" i="8" s="1"/>
  <c r="O98" i="8" s="1"/>
  <c r="L98" i="8"/>
  <c r="H98" i="8"/>
  <c r="C98" i="8" a="1"/>
  <c r="C98" i="8" s="1"/>
  <c r="A98" i="8" a="1"/>
  <c r="A98" i="8" s="1"/>
  <c r="AT97" i="8" a="1"/>
  <c r="AT97" i="8" s="1"/>
  <c r="AS97" i="8"/>
  <c r="AP97" i="8"/>
  <c r="AM97" i="8"/>
  <c r="AJ97" i="8"/>
  <c r="AG97" i="8"/>
  <c r="AD97" i="8"/>
  <c r="X97" i="8" a="1"/>
  <c r="X97" i="8" s="1"/>
  <c r="Y97" i="8" s="1"/>
  <c r="AA97" i="8" s="1"/>
  <c r="R97" i="8"/>
  <c r="N97" i="8" a="1"/>
  <c r="N97" i="8" s="1"/>
  <c r="O97" i="8" s="1"/>
  <c r="L97" i="8"/>
  <c r="H97" i="8"/>
  <c r="C97" i="8" a="1"/>
  <c r="C97" i="8" s="1"/>
  <c r="A97" i="8" a="1"/>
  <c r="A97" i="8" s="1"/>
  <c r="AT96" i="8" a="1"/>
  <c r="AT96" i="8" s="1"/>
  <c r="AS96" i="8"/>
  <c r="AP96" i="8"/>
  <c r="AM96" i="8"/>
  <c r="AJ96" i="8"/>
  <c r="AG96" i="8"/>
  <c r="AD96" i="8"/>
  <c r="X96" i="8" a="1"/>
  <c r="X96" i="8" s="1"/>
  <c r="Y96" i="8" s="1"/>
  <c r="AA96" i="8" s="1"/>
  <c r="R96" i="8"/>
  <c r="N96" i="8" a="1"/>
  <c r="N96" i="8" s="1"/>
  <c r="O96" i="8" s="1"/>
  <c r="L96" i="8"/>
  <c r="H96" i="8"/>
  <c r="C96" i="8" a="1"/>
  <c r="C96" i="8" s="1"/>
  <c r="A96" i="8" a="1"/>
  <c r="A96" i="8" s="1"/>
  <c r="AT95" i="8" a="1"/>
  <c r="AT95" i="8" s="1"/>
  <c r="AS95" i="8"/>
  <c r="AP95" i="8"/>
  <c r="AM95" i="8"/>
  <c r="AJ95" i="8"/>
  <c r="AG95" i="8"/>
  <c r="AD95" i="8"/>
  <c r="X95" i="8" a="1"/>
  <c r="X95" i="8" s="1"/>
  <c r="Y95" i="8" s="1"/>
  <c r="AA95" i="8" s="1"/>
  <c r="R95" i="8"/>
  <c r="N95" i="8" a="1"/>
  <c r="N95" i="8" s="1"/>
  <c r="O95" i="8" s="1"/>
  <c r="L95" i="8"/>
  <c r="H95" i="8"/>
  <c r="C95" i="8" a="1"/>
  <c r="C95" i="8" s="1"/>
  <c r="A95" i="8" a="1"/>
  <c r="A95" i="8" s="1"/>
  <c r="AT94" i="8" a="1"/>
  <c r="AT94" i="8" s="1"/>
  <c r="AS94" i="8"/>
  <c r="AP94" i="8"/>
  <c r="AM94" i="8"/>
  <c r="AJ94" i="8"/>
  <c r="AG94" i="8"/>
  <c r="AD94" i="8"/>
  <c r="X94" i="8" a="1"/>
  <c r="X94" i="8" s="1"/>
  <c r="Y94" i="8" s="1"/>
  <c r="AA94" i="8" s="1"/>
  <c r="R94" i="8"/>
  <c r="N94" i="8" a="1"/>
  <c r="N94" i="8" s="1"/>
  <c r="O94" i="8" s="1"/>
  <c r="L94" i="8"/>
  <c r="H94" i="8"/>
  <c r="C94" i="8" a="1"/>
  <c r="C94" i="8" s="1"/>
  <c r="A94" i="8" a="1"/>
  <c r="A94" i="8" s="1"/>
  <c r="AT93" i="8" a="1"/>
  <c r="AT93" i="8" s="1"/>
  <c r="AS93" i="8"/>
  <c r="AP93" i="8"/>
  <c r="AM93" i="8"/>
  <c r="AJ93" i="8"/>
  <c r="AG93" i="8"/>
  <c r="AD93" i="8"/>
  <c r="X93" i="8" a="1"/>
  <c r="X93" i="8" s="1"/>
  <c r="Y93" i="8" s="1"/>
  <c r="AA93" i="8" s="1"/>
  <c r="R93" i="8"/>
  <c r="N93" i="8" a="1"/>
  <c r="N93" i="8" s="1"/>
  <c r="O93" i="8" s="1"/>
  <c r="L93" i="8"/>
  <c r="H93" i="8"/>
  <c r="C93" i="8" a="1"/>
  <c r="C93" i="8" s="1"/>
  <c r="A93" i="8" a="1"/>
  <c r="A93" i="8" s="1"/>
  <c r="AT92" i="8" a="1"/>
  <c r="AT92" i="8" s="1"/>
  <c r="AS92" i="8"/>
  <c r="AP92" i="8"/>
  <c r="AM92" i="8"/>
  <c r="AJ92" i="8"/>
  <c r="AG92" i="8"/>
  <c r="AD92" i="8"/>
  <c r="X92" i="8" a="1"/>
  <c r="X92" i="8" s="1"/>
  <c r="Y92" i="8" s="1"/>
  <c r="AA92" i="8" s="1"/>
  <c r="R92" i="8"/>
  <c r="N92" i="8" a="1"/>
  <c r="N92" i="8" s="1"/>
  <c r="O92" i="8" s="1"/>
  <c r="K92" i="8"/>
  <c r="L92" i="8" s="1"/>
  <c r="H92" i="8"/>
  <c r="C92" i="8" a="1"/>
  <c r="C92" i="8" s="1"/>
  <c r="A92" i="8" a="1"/>
  <c r="A92" i="8" s="1"/>
  <c r="AT91" i="8" a="1"/>
  <c r="AT91" i="8" s="1"/>
  <c r="AS91" i="8"/>
  <c r="AP91" i="8"/>
  <c r="AM91" i="8"/>
  <c r="AJ91" i="8"/>
  <c r="AG91" i="8"/>
  <c r="AD91" i="8"/>
  <c r="X91" i="8" a="1"/>
  <c r="X91" i="8" s="1"/>
  <c r="Y91" i="8" s="1"/>
  <c r="V91" i="8"/>
  <c r="R91" i="8"/>
  <c r="N91" i="8" a="1"/>
  <c r="N91" i="8" s="1"/>
  <c r="O91" i="8" s="1"/>
  <c r="L91" i="8"/>
  <c r="H91" i="8"/>
  <c r="C91" i="8" a="1"/>
  <c r="C91" i="8" s="1"/>
  <c r="A91" i="8" a="1"/>
  <c r="A91" i="8" s="1"/>
  <c r="AT90" i="8" a="1"/>
  <c r="AT90" i="8" s="1"/>
  <c r="AS90" i="8"/>
  <c r="AP90" i="8"/>
  <c r="AM90" i="8"/>
  <c r="AJ90" i="8"/>
  <c r="AG90" i="8"/>
  <c r="AD90" i="8"/>
  <c r="X90" i="8" a="1"/>
  <c r="X90" i="8" s="1"/>
  <c r="Y90" i="8" s="1"/>
  <c r="V90" i="8"/>
  <c r="R90" i="8"/>
  <c r="N90" i="8" a="1"/>
  <c r="N90" i="8" s="1"/>
  <c r="O90" i="8" s="1"/>
  <c r="L90" i="8"/>
  <c r="H90" i="8"/>
  <c r="C90" i="8" a="1"/>
  <c r="C90" i="8" s="1"/>
  <c r="A90" i="8" a="1"/>
  <c r="A90" i="8" s="1"/>
  <c r="AT89" i="8" a="1"/>
  <c r="AT89" i="8" s="1"/>
  <c r="AS89" i="8"/>
  <c r="AP89" i="8"/>
  <c r="AM89" i="8"/>
  <c r="AJ89" i="8"/>
  <c r="AG89" i="8"/>
  <c r="AD89" i="8"/>
  <c r="X89" i="8" a="1"/>
  <c r="X89" i="8" s="1"/>
  <c r="Y89" i="8" s="1"/>
  <c r="V89" i="8"/>
  <c r="R89" i="8"/>
  <c r="N89" i="8" a="1"/>
  <c r="N89" i="8" s="1"/>
  <c r="O89" i="8" s="1"/>
  <c r="L89" i="8"/>
  <c r="H89" i="8"/>
  <c r="C89" i="8" a="1"/>
  <c r="C89" i="8" s="1"/>
  <c r="A89" i="8" a="1"/>
  <c r="A89" i="8" s="1"/>
  <c r="AT88" i="8" a="1"/>
  <c r="AT88" i="8" s="1"/>
  <c r="AS88" i="8"/>
  <c r="AP88" i="8"/>
  <c r="AM88" i="8"/>
  <c r="AJ88" i="8"/>
  <c r="AG88" i="8"/>
  <c r="AD88" i="8"/>
  <c r="X88" i="8" a="1"/>
  <c r="X88" i="8" s="1"/>
  <c r="Y88" i="8" s="1"/>
  <c r="V88" i="8"/>
  <c r="R88" i="8"/>
  <c r="N88" i="8" a="1"/>
  <c r="N88" i="8" s="1"/>
  <c r="O88" i="8" s="1"/>
  <c r="L88" i="8"/>
  <c r="H88" i="8"/>
  <c r="C88" i="8" a="1"/>
  <c r="C88" i="8" s="1"/>
  <c r="A88" i="8" a="1"/>
  <c r="A88" i="8" s="1"/>
  <c r="AT87" i="8" a="1"/>
  <c r="AT87" i="8" s="1"/>
  <c r="AS87" i="8"/>
  <c r="AP87" i="8"/>
  <c r="AM87" i="8"/>
  <c r="AJ87" i="8"/>
  <c r="AG87" i="8"/>
  <c r="AD87" i="8"/>
  <c r="X87" i="8" a="1"/>
  <c r="X87" i="8" s="1"/>
  <c r="Y87" i="8" s="1"/>
  <c r="V87" i="8"/>
  <c r="R87" i="8"/>
  <c r="N87" i="8" a="1"/>
  <c r="N87" i="8" s="1"/>
  <c r="O87" i="8" s="1"/>
  <c r="L87" i="8"/>
  <c r="H87" i="8"/>
  <c r="C87" i="8" a="1"/>
  <c r="C87" i="8" s="1"/>
  <c r="A87" i="8" a="1"/>
  <c r="A87" i="8" s="1"/>
  <c r="AT86" i="8" a="1"/>
  <c r="AT86" i="8" s="1"/>
  <c r="AS86" i="8"/>
  <c r="AP86" i="8"/>
  <c r="AM86" i="8"/>
  <c r="AJ86" i="8"/>
  <c r="AG86" i="8"/>
  <c r="AD86" i="8"/>
  <c r="X86" i="8" a="1"/>
  <c r="X86" i="8" s="1"/>
  <c r="Y86" i="8" s="1"/>
  <c r="V86" i="8"/>
  <c r="R86" i="8"/>
  <c r="N86" i="8" a="1"/>
  <c r="N86" i="8" s="1"/>
  <c r="O86" i="8" s="1"/>
  <c r="L86" i="8"/>
  <c r="H86" i="8"/>
  <c r="C86" i="8" a="1"/>
  <c r="C86" i="8" s="1"/>
  <c r="A86" i="8" a="1"/>
  <c r="A86" i="8" s="1"/>
  <c r="AT85" i="8" a="1"/>
  <c r="AT85" i="8" s="1"/>
  <c r="AS85" i="8"/>
  <c r="AP85" i="8"/>
  <c r="AM85" i="8"/>
  <c r="AJ85" i="8"/>
  <c r="AG85" i="8"/>
  <c r="AD85" i="8"/>
  <c r="X85" i="8" a="1"/>
  <c r="X85" i="8" s="1"/>
  <c r="Y85" i="8" s="1"/>
  <c r="V85" i="8"/>
  <c r="R85" i="8"/>
  <c r="N85" i="8" a="1"/>
  <c r="N85" i="8" s="1"/>
  <c r="O85" i="8" s="1"/>
  <c r="L85" i="8"/>
  <c r="H85" i="8"/>
  <c r="C85" i="8" a="1"/>
  <c r="C85" i="8" s="1"/>
  <c r="A85" i="8" a="1"/>
  <c r="A85" i="8" s="1"/>
  <c r="AT84" i="8" a="1"/>
  <c r="AT84" i="8" s="1"/>
  <c r="AS84" i="8"/>
  <c r="AP84" i="8"/>
  <c r="AM84" i="8"/>
  <c r="AJ84" i="8"/>
  <c r="AG84" i="8"/>
  <c r="AD84" i="8"/>
  <c r="X84" i="8" a="1"/>
  <c r="X84" i="8" s="1"/>
  <c r="Y84" i="8" s="1"/>
  <c r="V84" i="8"/>
  <c r="R84" i="8"/>
  <c r="N84" i="8" a="1"/>
  <c r="N84" i="8" s="1"/>
  <c r="O84" i="8" s="1"/>
  <c r="L84" i="8"/>
  <c r="H84" i="8"/>
  <c r="C84" i="8" a="1"/>
  <c r="C84" i="8" s="1"/>
  <c r="A84" i="8" a="1"/>
  <c r="A84" i="8" s="1"/>
  <c r="AT83" i="8" a="1"/>
  <c r="AT83" i="8" s="1"/>
  <c r="AS83" i="8"/>
  <c r="AP83" i="8"/>
  <c r="AM83" i="8"/>
  <c r="AJ83" i="8"/>
  <c r="AG83" i="8"/>
  <c r="AD83" i="8"/>
  <c r="X83" i="8" a="1"/>
  <c r="X83" i="8" s="1"/>
  <c r="Y83" i="8" s="1"/>
  <c r="AA83" i="8" s="1"/>
  <c r="R83" i="8"/>
  <c r="N83" i="8" a="1"/>
  <c r="N83" i="8" s="1"/>
  <c r="O83" i="8" s="1"/>
  <c r="L83" i="8"/>
  <c r="H83" i="8"/>
  <c r="C83" i="8" a="1"/>
  <c r="C83" i="8" s="1"/>
  <c r="A83" i="8" a="1"/>
  <c r="A83" i="8" s="1"/>
  <c r="AT82" i="8" a="1"/>
  <c r="AT82" i="8" s="1"/>
  <c r="AS82" i="8"/>
  <c r="AP82" i="8"/>
  <c r="AM82" i="8"/>
  <c r="AJ82" i="8"/>
  <c r="AG82" i="8"/>
  <c r="AD82" i="8"/>
  <c r="X82" i="8" a="1"/>
  <c r="X82" i="8" s="1"/>
  <c r="Y82" i="8" s="1"/>
  <c r="V82" i="8"/>
  <c r="R82" i="8"/>
  <c r="N82" i="8" a="1"/>
  <c r="N82" i="8" s="1"/>
  <c r="O82" i="8" s="1"/>
  <c r="L82" i="8"/>
  <c r="H82" i="8"/>
  <c r="C82" i="8" a="1"/>
  <c r="C82" i="8" s="1"/>
  <c r="A82" i="8" a="1"/>
  <c r="A82" i="8" s="1"/>
  <c r="AT81" i="8" a="1"/>
  <c r="AT81" i="8" s="1"/>
  <c r="AS81" i="8"/>
  <c r="AP81" i="8"/>
  <c r="AM81" i="8"/>
  <c r="AJ81" i="8"/>
  <c r="AG81" i="8"/>
  <c r="AD81" i="8"/>
  <c r="X81" i="8" a="1"/>
  <c r="X81" i="8" s="1"/>
  <c r="Y81" i="8" s="1"/>
  <c r="V81" i="8"/>
  <c r="R81" i="8"/>
  <c r="N81" i="8" a="1"/>
  <c r="N81" i="8" s="1"/>
  <c r="O81" i="8" s="1"/>
  <c r="L81" i="8"/>
  <c r="H81" i="8"/>
  <c r="C81" i="8" a="1"/>
  <c r="C81" i="8" s="1"/>
  <c r="A81" i="8" a="1"/>
  <c r="A81" i="8" s="1"/>
  <c r="AT80" i="8" a="1"/>
  <c r="AT80" i="8" s="1"/>
  <c r="AS80" i="8"/>
  <c r="AP80" i="8"/>
  <c r="AM80" i="8"/>
  <c r="AJ80" i="8"/>
  <c r="AG80" i="8"/>
  <c r="AD80" i="8"/>
  <c r="X80" i="8" a="1"/>
  <c r="X80" i="8" s="1"/>
  <c r="Y80" i="8" s="1"/>
  <c r="AA80" i="8" s="1"/>
  <c r="R80" i="8"/>
  <c r="N80" i="8" a="1"/>
  <c r="N80" i="8" s="1"/>
  <c r="O80" i="8" s="1"/>
  <c r="L80" i="8"/>
  <c r="H80" i="8"/>
  <c r="C80" i="8" a="1"/>
  <c r="C80" i="8" s="1"/>
  <c r="A80" i="8" a="1"/>
  <c r="A80" i="8" s="1"/>
  <c r="AT79" i="8" a="1"/>
  <c r="AT79" i="8" s="1"/>
  <c r="AS79" i="8"/>
  <c r="AP79" i="8"/>
  <c r="AM79" i="8"/>
  <c r="AJ79" i="8"/>
  <c r="AG79" i="8"/>
  <c r="AD79" i="8"/>
  <c r="X79" i="8" a="1"/>
  <c r="X79" i="8" s="1"/>
  <c r="Y79" i="8" s="1"/>
  <c r="V79" i="8"/>
  <c r="R79" i="8"/>
  <c r="N79" i="8" a="1"/>
  <c r="N79" i="8" s="1"/>
  <c r="O79" i="8" s="1"/>
  <c r="L79" i="8"/>
  <c r="H79" i="8"/>
  <c r="C79" i="8" a="1"/>
  <c r="C79" i="8" s="1"/>
  <c r="A79" i="8" a="1"/>
  <c r="A79" i="8" s="1"/>
  <c r="AT78" i="8" a="1"/>
  <c r="AT78" i="8" s="1"/>
  <c r="AS78" i="8"/>
  <c r="AP78" i="8"/>
  <c r="AM78" i="8"/>
  <c r="AJ78" i="8"/>
  <c r="AG78" i="8"/>
  <c r="AD78" i="8"/>
  <c r="X78" i="8" a="1"/>
  <c r="X78" i="8" s="1"/>
  <c r="Y78" i="8" s="1"/>
  <c r="V78" i="8"/>
  <c r="R78" i="8"/>
  <c r="N78" i="8" a="1"/>
  <c r="N78" i="8" s="1"/>
  <c r="O78" i="8" s="1"/>
  <c r="L78" i="8"/>
  <c r="H78" i="8"/>
  <c r="C78" i="8" a="1"/>
  <c r="C78" i="8" s="1"/>
  <c r="A78" i="8" a="1"/>
  <c r="A78" i="8" s="1"/>
  <c r="AT77" i="8" a="1"/>
  <c r="AT77" i="8" s="1"/>
  <c r="AS77" i="8"/>
  <c r="AP77" i="8"/>
  <c r="AM77" i="8"/>
  <c r="AJ77" i="8"/>
  <c r="AG77" i="8"/>
  <c r="AD77" i="8"/>
  <c r="X77" i="8" a="1"/>
  <c r="X77" i="8" s="1"/>
  <c r="Y77" i="8" s="1"/>
  <c r="V77" i="8"/>
  <c r="R77" i="8"/>
  <c r="N77" i="8" a="1"/>
  <c r="N77" i="8" s="1"/>
  <c r="O77" i="8" s="1"/>
  <c r="L77" i="8"/>
  <c r="H77" i="8"/>
  <c r="C77" i="8" a="1"/>
  <c r="C77" i="8" s="1"/>
  <c r="A77" i="8" a="1"/>
  <c r="A77" i="8" s="1"/>
  <c r="AT76" i="8" a="1"/>
  <c r="AT76" i="8" s="1"/>
  <c r="AS76" i="8"/>
  <c r="AP76" i="8"/>
  <c r="AM76" i="8"/>
  <c r="AJ76" i="8"/>
  <c r="AG76" i="8"/>
  <c r="AD76" i="8"/>
  <c r="X76" i="8" a="1"/>
  <c r="X76" i="8" s="1"/>
  <c r="Y76" i="8" s="1"/>
  <c r="V76" i="8"/>
  <c r="R76" i="8"/>
  <c r="N76" i="8" a="1"/>
  <c r="N76" i="8" s="1"/>
  <c r="O76" i="8" s="1"/>
  <c r="L76" i="8"/>
  <c r="H76" i="8"/>
  <c r="C76" i="8" a="1"/>
  <c r="C76" i="8" s="1"/>
  <c r="A76" i="8" a="1"/>
  <c r="A76" i="8" s="1"/>
  <c r="AT75" i="8" a="1"/>
  <c r="AT75" i="8" s="1"/>
  <c r="AS75" i="8"/>
  <c r="AP75" i="8"/>
  <c r="AM75" i="8"/>
  <c r="AJ75" i="8"/>
  <c r="AG75" i="8"/>
  <c r="AD75" i="8"/>
  <c r="X75" i="8" a="1"/>
  <c r="X75" i="8" s="1"/>
  <c r="Y75" i="8" s="1"/>
  <c r="V75" i="8"/>
  <c r="R75" i="8"/>
  <c r="N75" i="8" a="1"/>
  <c r="N75" i="8" s="1"/>
  <c r="O75" i="8" s="1"/>
  <c r="L75" i="8"/>
  <c r="H75" i="8"/>
  <c r="C75" i="8" a="1"/>
  <c r="C75" i="8" s="1"/>
  <c r="A75" i="8" a="1"/>
  <c r="A75" i="8" s="1"/>
  <c r="AT74" i="8" a="1"/>
  <c r="AT74" i="8" s="1"/>
  <c r="AS74" i="8"/>
  <c r="AP74" i="8"/>
  <c r="AM74" i="8"/>
  <c r="AJ74" i="8"/>
  <c r="AG74" i="8"/>
  <c r="AD74" i="8"/>
  <c r="X74" i="8" a="1"/>
  <c r="X74" i="8" s="1"/>
  <c r="Y74" i="8" s="1"/>
  <c r="V74" i="8"/>
  <c r="R74" i="8"/>
  <c r="N74" i="8" a="1"/>
  <c r="N74" i="8" s="1"/>
  <c r="O74" i="8" s="1"/>
  <c r="L74" i="8"/>
  <c r="H74" i="8"/>
  <c r="C74" i="8" a="1"/>
  <c r="C74" i="8" s="1"/>
  <c r="A74" i="8" a="1"/>
  <c r="A74" i="8" s="1"/>
  <c r="AT73" i="8" a="1"/>
  <c r="AT73" i="8" s="1"/>
  <c r="AS73" i="8"/>
  <c r="AP73" i="8"/>
  <c r="AM73" i="8"/>
  <c r="AJ73" i="8"/>
  <c r="AG73" i="8"/>
  <c r="AD73" i="8"/>
  <c r="X73" i="8" a="1"/>
  <c r="X73" i="8" s="1"/>
  <c r="Y73" i="8" s="1"/>
  <c r="V73" i="8"/>
  <c r="R73" i="8"/>
  <c r="N73" i="8" a="1"/>
  <c r="N73" i="8" s="1"/>
  <c r="O73" i="8" s="1"/>
  <c r="L73" i="8"/>
  <c r="H73" i="8"/>
  <c r="C73" i="8" a="1"/>
  <c r="C73" i="8" s="1"/>
  <c r="A73" i="8" a="1"/>
  <c r="A73" i="8" s="1"/>
  <c r="AT72" i="8" a="1"/>
  <c r="AT72" i="8" s="1"/>
  <c r="AS72" i="8"/>
  <c r="AP72" i="8"/>
  <c r="AM72" i="8"/>
  <c r="AJ72" i="8"/>
  <c r="AG72" i="8"/>
  <c r="AD72" i="8"/>
  <c r="X72" i="8" a="1"/>
  <c r="X72" i="8" s="1"/>
  <c r="Y72" i="8" s="1"/>
  <c r="V72" i="8"/>
  <c r="R72" i="8"/>
  <c r="N72" i="8" a="1"/>
  <c r="N72" i="8" s="1"/>
  <c r="O72" i="8" s="1"/>
  <c r="L72" i="8"/>
  <c r="H72" i="8"/>
  <c r="C72" i="8" a="1"/>
  <c r="C72" i="8" s="1"/>
  <c r="A72" i="8" a="1"/>
  <c r="A72" i="8" s="1"/>
  <c r="AT71" i="8" a="1"/>
  <c r="AT71" i="8" s="1"/>
  <c r="AS71" i="8"/>
  <c r="AP71" i="8"/>
  <c r="AM71" i="8"/>
  <c r="AJ71" i="8"/>
  <c r="AG71" i="8"/>
  <c r="AD71" i="8"/>
  <c r="X71" i="8" a="1"/>
  <c r="X71" i="8" s="1"/>
  <c r="Y71" i="8" s="1"/>
  <c r="V71" i="8"/>
  <c r="R71" i="8"/>
  <c r="N71" i="8" a="1"/>
  <c r="N71" i="8" s="1"/>
  <c r="O71" i="8" s="1"/>
  <c r="L71" i="8"/>
  <c r="H71" i="8"/>
  <c r="C71" i="8" a="1"/>
  <c r="C71" i="8" s="1"/>
  <c r="A71" i="8" a="1"/>
  <c r="A71" i="8" s="1"/>
  <c r="AT70" i="8" a="1"/>
  <c r="AT70" i="8" s="1"/>
  <c r="AS70" i="8"/>
  <c r="AP70" i="8"/>
  <c r="AM70" i="8"/>
  <c r="AJ70" i="8"/>
  <c r="AG70" i="8"/>
  <c r="AD70" i="8"/>
  <c r="X70" i="8" a="1"/>
  <c r="X70" i="8" s="1"/>
  <c r="Y70" i="8" s="1"/>
  <c r="AA70" i="8" s="1"/>
  <c r="R70" i="8"/>
  <c r="N70" i="8" a="1"/>
  <c r="N70" i="8" s="1"/>
  <c r="O70" i="8" s="1"/>
  <c r="L70" i="8"/>
  <c r="H70" i="8"/>
  <c r="C70" i="8" a="1"/>
  <c r="C70" i="8" s="1"/>
  <c r="A70" i="8" a="1"/>
  <c r="A70" i="8" s="1"/>
  <c r="AT69" i="8" a="1"/>
  <c r="AT69" i="8" s="1"/>
  <c r="AS69" i="8"/>
  <c r="AP69" i="8"/>
  <c r="AM69" i="8"/>
  <c r="AJ69" i="8"/>
  <c r="AG69" i="8"/>
  <c r="AD69" i="8"/>
  <c r="X69" i="8" a="1"/>
  <c r="X69" i="8" s="1"/>
  <c r="Y69" i="8" s="1"/>
  <c r="V69" i="8"/>
  <c r="R69" i="8"/>
  <c r="N69" i="8" a="1"/>
  <c r="N69" i="8" s="1"/>
  <c r="O69" i="8" s="1"/>
  <c r="L69" i="8"/>
  <c r="H69" i="8"/>
  <c r="C69" i="8" a="1"/>
  <c r="C69" i="8" s="1"/>
  <c r="A69" i="8" a="1"/>
  <c r="A69" i="8" s="1"/>
  <c r="AT68" i="8" a="1"/>
  <c r="AT68" i="8" s="1"/>
  <c r="AS68" i="8"/>
  <c r="AP68" i="8"/>
  <c r="AM68" i="8"/>
  <c r="AJ68" i="8"/>
  <c r="AG68" i="8"/>
  <c r="AD68" i="8"/>
  <c r="X68" i="8" a="1"/>
  <c r="X68" i="8" s="1"/>
  <c r="Y68" i="8" s="1"/>
  <c r="V68" i="8"/>
  <c r="R68" i="8"/>
  <c r="N68" i="8" a="1"/>
  <c r="N68" i="8" s="1"/>
  <c r="O68" i="8" s="1"/>
  <c r="L68" i="8"/>
  <c r="H68" i="8"/>
  <c r="C68" i="8" a="1"/>
  <c r="C68" i="8" s="1"/>
  <c r="A68" i="8" a="1"/>
  <c r="A68" i="8" s="1"/>
  <c r="AT67" i="8" a="1"/>
  <c r="AT67" i="8" s="1"/>
  <c r="AS67" i="8"/>
  <c r="AP67" i="8"/>
  <c r="AM67" i="8"/>
  <c r="AJ67" i="8"/>
  <c r="AG67" i="8"/>
  <c r="AD67" i="8"/>
  <c r="X67" i="8" a="1"/>
  <c r="X67" i="8" s="1"/>
  <c r="Y67" i="8" s="1"/>
  <c r="V67" i="8"/>
  <c r="R67" i="8"/>
  <c r="N67" i="8" a="1"/>
  <c r="N67" i="8" s="1"/>
  <c r="O67" i="8" s="1"/>
  <c r="L67" i="8"/>
  <c r="H67" i="8"/>
  <c r="C67" i="8" a="1"/>
  <c r="C67" i="8" s="1"/>
  <c r="A67" i="8" a="1"/>
  <c r="A67" i="8" s="1"/>
  <c r="AT66" i="8" a="1"/>
  <c r="AT66" i="8" s="1"/>
  <c r="AS66" i="8"/>
  <c r="AP66" i="8"/>
  <c r="AM66" i="8"/>
  <c r="AJ66" i="8"/>
  <c r="AG66" i="8"/>
  <c r="AD66" i="8"/>
  <c r="X66" i="8" a="1"/>
  <c r="X66" i="8" s="1"/>
  <c r="Y66" i="8" s="1"/>
  <c r="V66" i="8"/>
  <c r="R66" i="8"/>
  <c r="N66" i="8" a="1"/>
  <c r="N66" i="8" s="1"/>
  <c r="O66" i="8" s="1"/>
  <c r="L66" i="8"/>
  <c r="H66" i="8"/>
  <c r="C66" i="8" a="1"/>
  <c r="C66" i="8" s="1"/>
  <c r="A66" i="8" a="1"/>
  <c r="A66" i="8" s="1"/>
  <c r="AT65" i="8" a="1"/>
  <c r="AT65" i="8" s="1"/>
  <c r="AS65" i="8"/>
  <c r="AP65" i="8"/>
  <c r="AM65" i="8"/>
  <c r="AJ65" i="8"/>
  <c r="AG65" i="8"/>
  <c r="AD65" i="8"/>
  <c r="X65" i="8" a="1"/>
  <c r="X65" i="8" s="1"/>
  <c r="Y65" i="8" s="1"/>
  <c r="AA65" i="8" s="1"/>
  <c r="R65" i="8"/>
  <c r="N65" i="8" a="1"/>
  <c r="N65" i="8" s="1"/>
  <c r="O65" i="8" s="1"/>
  <c r="L65" i="8"/>
  <c r="H65" i="8"/>
  <c r="C65" i="8" a="1"/>
  <c r="C65" i="8" s="1"/>
  <c r="A65" i="8" a="1"/>
  <c r="A65" i="8" s="1"/>
  <c r="AT64" i="8" a="1"/>
  <c r="AT64" i="8" s="1"/>
  <c r="AS64" i="8"/>
  <c r="AP64" i="8"/>
  <c r="AM64" i="8"/>
  <c r="AJ64" i="8"/>
  <c r="AG64" i="8"/>
  <c r="AD64" i="8"/>
  <c r="X64" i="8" a="1"/>
  <c r="X64" i="8" s="1"/>
  <c r="Y64" i="8" s="1"/>
  <c r="AA64" i="8" s="1"/>
  <c r="R64" i="8"/>
  <c r="N64" i="8" a="1"/>
  <c r="N64" i="8" s="1"/>
  <c r="O64" i="8" s="1"/>
  <c r="L64" i="8"/>
  <c r="H64" i="8"/>
  <c r="C64" i="8" a="1"/>
  <c r="C64" i="8" s="1"/>
  <c r="A64" i="8" a="1"/>
  <c r="A64" i="8" s="1"/>
  <c r="AT63" i="8" a="1"/>
  <c r="AT63" i="8" s="1"/>
  <c r="AS63" i="8"/>
  <c r="AP63" i="8"/>
  <c r="AM63" i="8"/>
  <c r="AJ63" i="8"/>
  <c r="AG63" i="8"/>
  <c r="AD63" i="8"/>
  <c r="X63" i="8" a="1"/>
  <c r="X63" i="8" s="1"/>
  <c r="Y63" i="8" s="1"/>
  <c r="V63" i="8"/>
  <c r="R63" i="8"/>
  <c r="N63" i="8" a="1"/>
  <c r="N63" i="8" s="1"/>
  <c r="O63" i="8" s="1"/>
  <c r="L63" i="8"/>
  <c r="H63" i="8"/>
  <c r="C63" i="8" a="1"/>
  <c r="C63" i="8" s="1"/>
  <c r="A63" i="8" a="1"/>
  <c r="A63" i="8" s="1"/>
  <c r="AT62" i="8" a="1"/>
  <c r="AT62" i="8" s="1"/>
  <c r="AS62" i="8"/>
  <c r="AP62" i="8"/>
  <c r="AM62" i="8"/>
  <c r="AJ62" i="8"/>
  <c r="AG62" i="8"/>
  <c r="AD62" i="8"/>
  <c r="X62" i="8" a="1"/>
  <c r="X62" i="8" s="1"/>
  <c r="Y62" i="8" s="1"/>
  <c r="V62" i="8"/>
  <c r="R62" i="8"/>
  <c r="N62" i="8" a="1"/>
  <c r="N62" i="8" s="1"/>
  <c r="O62" i="8" s="1"/>
  <c r="L62" i="8"/>
  <c r="H62" i="8"/>
  <c r="C62" i="8" a="1"/>
  <c r="C62" i="8" s="1"/>
  <c r="A62" i="8" a="1"/>
  <c r="A62" i="8" s="1"/>
  <c r="AT61" i="8" a="1"/>
  <c r="AT61" i="8" s="1"/>
  <c r="AS61" i="8"/>
  <c r="AP61" i="8"/>
  <c r="AM61" i="8"/>
  <c r="AJ61" i="8"/>
  <c r="AG61" i="8"/>
  <c r="AD61" i="8"/>
  <c r="X61" i="8" a="1"/>
  <c r="X61" i="8" s="1"/>
  <c r="Y61" i="8" s="1"/>
  <c r="V61" i="8"/>
  <c r="R61" i="8"/>
  <c r="N61" i="8" a="1"/>
  <c r="N61" i="8" s="1"/>
  <c r="O61" i="8" s="1"/>
  <c r="L61" i="8"/>
  <c r="H61" i="8"/>
  <c r="C61" i="8" a="1"/>
  <c r="C61" i="8" s="1"/>
  <c r="A61" i="8" a="1"/>
  <c r="A61" i="8" s="1"/>
  <c r="AT60" i="8" a="1"/>
  <c r="AT60" i="8" s="1"/>
  <c r="AS60" i="8"/>
  <c r="AP60" i="8"/>
  <c r="AM60" i="8"/>
  <c r="AJ60" i="8"/>
  <c r="AG60" i="8"/>
  <c r="AD60" i="8"/>
  <c r="X60" i="8" a="1"/>
  <c r="X60" i="8" s="1"/>
  <c r="Y60" i="8" s="1"/>
  <c r="V60" i="8"/>
  <c r="R60" i="8"/>
  <c r="N60" i="8" a="1"/>
  <c r="N60" i="8" s="1"/>
  <c r="O60" i="8" s="1"/>
  <c r="L60" i="8"/>
  <c r="H60" i="8"/>
  <c r="C60" i="8" a="1"/>
  <c r="C60" i="8" s="1"/>
  <c r="A60" i="8" a="1"/>
  <c r="A60" i="8" s="1"/>
  <c r="AT59" i="8" a="1"/>
  <c r="AT59" i="8" s="1"/>
  <c r="AS59" i="8"/>
  <c r="AP59" i="8"/>
  <c r="AM59" i="8"/>
  <c r="AJ59" i="8"/>
  <c r="AG59" i="8"/>
  <c r="AD59" i="8"/>
  <c r="X59" i="8" a="1"/>
  <c r="X59" i="8" s="1"/>
  <c r="Y59" i="8" s="1"/>
  <c r="V59" i="8"/>
  <c r="R59" i="8"/>
  <c r="N59" i="8" a="1"/>
  <c r="N59" i="8" s="1"/>
  <c r="O59" i="8" s="1"/>
  <c r="L59" i="8"/>
  <c r="H59" i="8"/>
  <c r="C59" i="8" a="1"/>
  <c r="C59" i="8" s="1"/>
  <c r="A59" i="8" a="1"/>
  <c r="A59" i="8" s="1"/>
  <c r="AT58" i="8" a="1"/>
  <c r="AT58" i="8" s="1"/>
  <c r="AS58" i="8"/>
  <c r="AP58" i="8"/>
  <c r="AM58" i="8"/>
  <c r="AJ58" i="8"/>
  <c r="AG58" i="8"/>
  <c r="AD58" i="8"/>
  <c r="X58" i="8" a="1"/>
  <c r="X58" i="8" s="1"/>
  <c r="Y58" i="8" s="1"/>
  <c r="V58" i="8"/>
  <c r="R58" i="8"/>
  <c r="N58" i="8" a="1"/>
  <c r="N58" i="8" s="1"/>
  <c r="O58" i="8" s="1"/>
  <c r="L58" i="8"/>
  <c r="H58" i="8"/>
  <c r="C58" i="8" a="1"/>
  <c r="C58" i="8" s="1"/>
  <c r="A58" i="8" a="1"/>
  <c r="A58" i="8" s="1"/>
  <c r="AT57" i="8" a="1"/>
  <c r="AT57" i="8" s="1"/>
  <c r="AS57" i="8"/>
  <c r="AP57" i="8"/>
  <c r="AM57" i="8"/>
  <c r="AJ57" i="8"/>
  <c r="AG57" i="8"/>
  <c r="AD57" i="8"/>
  <c r="X57" i="8" a="1"/>
  <c r="X57" i="8" s="1"/>
  <c r="Y57" i="8" s="1"/>
  <c r="V57" i="8"/>
  <c r="R57" i="8"/>
  <c r="N57" i="8" a="1"/>
  <c r="N57" i="8" s="1"/>
  <c r="O57" i="8" s="1"/>
  <c r="L57" i="8"/>
  <c r="H57" i="8"/>
  <c r="C57" i="8" a="1"/>
  <c r="C57" i="8" s="1"/>
  <c r="A57" i="8" a="1"/>
  <c r="A57" i="8" s="1"/>
  <c r="AT56" i="8" a="1"/>
  <c r="AT56" i="8" s="1"/>
  <c r="AS56" i="8"/>
  <c r="AP56" i="8"/>
  <c r="AM56" i="8"/>
  <c r="AJ56" i="8"/>
  <c r="AG56" i="8"/>
  <c r="AD56" i="8"/>
  <c r="X56" i="8" a="1"/>
  <c r="X56" i="8" s="1"/>
  <c r="Y56" i="8" s="1"/>
  <c r="AA56" i="8" s="1"/>
  <c r="R56" i="8"/>
  <c r="N56" i="8" a="1"/>
  <c r="N56" i="8" s="1"/>
  <c r="O56" i="8" s="1"/>
  <c r="L56" i="8"/>
  <c r="H56" i="8"/>
  <c r="C56" i="8" a="1"/>
  <c r="C56" i="8" s="1"/>
  <c r="A56" i="8" a="1"/>
  <c r="A56" i="8" s="1"/>
  <c r="AT55" i="8" a="1"/>
  <c r="AT55" i="8" s="1"/>
  <c r="AS55" i="8"/>
  <c r="AP55" i="8"/>
  <c r="AM55" i="8"/>
  <c r="AJ55" i="8"/>
  <c r="AG55" i="8"/>
  <c r="AD55" i="8"/>
  <c r="X55" i="8" a="1"/>
  <c r="X55" i="8" s="1"/>
  <c r="Y55" i="8" s="1"/>
  <c r="V55" i="8"/>
  <c r="R55" i="8"/>
  <c r="N55" i="8" a="1"/>
  <c r="N55" i="8" s="1"/>
  <c r="O55" i="8" s="1"/>
  <c r="L55" i="8"/>
  <c r="H55" i="8"/>
  <c r="C55" i="8" a="1"/>
  <c r="C55" i="8" s="1"/>
  <c r="A55" i="8" a="1"/>
  <c r="A55" i="8" s="1"/>
  <c r="AT54" i="8" a="1"/>
  <c r="AT54" i="8" s="1"/>
  <c r="AS54" i="8"/>
  <c r="AP54" i="8"/>
  <c r="AM54" i="8"/>
  <c r="AJ54" i="8"/>
  <c r="AG54" i="8"/>
  <c r="AD54" i="8"/>
  <c r="X54" i="8" a="1"/>
  <c r="X54" i="8" s="1"/>
  <c r="Y54" i="8" s="1"/>
  <c r="V54" i="8"/>
  <c r="R54" i="8"/>
  <c r="N54" i="8" a="1"/>
  <c r="N54" i="8" s="1"/>
  <c r="O54" i="8" s="1"/>
  <c r="L54" i="8"/>
  <c r="H54" i="8"/>
  <c r="C54" i="8" a="1"/>
  <c r="C54" i="8" s="1"/>
  <c r="A54" i="8" a="1"/>
  <c r="A54" i="8" s="1"/>
  <c r="AT53" i="8" a="1"/>
  <c r="AT53" i="8" s="1"/>
  <c r="AS53" i="8"/>
  <c r="AP53" i="8"/>
  <c r="AM53" i="8"/>
  <c r="AJ53" i="8"/>
  <c r="AG53" i="8"/>
  <c r="AD53" i="8"/>
  <c r="X53" i="8" a="1"/>
  <c r="X53" i="8" s="1"/>
  <c r="Y53" i="8" s="1"/>
  <c r="V53" i="8"/>
  <c r="R53" i="8"/>
  <c r="N53" i="8" a="1"/>
  <c r="N53" i="8" s="1"/>
  <c r="O53" i="8" s="1"/>
  <c r="L53" i="8"/>
  <c r="H53" i="8"/>
  <c r="C53" i="8" a="1"/>
  <c r="C53" i="8" s="1"/>
  <c r="A53" i="8" a="1"/>
  <c r="A53" i="8" s="1"/>
  <c r="AT52" i="8" a="1"/>
  <c r="AT52" i="8" s="1"/>
  <c r="AS52" i="8"/>
  <c r="AP52" i="8"/>
  <c r="AM52" i="8"/>
  <c r="AJ52" i="8"/>
  <c r="AG52" i="8"/>
  <c r="AD52" i="8"/>
  <c r="X52" i="8" a="1"/>
  <c r="X52" i="8" s="1"/>
  <c r="Y52" i="8" s="1"/>
  <c r="V52" i="8"/>
  <c r="R52" i="8"/>
  <c r="N52" i="8" a="1"/>
  <c r="N52" i="8" s="1"/>
  <c r="O52" i="8" s="1"/>
  <c r="L52" i="8"/>
  <c r="H52" i="8"/>
  <c r="C52" i="8" a="1"/>
  <c r="C52" i="8" s="1"/>
  <c r="A52" i="8" a="1"/>
  <c r="A52" i="8" s="1"/>
  <c r="AT51" i="8" a="1"/>
  <c r="AT51" i="8" s="1"/>
  <c r="AS51" i="8"/>
  <c r="AP51" i="8"/>
  <c r="AM51" i="8"/>
  <c r="AJ51" i="8"/>
  <c r="AG51" i="8"/>
  <c r="AD51" i="8"/>
  <c r="X51" i="8" a="1"/>
  <c r="X51" i="8" s="1"/>
  <c r="Y51" i="8" s="1"/>
  <c r="AA51" i="8" s="1"/>
  <c r="R51" i="8"/>
  <c r="N51" i="8" a="1"/>
  <c r="N51" i="8" s="1"/>
  <c r="O51" i="8" s="1"/>
  <c r="L51" i="8"/>
  <c r="H51" i="8"/>
  <c r="C51" i="8" a="1"/>
  <c r="C51" i="8" s="1"/>
  <c r="A51" i="8" a="1"/>
  <c r="A51" i="8" s="1"/>
  <c r="AT50" i="8" a="1"/>
  <c r="AT50" i="8" s="1"/>
  <c r="AS50" i="8"/>
  <c r="AP50" i="8"/>
  <c r="AM50" i="8"/>
  <c r="AJ50" i="8"/>
  <c r="AG50" i="8"/>
  <c r="AD50" i="8"/>
  <c r="X50" i="8" a="1"/>
  <c r="X50" i="8" s="1"/>
  <c r="Y50" i="8" s="1"/>
  <c r="V50" i="8"/>
  <c r="R50" i="8"/>
  <c r="N50" i="8" a="1"/>
  <c r="N50" i="8" s="1"/>
  <c r="O50" i="8" s="1"/>
  <c r="L50" i="8"/>
  <c r="H50" i="8"/>
  <c r="C50" i="8" a="1"/>
  <c r="C50" i="8" s="1"/>
  <c r="A50" i="8" a="1"/>
  <c r="A50" i="8" s="1"/>
  <c r="AT49" i="8" a="1"/>
  <c r="AT49" i="8" s="1"/>
  <c r="AS49" i="8"/>
  <c r="AP49" i="8"/>
  <c r="AM49" i="8"/>
  <c r="AJ49" i="8"/>
  <c r="AG49" i="8"/>
  <c r="AD49" i="8"/>
  <c r="X49" i="8" a="1"/>
  <c r="X49" i="8" s="1"/>
  <c r="Y49" i="8" s="1"/>
  <c r="V49" i="8"/>
  <c r="R49" i="8"/>
  <c r="N49" i="8" a="1"/>
  <c r="N49" i="8" s="1"/>
  <c r="O49" i="8" s="1"/>
  <c r="L49" i="8"/>
  <c r="H49" i="8"/>
  <c r="C49" i="8" a="1"/>
  <c r="C49" i="8" s="1"/>
  <c r="A49" i="8" a="1"/>
  <c r="A49" i="8" s="1"/>
  <c r="AT48" i="8" a="1"/>
  <c r="AT48" i="8" s="1"/>
  <c r="AS48" i="8"/>
  <c r="AP48" i="8"/>
  <c r="AM48" i="8"/>
  <c r="AJ48" i="8"/>
  <c r="AG48" i="8"/>
  <c r="AD48" i="8"/>
  <c r="X48" i="8" a="1"/>
  <c r="X48" i="8" s="1"/>
  <c r="Y48" i="8" s="1"/>
  <c r="AA48" i="8" s="1"/>
  <c r="R48" i="8"/>
  <c r="N48" i="8" a="1"/>
  <c r="N48" i="8" s="1"/>
  <c r="O48" i="8" s="1"/>
  <c r="L48" i="8"/>
  <c r="H48" i="8"/>
  <c r="C48" i="8" a="1"/>
  <c r="C48" i="8" s="1"/>
  <c r="A48" i="8" a="1"/>
  <c r="A48" i="8" s="1"/>
  <c r="AT47" i="8" a="1"/>
  <c r="AT47" i="8" s="1"/>
  <c r="AS47" i="8"/>
  <c r="AP47" i="8"/>
  <c r="AM47" i="8"/>
  <c r="AJ47" i="8"/>
  <c r="AG47" i="8"/>
  <c r="AD47" i="8"/>
  <c r="X47" i="8" a="1"/>
  <c r="X47" i="8" s="1"/>
  <c r="Y47" i="8" s="1"/>
  <c r="V47" i="8"/>
  <c r="R47" i="8"/>
  <c r="N47" i="8" a="1"/>
  <c r="N47" i="8" s="1"/>
  <c r="O47" i="8" s="1"/>
  <c r="L47" i="8"/>
  <c r="H47" i="8"/>
  <c r="C47" i="8" a="1"/>
  <c r="C47" i="8" s="1"/>
  <c r="A47" i="8" a="1"/>
  <c r="A47" i="8" s="1"/>
  <c r="AT46" i="8" a="1"/>
  <c r="AT46" i="8" s="1"/>
  <c r="AS46" i="8"/>
  <c r="AP46" i="8"/>
  <c r="AM46" i="8"/>
  <c r="AJ46" i="8"/>
  <c r="AG46" i="8"/>
  <c r="AD46" i="8"/>
  <c r="X46" i="8" a="1"/>
  <c r="X46" i="8" s="1"/>
  <c r="Y46" i="8" s="1"/>
  <c r="V46" i="8"/>
  <c r="R46" i="8"/>
  <c r="N46" i="8" a="1"/>
  <c r="N46" i="8" s="1"/>
  <c r="O46" i="8" s="1"/>
  <c r="L46" i="8"/>
  <c r="H46" i="8"/>
  <c r="C46" i="8" a="1"/>
  <c r="C46" i="8" s="1"/>
  <c r="A46" i="8" a="1"/>
  <c r="A46" i="8" s="1"/>
  <c r="AT45" i="8" a="1"/>
  <c r="AT45" i="8" s="1"/>
  <c r="AS45" i="8"/>
  <c r="AP45" i="8"/>
  <c r="AM45" i="8"/>
  <c r="AJ45" i="8"/>
  <c r="AG45" i="8"/>
  <c r="AD45" i="8"/>
  <c r="X45" i="8" a="1"/>
  <c r="X45" i="8" s="1"/>
  <c r="Y45" i="8" s="1"/>
  <c r="V45" i="8"/>
  <c r="R45" i="8"/>
  <c r="N45" i="8" a="1"/>
  <c r="N45" i="8" s="1"/>
  <c r="O45" i="8" s="1"/>
  <c r="L45" i="8"/>
  <c r="H45" i="8"/>
  <c r="C45" i="8" a="1"/>
  <c r="C45" i="8" s="1"/>
  <c r="A45" i="8" a="1"/>
  <c r="A45" i="8" s="1"/>
  <c r="AT44" i="8" a="1"/>
  <c r="AT44" i="8" s="1"/>
  <c r="AS44" i="8"/>
  <c r="AP44" i="8"/>
  <c r="AM44" i="8"/>
  <c r="AJ44" i="8"/>
  <c r="AG44" i="8"/>
  <c r="AD44" i="8"/>
  <c r="X44" i="8" a="1"/>
  <c r="X44" i="8" s="1"/>
  <c r="Y44" i="8" s="1"/>
  <c r="V44" i="8"/>
  <c r="R44" i="8"/>
  <c r="N44" i="8" a="1"/>
  <c r="N44" i="8" s="1"/>
  <c r="O44" i="8" s="1"/>
  <c r="L44" i="8"/>
  <c r="H44" i="8"/>
  <c r="C44" i="8" a="1"/>
  <c r="C44" i="8" s="1"/>
  <c r="A44" i="8" a="1"/>
  <c r="A44" i="8" s="1"/>
  <c r="AT43" i="8" a="1"/>
  <c r="AT43" i="8" s="1"/>
  <c r="AS43" i="8"/>
  <c r="AP43" i="8"/>
  <c r="AM43" i="8"/>
  <c r="AJ43" i="8"/>
  <c r="AG43" i="8"/>
  <c r="AD43" i="8"/>
  <c r="X43" i="8" a="1"/>
  <c r="X43" i="8" s="1"/>
  <c r="Y43" i="8" s="1"/>
  <c r="V43" i="8"/>
  <c r="R43" i="8"/>
  <c r="N43" i="8" a="1"/>
  <c r="N43" i="8" s="1"/>
  <c r="O43" i="8" s="1"/>
  <c r="L43" i="8"/>
  <c r="H43" i="8"/>
  <c r="C43" i="8" a="1"/>
  <c r="C43" i="8" s="1"/>
  <c r="A43" i="8" a="1"/>
  <c r="A43" i="8" s="1"/>
  <c r="AT42" i="8" a="1"/>
  <c r="AT42" i="8" s="1"/>
  <c r="AS42" i="8"/>
  <c r="AP42" i="8"/>
  <c r="AM42" i="8"/>
  <c r="AJ42" i="8"/>
  <c r="AG42" i="8"/>
  <c r="AD42" i="8"/>
  <c r="X42" i="8" a="1"/>
  <c r="X42" i="8" s="1"/>
  <c r="Y42" i="8" s="1"/>
  <c r="V42" i="8"/>
  <c r="R42" i="8"/>
  <c r="N42" i="8" a="1"/>
  <c r="N42" i="8" s="1"/>
  <c r="O42" i="8" s="1"/>
  <c r="L42" i="8"/>
  <c r="H42" i="8"/>
  <c r="C42" i="8" a="1"/>
  <c r="C42" i="8" s="1"/>
  <c r="A42" i="8" a="1"/>
  <c r="A42" i="8" s="1"/>
  <c r="AT41" i="8" a="1"/>
  <c r="AT41" i="8" s="1"/>
  <c r="AS41" i="8"/>
  <c r="AP41" i="8"/>
  <c r="AM41" i="8"/>
  <c r="AJ41" i="8"/>
  <c r="AG41" i="8"/>
  <c r="AD41" i="8"/>
  <c r="X41" i="8" a="1"/>
  <c r="X41" i="8" s="1"/>
  <c r="Y41" i="8" s="1"/>
  <c r="AA41" i="8" s="1"/>
  <c r="R41" i="8"/>
  <c r="N41" i="8" a="1"/>
  <c r="N41" i="8" s="1"/>
  <c r="O41" i="8" s="1"/>
  <c r="L41" i="8"/>
  <c r="H41" i="8"/>
  <c r="C41" i="8" a="1"/>
  <c r="C41" i="8" s="1"/>
  <c r="A41" i="8" a="1"/>
  <c r="A41" i="8" s="1"/>
  <c r="AT40" i="8" a="1"/>
  <c r="AT40" i="8" s="1"/>
  <c r="AS40" i="8"/>
  <c r="AP40" i="8"/>
  <c r="AM40" i="8"/>
  <c r="AJ40" i="8"/>
  <c r="AG40" i="8"/>
  <c r="AD40" i="8"/>
  <c r="X40" i="8" a="1"/>
  <c r="X40" i="8" s="1"/>
  <c r="Y40" i="8" s="1"/>
  <c r="V40" i="8"/>
  <c r="R40" i="8"/>
  <c r="N40" i="8" a="1"/>
  <c r="N40" i="8" s="1"/>
  <c r="O40" i="8" s="1"/>
  <c r="L40" i="8"/>
  <c r="H40" i="8"/>
  <c r="C40" i="8" a="1"/>
  <c r="C40" i="8" s="1"/>
  <c r="A40" i="8" a="1"/>
  <c r="A40" i="8" s="1"/>
  <c r="AT39" i="8" a="1"/>
  <c r="AT39" i="8" s="1"/>
  <c r="AS39" i="8"/>
  <c r="AP39" i="8"/>
  <c r="AM39" i="8"/>
  <c r="AJ39" i="8"/>
  <c r="AG39" i="8"/>
  <c r="AD39" i="8"/>
  <c r="X39" i="8" a="1"/>
  <c r="X39" i="8" s="1"/>
  <c r="Y39" i="8" s="1"/>
  <c r="V39" i="8"/>
  <c r="R39" i="8"/>
  <c r="N39" i="8" a="1"/>
  <c r="N39" i="8" s="1"/>
  <c r="O39" i="8" s="1"/>
  <c r="L39" i="8"/>
  <c r="H39" i="8"/>
  <c r="C39" i="8" a="1"/>
  <c r="C39" i="8" s="1"/>
  <c r="A39" i="8" a="1"/>
  <c r="A39" i="8" s="1"/>
  <c r="AT38" i="8" a="1"/>
  <c r="AT38" i="8" s="1"/>
  <c r="AS38" i="8"/>
  <c r="AP38" i="8"/>
  <c r="AM38" i="8"/>
  <c r="AJ38" i="8"/>
  <c r="AG38" i="8"/>
  <c r="AD38" i="8"/>
  <c r="X38" i="8" a="1"/>
  <c r="X38" i="8" s="1"/>
  <c r="Y38" i="8" s="1"/>
  <c r="V38" i="8"/>
  <c r="R38" i="8"/>
  <c r="N38" i="8" a="1"/>
  <c r="N38" i="8" s="1"/>
  <c r="O38" i="8" s="1"/>
  <c r="L38" i="8"/>
  <c r="H38" i="8"/>
  <c r="C38" i="8" a="1"/>
  <c r="C38" i="8" s="1"/>
  <c r="A38" i="8" a="1"/>
  <c r="A38" i="8" s="1"/>
  <c r="AT37" i="8" a="1"/>
  <c r="AT37" i="8" s="1"/>
  <c r="AS37" i="8"/>
  <c r="AP37" i="8"/>
  <c r="AM37" i="8"/>
  <c r="AJ37" i="8"/>
  <c r="AG37" i="8"/>
  <c r="AD37" i="8"/>
  <c r="X37" i="8" a="1"/>
  <c r="X37" i="8" s="1"/>
  <c r="Y37" i="8" s="1"/>
  <c r="V37" i="8"/>
  <c r="R37" i="8"/>
  <c r="N37" i="8" a="1"/>
  <c r="N37" i="8" s="1"/>
  <c r="O37" i="8" s="1"/>
  <c r="L37" i="8"/>
  <c r="H37" i="8"/>
  <c r="C37" i="8" a="1"/>
  <c r="C37" i="8" s="1"/>
  <c r="A37" i="8" a="1"/>
  <c r="A37" i="8" s="1"/>
  <c r="AT36" i="8" a="1"/>
  <c r="AT36" i="8" s="1"/>
  <c r="AS36" i="8"/>
  <c r="AP36" i="8"/>
  <c r="AM36" i="8"/>
  <c r="AJ36" i="8"/>
  <c r="AG36" i="8"/>
  <c r="AD36" i="8"/>
  <c r="X36" i="8" a="1"/>
  <c r="X36" i="8" s="1"/>
  <c r="Y36" i="8" s="1"/>
  <c r="V36" i="8"/>
  <c r="R36" i="8"/>
  <c r="N36" i="8" a="1"/>
  <c r="N36" i="8" s="1"/>
  <c r="O36" i="8" s="1"/>
  <c r="L36" i="8"/>
  <c r="H36" i="8"/>
  <c r="C36" i="8" a="1"/>
  <c r="C36" i="8" s="1"/>
  <c r="A36" i="8" a="1"/>
  <c r="A36" i="8" s="1"/>
  <c r="AT35" i="8" a="1"/>
  <c r="AT35" i="8" s="1"/>
  <c r="AS35" i="8"/>
  <c r="AP35" i="8"/>
  <c r="AM35" i="8"/>
  <c r="AJ35" i="8"/>
  <c r="AG35" i="8"/>
  <c r="AD35" i="8"/>
  <c r="X35" i="8" a="1"/>
  <c r="X35" i="8" s="1"/>
  <c r="Y35" i="8" s="1"/>
  <c r="V35" i="8"/>
  <c r="R35" i="8"/>
  <c r="N35" i="8" a="1"/>
  <c r="N35" i="8" s="1"/>
  <c r="O35" i="8" s="1"/>
  <c r="L35" i="8"/>
  <c r="H35" i="8"/>
  <c r="C35" i="8" a="1"/>
  <c r="C35" i="8" s="1"/>
  <c r="A35" i="8" a="1"/>
  <c r="A35" i="8" s="1"/>
  <c r="AT34" i="8" a="1"/>
  <c r="AT34" i="8" s="1"/>
  <c r="AS34" i="8"/>
  <c r="AP34" i="8"/>
  <c r="AM34" i="8"/>
  <c r="AJ34" i="8"/>
  <c r="AG34" i="8"/>
  <c r="AD34" i="8"/>
  <c r="X34" i="8" a="1"/>
  <c r="X34" i="8" s="1"/>
  <c r="Y34" i="8" s="1"/>
  <c r="V34" i="8"/>
  <c r="R34" i="8"/>
  <c r="N34" i="8" a="1"/>
  <c r="N34" i="8" s="1"/>
  <c r="O34" i="8" s="1"/>
  <c r="L34" i="8"/>
  <c r="H34" i="8"/>
  <c r="C34" i="8" a="1"/>
  <c r="C34" i="8" s="1"/>
  <c r="A34" i="8" a="1"/>
  <c r="A34" i="8" s="1"/>
  <c r="AT33" i="8" a="1"/>
  <c r="AT33" i="8" s="1"/>
  <c r="AS33" i="8"/>
  <c r="AP33" i="8"/>
  <c r="AM33" i="8"/>
  <c r="AJ33" i="8"/>
  <c r="AG33" i="8"/>
  <c r="AD33" i="8"/>
  <c r="X33" i="8" a="1"/>
  <c r="X33" i="8" s="1"/>
  <c r="Y33" i="8" s="1"/>
  <c r="V33" i="8"/>
  <c r="R33" i="8"/>
  <c r="N33" i="8" a="1"/>
  <c r="N33" i="8" s="1"/>
  <c r="O33" i="8" s="1"/>
  <c r="L33" i="8"/>
  <c r="H33" i="8"/>
  <c r="C33" i="8" a="1"/>
  <c r="C33" i="8" s="1"/>
  <c r="A33" i="8" a="1"/>
  <c r="A33" i="8" s="1"/>
  <c r="AT32" i="8" a="1"/>
  <c r="AT32" i="8" s="1"/>
  <c r="AS32" i="8"/>
  <c r="AP32" i="8"/>
  <c r="AM32" i="8"/>
  <c r="AJ32" i="8"/>
  <c r="AG32" i="8"/>
  <c r="AD32" i="8"/>
  <c r="X32" i="8" a="1"/>
  <c r="X32" i="8" s="1"/>
  <c r="Y32" i="8" s="1"/>
  <c r="V32" i="8"/>
  <c r="R32" i="8"/>
  <c r="N32" i="8" a="1"/>
  <c r="N32" i="8" s="1"/>
  <c r="O32" i="8" s="1"/>
  <c r="L32" i="8"/>
  <c r="H32" i="8"/>
  <c r="C32" i="8" a="1"/>
  <c r="C32" i="8" s="1"/>
  <c r="A32" i="8" a="1"/>
  <c r="A32" i="8" s="1"/>
  <c r="AT31" i="8" a="1"/>
  <c r="AT31" i="8" s="1"/>
  <c r="AS31" i="8"/>
  <c r="AP31" i="8"/>
  <c r="AM31" i="8"/>
  <c r="AJ31" i="8"/>
  <c r="AG31" i="8"/>
  <c r="AD31" i="8"/>
  <c r="X31" i="8" a="1"/>
  <c r="X31" i="8" s="1"/>
  <c r="Y31" i="8" s="1"/>
  <c r="V31" i="8"/>
  <c r="R31" i="8"/>
  <c r="N31" i="8" a="1"/>
  <c r="N31" i="8" s="1"/>
  <c r="O31" i="8" s="1"/>
  <c r="L31" i="8"/>
  <c r="H31" i="8"/>
  <c r="C31" i="8" a="1"/>
  <c r="C31" i="8" s="1"/>
  <c r="A31" i="8" a="1"/>
  <c r="A31" i="8" s="1"/>
  <c r="AT30" i="8" a="1"/>
  <c r="AT30" i="8" s="1"/>
  <c r="AS30" i="8"/>
  <c r="AP30" i="8"/>
  <c r="AM30" i="8"/>
  <c r="AJ30" i="8"/>
  <c r="AG30" i="8"/>
  <c r="AD30" i="8"/>
  <c r="X30" i="8" a="1"/>
  <c r="X30" i="8" s="1"/>
  <c r="Y30" i="8" s="1"/>
  <c r="V30" i="8"/>
  <c r="R30" i="8"/>
  <c r="N30" i="8" a="1"/>
  <c r="N30" i="8" s="1"/>
  <c r="O30" i="8" s="1"/>
  <c r="L30" i="8"/>
  <c r="H30" i="8"/>
  <c r="C30" i="8" a="1"/>
  <c r="C30" i="8" s="1"/>
  <c r="A30" i="8" a="1"/>
  <c r="A30" i="8" s="1"/>
  <c r="AT29" i="8" a="1"/>
  <c r="AT29" i="8" s="1"/>
  <c r="AS29" i="8"/>
  <c r="AP29" i="8"/>
  <c r="AM29" i="8"/>
  <c r="AJ29" i="8"/>
  <c r="AG29" i="8"/>
  <c r="AD29" i="8"/>
  <c r="X29" i="8" a="1"/>
  <c r="X29" i="8" s="1"/>
  <c r="Y29" i="8" s="1"/>
  <c r="AA29" i="8" s="1"/>
  <c r="R29" i="8"/>
  <c r="N29" i="8" a="1"/>
  <c r="N29" i="8" s="1"/>
  <c r="O29" i="8" s="1"/>
  <c r="L29" i="8"/>
  <c r="H29" i="8"/>
  <c r="C29" i="8" a="1"/>
  <c r="C29" i="8" s="1"/>
  <c r="A29" i="8" a="1"/>
  <c r="A29" i="8" s="1"/>
  <c r="AT28" i="8" a="1"/>
  <c r="AT28" i="8" s="1"/>
  <c r="AS28" i="8"/>
  <c r="AP28" i="8"/>
  <c r="AM28" i="8"/>
  <c r="AJ28" i="8"/>
  <c r="AG28" i="8"/>
  <c r="AD28" i="8"/>
  <c r="X28" i="8" a="1"/>
  <c r="X28" i="8" s="1"/>
  <c r="Y28" i="8" s="1"/>
  <c r="AA28" i="8" s="1"/>
  <c r="R28" i="8"/>
  <c r="N28" i="8" a="1"/>
  <c r="N28" i="8" s="1"/>
  <c r="O28" i="8" s="1"/>
  <c r="L28" i="8"/>
  <c r="H28" i="8"/>
  <c r="C28" i="8" a="1"/>
  <c r="C28" i="8" s="1"/>
  <c r="A28" i="8" a="1"/>
  <c r="A28" i="8" s="1"/>
  <c r="AT27" i="8" a="1"/>
  <c r="AT27" i="8" s="1"/>
  <c r="AS27" i="8"/>
  <c r="AP27" i="8"/>
  <c r="AM27" i="8"/>
  <c r="AJ27" i="8"/>
  <c r="AG27" i="8"/>
  <c r="AD27" i="8"/>
  <c r="X27" i="8" a="1"/>
  <c r="X27" i="8" s="1"/>
  <c r="Y27" i="8" s="1"/>
  <c r="V27" i="8"/>
  <c r="R27" i="8"/>
  <c r="N27" i="8" a="1"/>
  <c r="N27" i="8" s="1"/>
  <c r="O27" i="8" s="1"/>
  <c r="L27" i="8"/>
  <c r="H27" i="8"/>
  <c r="C27" i="8" a="1"/>
  <c r="C27" i="8" s="1"/>
  <c r="A27" i="8" a="1"/>
  <c r="A27" i="8" s="1"/>
  <c r="AT26" i="8" a="1"/>
  <c r="AT26" i="8" s="1"/>
  <c r="AS26" i="8"/>
  <c r="AP26" i="8"/>
  <c r="AM26" i="8"/>
  <c r="AJ26" i="8"/>
  <c r="AG26" i="8"/>
  <c r="AD26" i="8"/>
  <c r="X26" i="8" a="1"/>
  <c r="X26" i="8" s="1"/>
  <c r="R26" i="8"/>
  <c r="N26" i="8" a="1"/>
  <c r="N26" i="8" s="1"/>
  <c r="L26" i="8"/>
  <c r="H26" i="8"/>
  <c r="C26" i="8" a="1"/>
  <c r="C26" i="8" s="1"/>
  <c r="A26" i="8" a="1"/>
  <c r="A26" i="8" s="1"/>
  <c r="AT25" i="8" a="1"/>
  <c r="AT25" i="8" s="1"/>
  <c r="AS25" i="8"/>
  <c r="AP25" i="8"/>
  <c r="AM25" i="8"/>
  <c r="AJ25" i="8"/>
  <c r="AG25" i="8"/>
  <c r="AD25" i="8"/>
  <c r="X25" i="8" a="1"/>
  <c r="X25" i="8" s="1"/>
  <c r="Y25" i="8" s="1"/>
  <c r="AA25" i="8" s="1"/>
  <c r="R25" i="8"/>
  <c r="N25" i="8" a="1"/>
  <c r="N25" i="8" s="1"/>
  <c r="O25" i="8" s="1"/>
  <c r="L25" i="8"/>
  <c r="H25" i="8"/>
  <c r="C25" i="8" a="1"/>
  <c r="C25" i="8" s="1"/>
  <c r="A25" i="8" a="1"/>
  <c r="A25" i="8" s="1"/>
  <c r="AT24" i="8" a="1"/>
  <c r="AT24" i="8" s="1"/>
  <c r="AS24" i="8"/>
  <c r="AP24" i="8"/>
  <c r="AM24" i="8"/>
  <c r="AJ24" i="8"/>
  <c r="AG24" i="8"/>
  <c r="AD24" i="8"/>
  <c r="X24" i="8" a="1"/>
  <c r="X24" i="8" s="1"/>
  <c r="Y24" i="8" s="1"/>
  <c r="AA24" i="8" s="1"/>
  <c r="R24" i="8"/>
  <c r="N24" i="8" a="1"/>
  <c r="N24" i="8" s="1"/>
  <c r="O24" i="8" s="1"/>
  <c r="L24" i="8"/>
  <c r="H24" i="8"/>
  <c r="C24" i="8" a="1"/>
  <c r="C24" i="8" s="1"/>
  <c r="A24" i="8" a="1"/>
  <c r="A24" i="8" s="1"/>
  <c r="AT23" i="8" a="1"/>
  <c r="AT23" i="8" s="1"/>
  <c r="AS23" i="8"/>
  <c r="AP23" i="8"/>
  <c r="AM23" i="8"/>
  <c r="AJ23" i="8"/>
  <c r="AG23" i="8"/>
  <c r="AD23" i="8"/>
  <c r="X23" i="8" a="1"/>
  <c r="X23" i="8" s="1"/>
  <c r="Y23" i="8" s="1"/>
  <c r="AA23" i="8" s="1"/>
  <c r="R23" i="8"/>
  <c r="N23" i="8" a="1"/>
  <c r="N23" i="8" s="1"/>
  <c r="O23" i="8" s="1"/>
  <c r="L23" i="8"/>
  <c r="H23" i="8"/>
  <c r="C23" i="8" a="1"/>
  <c r="C23" i="8" s="1"/>
  <c r="A23" i="8" a="1"/>
  <c r="A23" i="8" s="1"/>
  <c r="AT22" i="8" a="1"/>
  <c r="AT22" i="8" s="1"/>
  <c r="AS22" i="8"/>
  <c r="AP22" i="8"/>
  <c r="AM22" i="8"/>
  <c r="AJ22" i="8"/>
  <c r="AG22" i="8"/>
  <c r="AD22" i="8"/>
  <c r="X22" i="8" a="1"/>
  <c r="X22" i="8" s="1"/>
  <c r="Y22" i="8" s="1"/>
  <c r="AA22" i="8" s="1"/>
  <c r="R22" i="8"/>
  <c r="N22" i="8" a="1"/>
  <c r="N22" i="8" s="1"/>
  <c r="O22" i="8" s="1"/>
  <c r="L22" i="8"/>
  <c r="H22" i="8"/>
  <c r="C22" i="8" a="1"/>
  <c r="C22" i="8" s="1"/>
  <c r="A22" i="8" a="1"/>
  <c r="A22" i="8" s="1"/>
  <c r="AT21" i="8" a="1"/>
  <c r="AT21" i="8" s="1"/>
  <c r="AS21" i="8"/>
  <c r="AP21" i="8"/>
  <c r="AM21" i="8"/>
  <c r="AJ21" i="8"/>
  <c r="AG21" i="8"/>
  <c r="AD21" i="8"/>
  <c r="X21" i="8" a="1"/>
  <c r="X21" i="8" s="1"/>
  <c r="Y21" i="8" s="1"/>
  <c r="V21" i="8"/>
  <c r="R21" i="8"/>
  <c r="N21" i="8" a="1"/>
  <c r="N21" i="8" s="1"/>
  <c r="O21" i="8" s="1"/>
  <c r="L21" i="8"/>
  <c r="H21" i="8"/>
  <c r="C21" i="8" a="1"/>
  <c r="C21" i="8" s="1"/>
  <c r="A21" i="8" a="1"/>
  <c r="A21" i="8" s="1"/>
  <c r="AT20" i="8" a="1"/>
  <c r="AT20" i="8" s="1"/>
  <c r="AS20" i="8"/>
  <c r="AP20" i="8"/>
  <c r="AM20" i="8"/>
  <c r="AJ20" i="8"/>
  <c r="AG20" i="8"/>
  <c r="AD20" i="8"/>
  <c r="X20" i="8" a="1"/>
  <c r="X20" i="8" s="1"/>
  <c r="Y20" i="8" s="1"/>
  <c r="AA20" i="8" s="1"/>
  <c r="R20" i="8"/>
  <c r="N20" i="8" a="1"/>
  <c r="N20" i="8" s="1"/>
  <c r="O20" i="8" s="1"/>
  <c r="L20" i="8"/>
  <c r="H20" i="8"/>
  <c r="C20" i="8" a="1"/>
  <c r="C20" i="8" s="1"/>
  <c r="A20" i="8" a="1"/>
  <c r="A20" i="8" s="1"/>
  <c r="AT19" i="8" a="1"/>
  <c r="AT19" i="8" s="1"/>
  <c r="AS19" i="8"/>
  <c r="AP19" i="8"/>
  <c r="AM19" i="8"/>
  <c r="AJ19" i="8"/>
  <c r="AG19" i="8"/>
  <c r="AD19" i="8"/>
  <c r="X19" i="8" a="1"/>
  <c r="X19" i="8" s="1"/>
  <c r="Y19" i="8" s="1"/>
  <c r="AA19" i="8" s="1"/>
  <c r="R19" i="8"/>
  <c r="N19" i="8" a="1"/>
  <c r="N19" i="8" s="1"/>
  <c r="O19" i="8" s="1"/>
  <c r="L19" i="8"/>
  <c r="H19" i="8"/>
  <c r="C19" i="8" a="1"/>
  <c r="C19" i="8" s="1"/>
  <c r="A19" i="8" a="1"/>
  <c r="A19" i="8" s="1"/>
  <c r="AT18" i="8" a="1"/>
  <c r="AT18" i="8" s="1"/>
  <c r="AS18" i="8"/>
  <c r="AP18" i="8"/>
  <c r="AM18" i="8"/>
  <c r="AJ18" i="8"/>
  <c r="AG18" i="8"/>
  <c r="AD18" i="8"/>
  <c r="X18" i="8" a="1"/>
  <c r="X18" i="8" s="1"/>
  <c r="Y18" i="8" s="1"/>
  <c r="AA18" i="8" s="1"/>
  <c r="R18" i="8"/>
  <c r="N18" i="8" a="1"/>
  <c r="N18" i="8" s="1"/>
  <c r="O18" i="8" s="1"/>
  <c r="L18" i="8"/>
  <c r="H18" i="8"/>
  <c r="C18" i="8" a="1"/>
  <c r="C18" i="8" s="1"/>
  <c r="A18" i="8" a="1"/>
  <c r="A18" i="8" s="1"/>
  <c r="AT17" i="8" a="1"/>
  <c r="AT17" i="8" s="1"/>
  <c r="AS17" i="8"/>
  <c r="AP17" i="8"/>
  <c r="AM17" i="8"/>
  <c r="AJ17" i="8"/>
  <c r="AG17" i="8"/>
  <c r="AD17" i="8"/>
  <c r="X17" i="8" a="1"/>
  <c r="X17" i="8" s="1"/>
  <c r="Y17" i="8" s="1"/>
  <c r="V17" i="8"/>
  <c r="R17" i="8"/>
  <c r="N17" i="8" a="1"/>
  <c r="N17" i="8" s="1"/>
  <c r="O17" i="8" s="1"/>
  <c r="L17" i="8"/>
  <c r="H17" i="8"/>
  <c r="C17" i="8" a="1"/>
  <c r="C17" i="8" s="1"/>
  <c r="A17" i="8" a="1"/>
  <c r="A17" i="8" s="1"/>
  <c r="AT16" i="8" a="1"/>
  <c r="AT16" i="8" s="1"/>
  <c r="AS16" i="8"/>
  <c r="AP16" i="8"/>
  <c r="AM16" i="8"/>
  <c r="AJ16" i="8"/>
  <c r="AG16" i="8"/>
  <c r="AD16" i="8"/>
  <c r="X16" i="8" a="1"/>
  <c r="X16" i="8" s="1"/>
  <c r="Y16" i="8" s="1"/>
  <c r="AA16" i="8" s="1"/>
  <c r="R16" i="8"/>
  <c r="N16" i="8" a="1"/>
  <c r="N16" i="8" s="1"/>
  <c r="O16" i="8" s="1"/>
  <c r="L16" i="8"/>
  <c r="H16" i="8"/>
  <c r="C16" i="8" a="1"/>
  <c r="C16" i="8" s="1"/>
  <c r="A16" i="8" a="1"/>
  <c r="A16" i="8" s="1"/>
  <c r="AT15" i="8" a="1"/>
  <c r="AT15" i="8" s="1"/>
  <c r="AS15" i="8"/>
  <c r="AP15" i="8"/>
  <c r="AM15" i="8"/>
  <c r="AJ15" i="8"/>
  <c r="AG15" i="8"/>
  <c r="AD15" i="8"/>
  <c r="X15" i="8" a="1"/>
  <c r="X15" i="8" s="1"/>
  <c r="Y15" i="8" s="1"/>
  <c r="V15" i="8"/>
  <c r="R15" i="8"/>
  <c r="N15" i="8" a="1"/>
  <c r="N15" i="8" s="1"/>
  <c r="O15" i="8" s="1"/>
  <c r="L15" i="8"/>
  <c r="H15" i="8"/>
  <c r="C15" i="8" a="1"/>
  <c r="C15" i="8" s="1"/>
  <c r="A15" i="8" a="1"/>
  <c r="A15" i="8" s="1"/>
  <c r="AT14" i="8" a="1"/>
  <c r="AT14" i="8" s="1"/>
  <c r="AS14" i="8"/>
  <c r="AP14" i="8"/>
  <c r="AM14" i="8"/>
  <c r="AJ14" i="8"/>
  <c r="AG14" i="8"/>
  <c r="AD14" i="8"/>
  <c r="X14" i="8" a="1"/>
  <c r="X14" i="8" s="1"/>
  <c r="Y14" i="8" s="1"/>
  <c r="V14" i="8"/>
  <c r="R14" i="8"/>
  <c r="N14" i="8" a="1"/>
  <c r="N14" i="8" s="1"/>
  <c r="O14" i="8" s="1"/>
  <c r="L14" i="8"/>
  <c r="H14" i="8"/>
  <c r="C14" i="8" a="1"/>
  <c r="C14" i="8" s="1"/>
  <c r="A14" i="8" a="1"/>
  <c r="A14" i="8" s="1"/>
  <c r="AT13" i="8" a="1"/>
  <c r="AT13" i="8" s="1"/>
  <c r="AS13" i="8"/>
  <c r="AP13" i="8"/>
  <c r="AM13" i="8"/>
  <c r="AJ13" i="8"/>
  <c r="AG13" i="8"/>
  <c r="AD13" i="8"/>
  <c r="X13" i="8" a="1"/>
  <c r="X13" i="8" s="1"/>
  <c r="Y13" i="8" s="1"/>
  <c r="V13" i="8"/>
  <c r="R13" i="8"/>
  <c r="N13" i="8" a="1"/>
  <c r="N13" i="8" s="1"/>
  <c r="O13" i="8" s="1"/>
  <c r="L13" i="8"/>
  <c r="H13" i="8"/>
  <c r="C13" i="8" a="1"/>
  <c r="C13" i="8" s="1"/>
  <c r="A13" i="8" a="1"/>
  <c r="A13" i="8" s="1"/>
  <c r="AT12" i="8" a="1"/>
  <c r="AT12" i="8" s="1"/>
  <c r="AS12" i="8"/>
  <c r="AP12" i="8"/>
  <c r="AM12" i="8"/>
  <c r="AJ12" i="8"/>
  <c r="AG12" i="8"/>
  <c r="AD12" i="8"/>
  <c r="X12" i="8" a="1"/>
  <c r="X12" i="8" s="1"/>
  <c r="Y12" i="8" s="1"/>
  <c r="V12" i="8"/>
  <c r="R12" i="8"/>
  <c r="N12" i="8" a="1"/>
  <c r="N12" i="8" s="1"/>
  <c r="O12" i="8" s="1"/>
  <c r="L12" i="8"/>
  <c r="H12" i="8"/>
  <c r="C12" i="8" a="1"/>
  <c r="C12" i="8" s="1"/>
  <c r="A12" i="8" a="1"/>
  <c r="A12" i="8" s="1"/>
  <c r="AT11" i="8" a="1"/>
  <c r="AT11" i="8" s="1"/>
  <c r="AS11" i="8"/>
  <c r="AP11" i="8"/>
  <c r="AM11" i="8"/>
  <c r="AJ11" i="8"/>
  <c r="AG11" i="8"/>
  <c r="AD11" i="8"/>
  <c r="X11" i="8" a="1"/>
  <c r="X11" i="8" s="1"/>
  <c r="Y11" i="8" s="1"/>
  <c r="V11" i="8"/>
  <c r="R11" i="8"/>
  <c r="N11" i="8" a="1"/>
  <c r="N11" i="8" s="1"/>
  <c r="O11" i="8" s="1"/>
  <c r="L11" i="8"/>
  <c r="H11" i="8"/>
  <c r="C11" i="8" a="1"/>
  <c r="C11" i="8" s="1"/>
  <c r="A11" i="8" a="1"/>
  <c r="A11" i="8" s="1"/>
  <c r="AT10" i="8" a="1"/>
  <c r="AT10" i="8" s="1"/>
  <c r="AS10" i="8"/>
  <c r="AP10" i="8"/>
  <c r="AM10" i="8"/>
  <c r="AJ10" i="8"/>
  <c r="AG10" i="8"/>
  <c r="AD10" i="8"/>
  <c r="X10" i="8" a="1"/>
  <c r="X10" i="8" s="1"/>
  <c r="Y10" i="8" s="1"/>
  <c r="V10" i="8"/>
  <c r="R10" i="8"/>
  <c r="N10" i="8" a="1"/>
  <c r="N10" i="8" s="1"/>
  <c r="O10" i="8" s="1"/>
  <c r="L10" i="8"/>
  <c r="H10" i="8"/>
  <c r="C10" i="8" a="1"/>
  <c r="C10" i="8" s="1"/>
  <c r="A10" i="8" a="1"/>
  <c r="A10" i="8" s="1"/>
  <c r="AT9" i="8" a="1"/>
  <c r="AT9" i="8" s="1"/>
  <c r="AS9" i="8"/>
  <c r="AP9" i="8"/>
  <c r="AM9" i="8"/>
  <c r="AJ9" i="8"/>
  <c r="AG9" i="8"/>
  <c r="AD9" i="8"/>
  <c r="X9" i="8" a="1"/>
  <c r="X9" i="8" s="1"/>
  <c r="V9" i="8"/>
  <c r="R9" i="8"/>
  <c r="N9" i="8" a="1"/>
  <c r="N9" i="8" s="1"/>
  <c r="L9" i="8"/>
  <c r="H9" i="8"/>
  <c r="C9" i="8" a="1"/>
  <c r="C9" i="8" s="1"/>
  <c r="A9" i="8" a="1"/>
  <c r="A9" i="8" s="1"/>
  <c r="AT8" i="8" a="1"/>
  <c r="AT8" i="8" s="1"/>
  <c r="AS8" i="8"/>
  <c r="AP8" i="8"/>
  <c r="AM8" i="8"/>
  <c r="AJ8" i="8"/>
  <c r="AG8" i="8"/>
  <c r="AD8" i="8"/>
  <c r="X8" i="8" a="1"/>
  <c r="X8" i="8" s="1"/>
  <c r="Y8" i="8" s="1"/>
  <c r="V8" i="8"/>
  <c r="R8" i="8"/>
  <c r="N8" i="8" a="1"/>
  <c r="N8" i="8" s="1"/>
  <c r="O8" i="8" s="1"/>
  <c r="L8" i="8"/>
  <c r="H8" i="8"/>
  <c r="C8" i="8" a="1"/>
  <c r="C8" i="8" s="1"/>
  <c r="A8" i="8" a="1"/>
  <c r="A8" i="8" s="1"/>
  <c r="AT7" i="8" a="1"/>
  <c r="AT7" i="8" s="1"/>
  <c r="AS7" i="8"/>
  <c r="AP7" i="8"/>
  <c r="AM7" i="8"/>
  <c r="AJ7" i="8"/>
  <c r="AG7" i="8"/>
  <c r="AD7" i="8"/>
  <c r="X7" i="8" a="1"/>
  <c r="X7" i="8" s="1"/>
  <c r="Y7" i="8" s="1"/>
  <c r="V7" i="8"/>
  <c r="R7" i="8"/>
  <c r="N7" i="8" a="1"/>
  <c r="N7" i="8" s="1"/>
  <c r="O7" i="8" s="1"/>
  <c r="L7" i="8"/>
  <c r="H7" i="8"/>
  <c r="C7" i="8" a="1"/>
  <c r="C7" i="8" s="1"/>
  <c r="A7" i="8" a="1"/>
  <c r="A7" i="8" s="1"/>
  <c r="AT6" i="8" a="1"/>
  <c r="AT6" i="8" s="1"/>
  <c r="AS6" i="8"/>
  <c r="AP6" i="8"/>
  <c r="AM6" i="8"/>
  <c r="AJ6" i="8"/>
  <c r="AG6" i="8"/>
  <c r="AD6" i="8"/>
  <c r="X6" i="8" a="1"/>
  <c r="X6" i="8" s="1"/>
  <c r="Y6" i="8" s="1"/>
  <c r="V6" i="8"/>
  <c r="R6" i="8"/>
  <c r="N6" i="8" a="1"/>
  <c r="N6" i="8" s="1"/>
  <c r="O6" i="8" s="1"/>
  <c r="L6" i="8"/>
  <c r="H6" i="8"/>
  <c r="C6" i="8" a="1"/>
  <c r="C6" i="8" s="1"/>
  <c r="A6" i="8" a="1"/>
  <c r="A6" i="8" s="1"/>
  <c r="AT5" i="8" a="1"/>
  <c r="AT5" i="8" s="1"/>
  <c r="AS5" i="8"/>
  <c r="AP5" i="8"/>
  <c r="AM5" i="8"/>
  <c r="AJ5" i="8"/>
  <c r="AG5" i="8"/>
  <c r="AD5" i="8"/>
  <c r="X5" i="8" a="1"/>
  <c r="X5" i="8" s="1"/>
  <c r="Y5" i="8" s="1"/>
  <c r="V5" i="8"/>
  <c r="R5" i="8"/>
  <c r="N5" i="8" a="1"/>
  <c r="N5" i="8" s="1"/>
  <c r="O5" i="8" s="1"/>
  <c r="L5" i="8"/>
  <c r="H5" i="8"/>
  <c r="C5" i="8" a="1"/>
  <c r="C5" i="8" s="1"/>
  <c r="A5" i="8" a="1"/>
  <c r="A5" i="8" s="1"/>
  <c r="AT4" i="8" a="1"/>
  <c r="AT4" i="8" s="1"/>
  <c r="AS4" i="8"/>
  <c r="AP4" i="8"/>
  <c r="AM4" i="8"/>
  <c r="AJ4" i="8"/>
  <c r="AG4" i="8"/>
  <c r="AD4" i="8"/>
  <c r="X4" i="8" a="1"/>
  <c r="X4" i="8" s="1"/>
  <c r="Y4" i="8" s="1"/>
  <c r="V4" i="8"/>
  <c r="R4" i="8"/>
  <c r="O4" i="8"/>
  <c r="L4" i="8"/>
  <c r="H4" i="8"/>
  <c r="C4" i="8" a="1"/>
  <c r="C4" i="8" s="1"/>
  <c r="A4" i="8" a="1"/>
  <c r="A4" i="8" s="1"/>
  <c r="AT3" i="8" a="1"/>
  <c r="AT3" i="8" s="1"/>
  <c r="AS3" i="8"/>
  <c r="AP3" i="8"/>
  <c r="AM3" i="8"/>
  <c r="AJ3" i="8"/>
  <c r="AG3" i="8"/>
  <c r="AD3" i="8"/>
  <c r="X3" i="8" a="1"/>
  <c r="X3" i="8" s="1"/>
  <c r="Y3" i="8" s="1"/>
  <c r="AA3" i="8" s="1"/>
  <c r="R3" i="8"/>
  <c r="O3" i="8"/>
  <c r="L3" i="8"/>
  <c r="H3" i="8"/>
  <c r="C3" i="8" a="1"/>
  <c r="C3" i="8" s="1"/>
  <c r="AT2" i="8" a="1"/>
  <c r="AT2" i="8" s="1"/>
  <c r="AS2" i="8"/>
  <c r="AP2" i="8"/>
  <c r="AM2" i="8"/>
  <c r="AJ2" i="8"/>
  <c r="AG2" i="8"/>
  <c r="AD2" i="8"/>
  <c r="X2" i="8" a="1"/>
  <c r="X2" i="8" s="1"/>
  <c r="Y2" i="8" s="1"/>
  <c r="V2" i="8"/>
  <c r="R2" i="8"/>
  <c r="O2" i="8"/>
  <c r="L2" i="8"/>
  <c r="H2" i="8"/>
  <c r="C2" i="8" a="1"/>
  <c r="C2" i="8" s="1"/>
  <c r="A2" i="8" a="1"/>
  <c r="A2" i="8" s="1"/>
  <c r="AA532" i="8" l="1"/>
  <c r="AA112" i="8"/>
  <c r="AA127" i="8"/>
  <c r="AA153" i="8"/>
  <c r="AA161" i="8"/>
  <c r="AA182" i="8"/>
  <c r="AA191" i="8"/>
  <c r="AA233" i="8"/>
  <c r="AA241" i="8"/>
  <c r="AA272" i="8"/>
  <c r="AA279" i="8"/>
  <c r="AA286" i="8"/>
  <c r="AA294" i="8"/>
  <c r="AA302" i="8"/>
  <c r="AA309" i="8"/>
  <c r="AA322" i="8"/>
  <c r="AA335" i="8"/>
  <c r="AA376" i="8"/>
  <c r="AA381" i="8"/>
  <c r="AA421" i="8"/>
  <c r="AA427" i="8"/>
  <c r="AA452" i="8"/>
  <c r="AA479" i="8"/>
  <c r="AA491" i="8"/>
  <c r="AA526" i="8"/>
  <c r="AA4" i="8"/>
  <c r="AA12" i="8"/>
  <c r="AA510" i="8"/>
  <c r="AA10" i="8"/>
  <c r="AA17" i="8"/>
  <c r="AA31" i="8"/>
  <c r="AA39" i="8"/>
  <c r="AA46" i="8"/>
  <c r="AA52" i="8"/>
  <c r="AA59" i="8"/>
  <c r="AA72" i="8"/>
  <c r="AA86" i="8"/>
  <c r="AA122" i="8"/>
  <c r="AA130" i="8"/>
  <c r="AA142" i="8"/>
  <c r="AA149" i="8"/>
  <c r="AA156" i="8"/>
  <c r="AA164" i="8"/>
  <c r="AA171" i="8"/>
  <c r="AA177" i="8"/>
  <c r="AA185" i="8"/>
  <c r="AA214" i="8"/>
  <c r="AA236" i="8"/>
  <c r="AA244" i="8"/>
  <c r="AA275" i="8"/>
  <c r="AA281" i="8"/>
  <c r="AA289" i="8"/>
  <c r="AA297" i="8"/>
  <c r="AA304" i="8"/>
  <c r="AA312" i="8"/>
  <c r="AA318" i="8"/>
  <c r="AA324" i="8"/>
  <c r="AA330" i="8"/>
  <c r="AA338" i="8"/>
  <c r="AA397" i="8"/>
  <c r="AA423" i="8"/>
  <c r="AA430" i="8"/>
  <c r="AA437" i="8"/>
  <c r="AA447" i="8"/>
  <c r="AA463" i="8"/>
  <c r="AA486" i="8"/>
  <c r="AA494" i="8"/>
  <c r="AA523" i="8"/>
  <c r="AA7" i="8"/>
  <c r="AA43" i="8"/>
  <c r="AA15" i="8"/>
  <c r="AA50" i="8"/>
  <c r="AA6" i="8"/>
  <c r="AA14" i="8"/>
  <c r="AA35" i="8"/>
  <c r="AA42" i="8"/>
  <c r="AA49" i="8"/>
  <c r="AA63" i="8"/>
  <c r="AA69" i="8"/>
  <c r="AA76" i="8"/>
  <c r="AA90" i="8"/>
  <c r="AA103" i="8"/>
  <c r="AA126" i="8"/>
  <c r="AA139" i="8"/>
  <c r="AA152" i="8"/>
  <c r="AA160" i="8"/>
  <c r="AA168" i="8"/>
  <c r="AA181" i="8"/>
  <c r="AA240" i="8"/>
  <c r="AA271" i="8"/>
  <c r="AA278" i="8"/>
  <c r="AA285" i="8"/>
  <c r="AA293" i="8"/>
  <c r="AA301" i="8"/>
  <c r="AA308" i="8"/>
  <c r="AA315" i="8"/>
  <c r="AA334" i="8"/>
  <c r="AA375" i="8"/>
  <c r="AA380" i="8"/>
  <c r="AA420" i="8"/>
  <c r="AA426" i="8"/>
  <c r="AA451" i="8"/>
  <c r="AA478" i="8"/>
  <c r="AA490" i="8"/>
  <c r="AA502" i="8"/>
  <c r="AA512" i="8"/>
  <c r="AA519" i="8"/>
  <c r="AA36" i="8"/>
  <c r="AA77" i="8"/>
  <c r="AA27" i="8"/>
  <c r="AA33" i="8"/>
  <c r="AA54" i="8"/>
  <c r="AA61" i="8"/>
  <c r="AA67" i="8"/>
  <c r="AA74" i="8"/>
  <c r="AA81" i="8"/>
  <c r="AA88" i="8"/>
  <c r="AA124" i="8"/>
  <c r="AA137" i="8"/>
  <c r="AA144" i="8"/>
  <c r="AA158" i="8"/>
  <c r="AA166" i="8"/>
  <c r="AA173" i="8"/>
  <c r="AA179" i="8"/>
  <c r="AA198" i="8"/>
  <c r="AA238" i="8"/>
  <c r="AA261" i="8"/>
  <c r="AA283" i="8"/>
  <c r="AA291" i="8"/>
  <c r="AA299" i="8"/>
  <c r="AA306" i="8"/>
  <c r="AA320" i="8"/>
  <c r="AA326" i="8"/>
  <c r="AA332" i="8"/>
  <c r="AA373" i="8"/>
  <c r="AA432" i="8"/>
  <c r="AA442" i="8"/>
  <c r="AA449" i="8"/>
  <c r="AA457" i="8"/>
  <c r="AA488" i="8"/>
  <c r="AA496" i="8"/>
  <c r="AA91" i="8"/>
  <c r="AA30" i="8"/>
  <c r="AA235" i="8"/>
  <c r="AA243" i="8"/>
  <c r="AA274" i="8"/>
  <c r="AA346" i="8"/>
  <c r="AA429" i="8"/>
  <c r="AA436" i="8"/>
  <c r="AA446" i="8"/>
  <c r="AA454" i="8"/>
  <c r="AA493" i="8"/>
  <c r="AA522" i="8"/>
  <c r="AA2" i="8"/>
  <c r="AA8" i="8"/>
  <c r="AA37" i="8"/>
  <c r="AA44" i="8"/>
  <c r="AA57" i="8"/>
  <c r="AA78" i="8"/>
  <c r="AA84" i="8"/>
  <c r="AA128" i="8"/>
  <c r="AA134" i="8"/>
  <c r="AA147" i="8"/>
  <c r="AA154" i="8"/>
  <c r="AA162" i="8"/>
  <c r="AA183" i="8"/>
  <c r="AA234" i="8"/>
  <c r="AA242" i="8"/>
  <c r="AA273" i="8"/>
  <c r="AA280" i="8"/>
  <c r="AA287" i="8"/>
  <c r="AA295" i="8"/>
  <c r="AA310" i="8"/>
  <c r="AA336" i="8"/>
  <c r="AA358" i="8"/>
  <c r="AA382" i="8"/>
  <c r="AA428" i="8"/>
  <c r="AA435" i="8"/>
  <c r="AA445" i="8"/>
  <c r="AA453" i="8"/>
  <c r="AA480" i="8"/>
  <c r="AA492" i="8"/>
  <c r="AA499" i="8"/>
  <c r="AA514" i="8"/>
  <c r="AA521" i="8"/>
  <c r="AA288" i="8"/>
  <c r="AA296" i="8"/>
  <c r="AA311" i="8"/>
  <c r="AA317" i="8"/>
  <c r="AA337" i="8"/>
  <c r="AA513" i="8"/>
  <c r="AA520" i="8"/>
  <c r="AA21" i="8"/>
  <c r="AA85" i="8"/>
  <c r="AA155" i="8"/>
  <c r="AA170" i="8"/>
  <c r="AA45" i="8"/>
  <c r="AA141" i="8"/>
  <c r="AA148" i="8"/>
  <c r="AA176" i="8"/>
  <c r="AA184" i="8"/>
  <c r="AA5" i="8"/>
  <c r="AA13" i="8"/>
  <c r="AA34" i="8"/>
  <c r="AA55" i="8"/>
  <c r="AA62" i="8"/>
  <c r="AA68" i="8"/>
  <c r="AA75" i="8"/>
  <c r="AA82" i="8"/>
  <c r="AA89" i="8"/>
  <c r="AA138" i="8"/>
  <c r="AA145" i="8"/>
  <c r="AA159" i="8"/>
  <c r="AA167" i="8"/>
  <c r="AA180" i="8"/>
  <c r="AA199" i="8"/>
  <c r="AA239" i="8"/>
  <c r="AA270" i="8"/>
  <c r="AA277" i="8"/>
  <c r="AA284" i="8"/>
  <c r="AA292" i="8"/>
  <c r="AA300" i="8"/>
  <c r="AA307" i="8"/>
  <c r="AA314" i="8"/>
  <c r="AA327" i="8"/>
  <c r="AA333" i="8"/>
  <c r="AA374" i="8"/>
  <c r="AA419" i="8"/>
  <c r="AA425" i="8"/>
  <c r="AA433" i="8"/>
  <c r="AA450" i="8"/>
  <c r="AA477" i="8"/>
  <c r="AA483" i="8"/>
  <c r="AA489" i="8"/>
  <c r="AA497" i="8"/>
  <c r="AA501" i="8"/>
  <c r="AA511" i="8"/>
  <c r="AA518" i="8"/>
  <c r="AA38" i="8"/>
  <c r="AA58" i="8"/>
  <c r="AA71" i="8"/>
  <c r="AA129" i="8"/>
  <c r="AA517" i="8"/>
  <c r="AA525" i="8"/>
  <c r="AA79" i="8"/>
  <c r="AA163" i="8"/>
  <c r="AA11" i="8"/>
  <c r="AA32" i="8"/>
  <c r="AA40" i="8"/>
  <c r="AA47" i="8"/>
  <c r="AA53" i="8"/>
  <c r="AA60" i="8"/>
  <c r="AA66" i="8"/>
  <c r="AA73" i="8"/>
  <c r="AA87" i="8"/>
  <c r="AA123" i="8"/>
  <c r="AA131" i="8"/>
  <c r="AA136" i="8"/>
  <c r="AA143" i="8"/>
  <c r="AA150" i="8"/>
  <c r="AA157" i="8"/>
  <c r="AA165" i="8"/>
  <c r="AA172" i="8"/>
  <c r="AA178" i="8"/>
  <c r="AA186" i="8"/>
  <c r="AA197" i="8"/>
  <c r="AA237" i="8"/>
  <c r="AA282" i="8"/>
  <c r="AA290" i="8"/>
  <c r="AA298" i="8"/>
  <c r="AA305" i="8"/>
  <c r="AA319" i="8"/>
  <c r="AA331" i="8"/>
  <c r="AA372" i="8"/>
  <c r="AA398" i="8"/>
  <c r="AA431" i="8"/>
  <c r="AA438" i="8"/>
  <c r="AA448" i="8"/>
  <c r="AA456" i="8"/>
  <c r="AA487" i="8"/>
  <c r="AA495" i="8"/>
  <c r="AA509" i="8"/>
  <c r="Y26" i="8"/>
  <c r="AA26" i="8" s="1"/>
  <c r="O26" i="8"/>
  <c r="O9" i="8"/>
  <c r="Y9" i="8"/>
  <c r="AA9" i="8" s="1"/>
  <c r="Y125" i="8"/>
  <c r="AA125" i="8" s="1"/>
  <c r="Y189" i="8"/>
  <c r="Y190" i="8"/>
  <c r="Y439" i="8"/>
  <c r="AA439" i="8" s="1"/>
  <c r="Y440" i="8"/>
  <c r="AA440" i="8" s="1"/>
  <c r="Y441" i="8"/>
  <c r="AA441" i="8" s="1"/>
  <c r="D379" i="8"/>
  <c r="D381" i="8"/>
  <c r="D382" i="8"/>
  <c r="D383" i="8"/>
  <c r="D384" i="8"/>
  <c r="D389" i="8"/>
  <c r="D390" i="8"/>
  <c r="D500" i="8"/>
  <c r="D326" i="8"/>
  <c r="D329" i="8"/>
  <c r="D331" i="8"/>
  <c r="D334" i="8"/>
  <c r="D337" i="8"/>
  <c r="D343" i="8"/>
  <c r="D349" i="8"/>
  <c r="D352" i="8"/>
  <c r="D355" i="8"/>
  <c r="D360" i="8"/>
  <c r="D363" i="8"/>
  <c r="D376" i="8"/>
  <c r="D476" i="8"/>
  <c r="D477" i="8"/>
  <c r="D480" i="8"/>
  <c r="D481" i="8"/>
  <c r="D482" i="8"/>
  <c r="D483" i="8"/>
  <c r="D484" i="8"/>
  <c r="D485" i="8"/>
  <c r="D488" i="8"/>
  <c r="D489" i="8"/>
  <c r="D491" i="8"/>
  <c r="D492" i="8"/>
  <c r="D496" i="8"/>
  <c r="D497" i="8"/>
  <c r="D499" i="8"/>
  <c r="D330" i="8"/>
  <c r="D338" i="8"/>
  <c r="D344" i="8"/>
  <c r="D347" i="8"/>
  <c r="D359" i="8"/>
  <c r="D367" i="8"/>
  <c r="D374" i="8"/>
  <c r="D281" i="8"/>
  <c r="D283" i="8"/>
  <c r="D285" i="8"/>
  <c r="D286" i="8"/>
  <c r="D287" i="8"/>
  <c r="D288" i="8"/>
  <c r="D289" i="8"/>
  <c r="D300" i="8"/>
  <c r="D301" i="8"/>
  <c r="D464" i="8"/>
  <c r="D468" i="8"/>
  <c r="D469" i="8"/>
  <c r="D474" i="8"/>
  <c r="D333" i="8"/>
  <c r="D336" i="8"/>
  <c r="D339" i="8"/>
  <c r="D342" i="8"/>
  <c r="D345" i="8"/>
  <c r="D348" i="8"/>
  <c r="D351" i="8"/>
  <c r="D365" i="8"/>
  <c r="D368" i="8"/>
  <c r="D371" i="8"/>
  <c r="D375" i="8"/>
  <c r="D291" i="8"/>
  <c r="D292" i="8"/>
  <c r="D293" i="8"/>
  <c r="D294" i="8"/>
  <c r="D295" i="8"/>
  <c r="D296" i="8"/>
  <c r="D297" i="8"/>
  <c r="D302" i="8"/>
  <c r="D303" i="8"/>
  <c r="D305" i="8"/>
  <c r="D306" i="8"/>
  <c r="D309" i="8"/>
  <c r="D310" i="8"/>
  <c r="D311" i="8"/>
  <c r="D313" i="8"/>
  <c r="D314" i="8"/>
  <c r="D316" i="8"/>
  <c r="D317" i="8"/>
  <c r="D318" i="8"/>
  <c r="D319" i="8"/>
  <c r="D321" i="8"/>
  <c r="D324" i="8"/>
  <c r="D261" i="8"/>
  <c r="D262" i="8"/>
  <c r="D266" i="8"/>
  <c r="D269" i="8"/>
  <c r="D270" i="8"/>
  <c r="D272" i="8"/>
  <c r="D276" i="8"/>
  <c r="D277" i="8"/>
  <c r="D279" i="8"/>
  <c r="D460" i="8"/>
  <c r="D212" i="8"/>
  <c r="D221" i="8"/>
  <c r="D228" i="8"/>
  <c r="D229" i="8"/>
  <c r="D232" i="8"/>
  <c r="D233" i="8"/>
  <c r="D234" i="8"/>
  <c r="D235" i="8"/>
  <c r="D236" i="8"/>
  <c r="D237" i="8"/>
  <c r="D240" i="8"/>
  <c r="D243" i="8"/>
  <c r="D244" i="8"/>
  <c r="D248" i="8"/>
  <c r="D251" i="8"/>
  <c r="D252" i="8"/>
  <c r="D256" i="8"/>
  <c r="D259" i="8"/>
  <c r="D260" i="8"/>
  <c r="D459" i="8"/>
  <c r="D197" i="8"/>
  <c r="D203" i="8"/>
  <c r="D204" i="8"/>
  <c r="D206" i="8"/>
  <c r="D211" i="8"/>
  <c r="D213" i="8"/>
  <c r="D214" i="8"/>
  <c r="D217" i="8"/>
  <c r="D219" i="8"/>
  <c r="D220" i="8"/>
  <c r="D222" i="8"/>
  <c r="D38" i="8"/>
  <c r="D40" i="8"/>
  <c r="D41" i="8"/>
  <c r="D42" i="8"/>
  <c r="D46" i="8"/>
  <c r="D48" i="8"/>
  <c r="D49" i="8"/>
  <c r="D50" i="8"/>
  <c r="D54" i="8"/>
  <c r="D56" i="8"/>
  <c r="D57" i="8"/>
  <c r="D58" i="8"/>
  <c r="D62" i="8"/>
  <c r="D64" i="8"/>
  <c r="D65" i="8"/>
  <c r="D66" i="8"/>
  <c r="D67" i="8"/>
  <c r="D70" i="8"/>
  <c r="D72" i="8"/>
  <c r="D73" i="8"/>
  <c r="D78" i="8"/>
  <c r="D80" i="8"/>
  <c r="D81" i="8"/>
  <c r="D83" i="8"/>
  <c r="D86" i="8"/>
  <c r="D88" i="8"/>
  <c r="D89" i="8"/>
  <c r="D91" i="8"/>
  <c r="D92" i="8"/>
  <c r="D93" i="8"/>
  <c r="D95" i="8"/>
  <c r="D96" i="8"/>
  <c r="D97" i="8"/>
  <c r="D98" i="8"/>
  <c r="D100" i="8"/>
  <c r="D101" i="8"/>
  <c r="D102" i="8"/>
  <c r="D103" i="8"/>
  <c r="D104" i="8"/>
  <c r="D105" i="8"/>
  <c r="D106" i="8"/>
  <c r="D108" i="8"/>
  <c r="D109" i="8"/>
  <c r="D110" i="8"/>
  <c r="D111" i="8"/>
  <c r="D114" i="8"/>
  <c r="D116" i="8"/>
  <c r="D117" i="8"/>
  <c r="D118" i="8"/>
  <c r="D119" i="8"/>
  <c r="D122" i="8"/>
  <c r="D124" i="8"/>
  <c r="D127" i="8"/>
  <c r="D130" i="8"/>
  <c r="D131" i="8"/>
  <c r="D133" i="8"/>
  <c r="D135" i="8"/>
  <c r="D138" i="8"/>
  <c r="D139" i="8"/>
  <c r="D141" i="8"/>
  <c r="D143" i="8"/>
  <c r="D146" i="8"/>
  <c r="D148" i="8"/>
  <c r="D150" i="8"/>
  <c r="D153" i="8"/>
  <c r="D154" i="8"/>
  <c r="D158" i="8"/>
  <c r="D160" i="8"/>
  <c r="D161" i="8"/>
  <c r="D162" i="8"/>
  <c r="D164" i="8"/>
  <c r="D168" i="8"/>
  <c r="D169" i="8"/>
  <c r="D170" i="8"/>
  <c r="D172" i="8"/>
  <c r="D176" i="8"/>
  <c r="D177" i="8"/>
  <c r="D178" i="8"/>
  <c r="D179" i="8"/>
  <c r="D183" i="8"/>
  <c r="D184" i="8"/>
  <c r="D185" i="8"/>
  <c r="D186" i="8"/>
  <c r="D187" i="8"/>
  <c r="D458" i="8"/>
  <c r="D195" i="8"/>
  <c r="D196" i="8"/>
  <c r="D205" i="8"/>
  <c r="D3" i="8"/>
  <c r="D9" i="8"/>
  <c r="D11" i="8"/>
  <c r="D400" i="8"/>
  <c r="D401" i="8"/>
  <c r="D402" i="8"/>
  <c r="D404" i="8"/>
  <c r="D407" i="8"/>
  <c r="D408" i="8"/>
  <c r="D409" i="8"/>
  <c r="D410" i="8"/>
  <c r="D412" i="8"/>
  <c r="D415" i="8"/>
  <c r="D416" i="8"/>
  <c r="D419" i="8"/>
  <c r="D421" i="8"/>
  <c r="D422" i="8"/>
  <c r="D423" i="8"/>
  <c r="D424" i="8"/>
  <c r="D427" i="8"/>
  <c r="D429" i="8"/>
  <c r="D430" i="8"/>
  <c r="D431" i="8"/>
  <c r="D432" i="8"/>
  <c r="D434" i="8"/>
  <c r="D435" i="8"/>
  <c r="D436" i="8"/>
  <c r="D437" i="8"/>
  <c r="D444" i="8"/>
  <c r="D445" i="8"/>
  <c r="D446" i="8"/>
  <c r="D451" i="8"/>
  <c r="D454" i="8"/>
  <c r="D457" i="8"/>
  <c r="D501" i="8"/>
  <c r="D509" i="8"/>
  <c r="D510" i="8"/>
  <c r="D511" i="8"/>
  <c r="D513" i="8"/>
  <c r="D518" i="8"/>
  <c r="D519" i="8"/>
  <c r="D520" i="8"/>
  <c r="D521" i="8"/>
  <c r="D527" i="8"/>
  <c r="D528" i="8"/>
  <c r="D530" i="8"/>
  <c r="D198" i="8"/>
  <c r="D15" i="8"/>
  <c r="D17" i="8"/>
  <c r="D19" i="8"/>
  <c r="D23" i="8"/>
  <c r="D25" i="8"/>
  <c r="D26" i="8"/>
  <c r="D27" i="8"/>
  <c r="D31" i="8"/>
  <c r="D33" i="8"/>
  <c r="D34" i="8"/>
  <c r="D36" i="8"/>
  <c r="D325" i="8"/>
  <c r="D395" i="8"/>
  <c r="D398" i="8"/>
  <c r="D132" i="8"/>
  <c r="D504" i="8"/>
  <c r="D6" i="8"/>
  <c r="D175" i="8"/>
  <c r="D490" i="8"/>
  <c r="D502" i="8"/>
  <c r="D341" i="8"/>
  <c r="D346" i="8"/>
  <c r="D230" i="8"/>
  <c r="D121" i="8"/>
  <c r="D284" i="8"/>
  <c r="D420" i="8"/>
  <c r="D399" i="8"/>
  <c r="D428" i="8"/>
  <c r="D508" i="8"/>
  <c r="D406" i="8"/>
  <c r="D438" i="8"/>
  <c r="D462" i="8"/>
  <c r="AA187" i="8"/>
  <c r="D471" i="8"/>
  <c r="D495" i="8"/>
  <c r="D298" i="8"/>
  <c r="D140" i="8"/>
  <c r="D328" i="8"/>
  <c r="D274" i="8"/>
  <c r="D397" i="8"/>
  <c r="D53" i="8"/>
  <c r="D69" i="8"/>
  <c r="D61" i="8"/>
  <c r="D45" i="8"/>
  <c r="D77" i="8"/>
  <c r="D85" i="8"/>
  <c r="D144" i="8"/>
  <c r="D225" i="8"/>
  <c r="D493" i="8"/>
  <c r="D192" i="8"/>
  <c r="D113" i="8"/>
  <c r="D171" i="8"/>
  <c r="D180" i="8"/>
  <c r="D373" i="8"/>
  <c r="D167" i="8"/>
  <c r="D107" i="8"/>
  <c r="D163" i="8"/>
  <c r="D128" i="8"/>
  <c r="D136" i="8"/>
  <c r="D475" i="8"/>
  <c r="D308" i="8"/>
  <c r="D523" i="8"/>
  <c r="D280" i="8"/>
  <c r="D290" i="8"/>
  <c r="D357" i="8"/>
  <c r="D417" i="8"/>
  <c r="D278" i="8"/>
  <c r="D478" i="8"/>
  <c r="D414" i="8"/>
  <c r="D498" i="8"/>
  <c r="D525" i="8"/>
  <c r="D487" i="8"/>
  <c r="D505" i="8"/>
  <c r="D443" i="8"/>
  <c r="AA443" i="8"/>
  <c r="D322" i="8"/>
  <c r="D35" i="8"/>
  <c r="D13" i="8"/>
  <c r="D71" i="8"/>
  <c r="D74" i="8"/>
  <c r="D90" i="8"/>
  <c r="D82" i="8"/>
  <c r="D87" i="8"/>
  <c r="D24" i="8"/>
  <c r="D32" i="8"/>
  <c r="D44" i="8"/>
  <c r="D60" i="8"/>
  <c r="D14" i="8"/>
  <c r="D47" i="8"/>
  <c r="D63" i="8"/>
  <c r="D68" i="8"/>
  <c r="D10" i="8"/>
  <c r="D21" i="8"/>
  <c r="D29" i="8"/>
  <c r="D37" i="8"/>
  <c r="D18" i="8"/>
  <c r="D99" i="8"/>
  <c r="D2" i="8"/>
  <c r="D4" i="8"/>
  <c r="D7" i="8"/>
  <c r="D22" i="8"/>
  <c r="D30" i="8"/>
  <c r="D52" i="8"/>
  <c r="D76" i="8"/>
  <c r="D94" i="8"/>
  <c r="D5" i="8"/>
  <c r="D8" i="8"/>
  <c r="D16" i="8"/>
  <c r="D39" i="8"/>
  <c r="D55" i="8"/>
  <c r="D79" i="8"/>
  <c r="D84" i="8"/>
  <c r="D147" i="8"/>
  <c r="D155" i="8"/>
  <c r="D156" i="8"/>
  <c r="D12" i="8"/>
  <c r="D20" i="8"/>
  <c r="D28" i="8"/>
  <c r="D43" i="8"/>
  <c r="D51" i="8"/>
  <c r="D59" i="8"/>
  <c r="D75" i="8"/>
  <c r="D151" i="8"/>
  <c r="D157" i="8"/>
  <c r="D159" i="8"/>
  <c r="D112" i="8"/>
  <c r="D120" i="8"/>
  <c r="D149" i="8"/>
  <c r="D126" i="8"/>
  <c r="D134" i="8"/>
  <c r="D142" i="8"/>
  <c r="D253" i="8"/>
  <c r="D268" i="8"/>
  <c r="D208" i="8"/>
  <c r="D115" i="8"/>
  <c r="D123" i="8"/>
  <c r="D129" i="8"/>
  <c r="D137" i="8"/>
  <c r="D145" i="8"/>
  <c r="D152" i="8"/>
  <c r="D174" i="8"/>
  <c r="D202" i="8"/>
  <c r="D227" i="8"/>
  <c r="D182" i="8"/>
  <c r="D216" i="8"/>
  <c r="D200" i="8"/>
  <c r="D191" i="8"/>
  <c r="D194" i="8"/>
  <c r="D210" i="8"/>
  <c r="D224" i="8"/>
  <c r="D166" i="8"/>
  <c r="D199" i="8"/>
  <c r="D207" i="8"/>
  <c r="D215" i="8"/>
  <c r="D223" i="8"/>
  <c r="D231" i="8"/>
  <c r="D238" i="8"/>
  <c r="D250" i="8"/>
  <c r="D165" i="8"/>
  <c r="D173" i="8"/>
  <c r="D181" i="8"/>
  <c r="D188" i="8"/>
  <c r="D201" i="8"/>
  <c r="D209" i="8"/>
  <c r="D265" i="8"/>
  <c r="D275" i="8"/>
  <c r="D218" i="8"/>
  <c r="D226" i="8"/>
  <c r="D239" i="8"/>
  <c r="D242" i="8"/>
  <c r="D247" i="8"/>
  <c r="D258" i="8"/>
  <c r="D273" i="8"/>
  <c r="D263" i="8"/>
  <c r="D245" i="8"/>
  <c r="D255" i="8"/>
  <c r="D271" i="8"/>
  <c r="D282" i="8"/>
  <c r="D246" i="8"/>
  <c r="D254" i="8"/>
  <c r="D264" i="8"/>
  <c r="D323" i="8"/>
  <c r="D299" i="8"/>
  <c r="D241" i="8"/>
  <c r="D249" i="8"/>
  <c r="D257" i="8"/>
  <c r="D267" i="8"/>
  <c r="D315" i="8"/>
  <c r="D335" i="8"/>
  <c r="D307" i="8"/>
  <c r="D327" i="8"/>
  <c r="D370" i="8"/>
  <c r="D353" i="8"/>
  <c r="D372" i="8"/>
  <c r="D304" i="8"/>
  <c r="D312" i="8"/>
  <c r="D320" i="8"/>
  <c r="D332" i="8"/>
  <c r="D340" i="8"/>
  <c r="D354" i="8"/>
  <c r="D356" i="8"/>
  <c r="D358" i="8"/>
  <c r="D350" i="8"/>
  <c r="D378" i="8"/>
  <c r="D380" i="8"/>
  <c r="D394" i="8"/>
  <c r="D396" i="8"/>
  <c r="D361" i="8"/>
  <c r="D405" i="8"/>
  <c r="D403" i="8"/>
  <c r="D413" i="8"/>
  <c r="D362" i="8"/>
  <c r="D364" i="8"/>
  <c r="D366" i="8"/>
  <c r="D411" i="8"/>
  <c r="D369" i="8"/>
  <c r="D377" i="8"/>
  <c r="D385" i="8"/>
  <c r="D391" i="8"/>
  <c r="D393" i="8"/>
  <c r="D450" i="8"/>
  <c r="D418" i="8"/>
  <c r="D433" i="8"/>
  <c r="D466" i="8"/>
  <c r="D425" i="8"/>
  <c r="D453" i="8"/>
  <c r="D461" i="8"/>
  <c r="D472" i="8"/>
  <c r="D473" i="8"/>
  <c r="D442" i="8"/>
  <c r="D449" i="8"/>
  <c r="D426" i="8"/>
  <c r="D452" i="8"/>
  <c r="D470" i="8"/>
  <c r="D532" i="8"/>
  <c r="D456" i="8"/>
  <c r="D463" i="8"/>
  <c r="D465" i="8"/>
  <c r="D512" i="8"/>
  <c r="D515" i="8"/>
  <c r="D531" i="8"/>
  <c r="D447" i="8"/>
  <c r="D448" i="8"/>
  <c r="D467" i="8"/>
  <c r="D526" i="8"/>
  <c r="D506" i="8"/>
  <c r="D517" i="8"/>
  <c r="D522" i="8"/>
  <c r="D479" i="8"/>
  <c r="D486" i="8"/>
  <c r="D503" i="8"/>
  <c r="D507" i="8"/>
  <c r="D494" i="8"/>
  <c r="D529" i="8"/>
  <c r="D514" i="8"/>
  <c r="AA189" i="8" l="1"/>
  <c r="AA190" i="8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Osama</author>
  </authors>
  <commentList>
    <comment ref="W1" authorId="0" shapeId="0" xr:uid="{C6ABD456-4024-4A58-B9DE-D1FE1B4D1683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  80% * قيمة سند الامر</t>
        </r>
      </text>
    </comment>
    <comment ref="T164" authorId="0" shapeId="0" xr:uid="{4BC4384C-E391-477E-B1B6-3DB115152348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سند الامر مقسم على العميلين
C0853 &amp; C0854</t>
        </r>
      </text>
    </comment>
    <comment ref="Y164" authorId="0" shapeId="0" xr:uid="{D96E6C1D-250E-4BA7-BAFB-B5B427618FA8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سند الامر مقسم على العميلين
C0853 &amp; C0854</t>
        </r>
      </text>
    </comment>
    <comment ref="Y165" authorId="0" shapeId="0" xr:uid="{8A165388-4D2C-4A35-81C7-CA108C207D93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سند الامر مقسم على العميلين
C0853 &amp; C0854</t>
        </r>
      </text>
    </comment>
    <comment ref="B171" authorId="0" shapeId="0" xr:uid="{378938AD-353E-4819-9B9A-1FDBB9A3409A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تم تعديل بيانات العميل تاريخ 2023/03/28</t>
        </r>
      </text>
    </comment>
    <comment ref="T187" authorId="0" shapeId="0" xr:uid="{26933011-6BFB-4DAB-8692-51AA8CD2C042}">
      <text>
        <r>
          <rPr>
            <b/>
            <sz val="9"/>
            <color indexed="81"/>
            <rFont val="Tahoma"/>
            <family val="2"/>
          </rPr>
          <t>العميل لديه استثناء من ا/ فهد الجوعى</t>
        </r>
      </text>
    </comment>
    <comment ref="AC486" authorId="0" shapeId="0" xr:uid="{ED626141-3CEC-47EB-87E0-3126EBC0403D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غير واضح</t>
        </r>
      </text>
    </comment>
    <comment ref="AF486" authorId="0" shapeId="0" xr:uid="{37722C54-FD71-4CE4-B7FA-F503D0CFDFF1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غير واضح</t>
        </r>
      </text>
    </comment>
    <comment ref="AC487" authorId="0" shapeId="0" xr:uid="{5AC074F2-E2F2-45F9-B005-7D0561700ED2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Waiting for reply from manager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ustomer Data" description="Connection to the 'Customer Data' query in the workbook." type="5" refreshedVersion="8" background="1" saveData="1">
    <dbPr connection="Provider=Microsoft.Mashup.OleDb.1;Data Source=$Workbook$;Location=&quot;Customer Data&quot;;Extended Properties=&quot;&quot;" command="SELECT * FROM [Customer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<sst xmlns="http://schemas.openxmlformats.org/spreadsheetml/2006/main" count="16404" uniqueCount="2482">
  <si>
    <t>رمز شريك الأعمال</t>
  </si>
  <si>
    <t>اسم شريك الأعمال</t>
  </si>
  <si>
    <t>معرف الضريبة الحكومية</t>
  </si>
  <si>
    <t>تاريخ الإنشاء</t>
  </si>
  <si>
    <t>B0001</t>
  </si>
  <si>
    <t>مؤسسة جوهرة الانارة التجارية - نقدي</t>
  </si>
  <si>
    <t>CS05</t>
  </si>
  <si>
    <t>B0002</t>
  </si>
  <si>
    <t>مؤسسة زكريا عبدالعزيز الدبيخي التجارية - نقدي</t>
  </si>
  <si>
    <t>B0003</t>
  </si>
  <si>
    <t>مؤسسة مجال الاختصاص للتجارة</t>
  </si>
  <si>
    <t>B0004</t>
  </si>
  <si>
    <t>مؤسسة الانارة الجديدة التجارية</t>
  </si>
  <si>
    <t>B0005</t>
  </si>
  <si>
    <t>مؤسسة النجم المرتفع التجارية</t>
  </si>
  <si>
    <t>B0006</t>
  </si>
  <si>
    <t>مؤسسة عبدالله محمد عبدالله اليحى للادوات الصحية - نقدي</t>
  </si>
  <si>
    <t>B0007</t>
  </si>
  <si>
    <t>شركة الاضاءة المتقدمة للكهرباء شركة شخص واحد</t>
  </si>
  <si>
    <t>B0008</t>
  </si>
  <si>
    <t>شركة دوحة الانارة التجارية (ش الملك عبدالعزيز ) - نقدي</t>
  </si>
  <si>
    <t>B0009</t>
  </si>
  <si>
    <t>مؤسسة سحر الشمعة المتخصصة التجارية</t>
  </si>
  <si>
    <t>B0010</t>
  </si>
  <si>
    <t>مؤسسة اتحاد الوسطاء التجارية</t>
  </si>
  <si>
    <t>B0011</t>
  </si>
  <si>
    <t>مؤسسة مشاريع الخبر للتجارة - نقدي</t>
  </si>
  <si>
    <t>B0012</t>
  </si>
  <si>
    <t>مؤسسة ماجد عبدالمحسن الرماح للمقاولات</t>
  </si>
  <si>
    <t>B0013</t>
  </si>
  <si>
    <t>مؤسسة السهدي التجارية - نقدي</t>
  </si>
  <si>
    <t>B0014</t>
  </si>
  <si>
    <t>مؤسسة إنارة التجارية</t>
  </si>
  <si>
    <t>B0015</t>
  </si>
  <si>
    <t>B0016</t>
  </si>
  <si>
    <t>مؤسسة حسين عبدالحميد المرهون لمواد البناء</t>
  </si>
  <si>
    <t>B0017</t>
  </si>
  <si>
    <t>مؤسسة منة الانارة الحديثة التجارية-نقدي</t>
  </si>
  <si>
    <t>B0018</t>
  </si>
  <si>
    <t>مؤسسة طاهر حمد النمر التجارية</t>
  </si>
  <si>
    <t>B0019</t>
  </si>
  <si>
    <t>شركة بريق الانارة للتجارة</t>
  </si>
  <si>
    <t>B0020</t>
  </si>
  <si>
    <t>شركة الخبير العربي التجارية  - نقدي</t>
  </si>
  <si>
    <t>B0021</t>
  </si>
  <si>
    <t>مؤسسة اصداف الخليج للادوات الصحية-نقدي</t>
  </si>
  <si>
    <t>B0025</t>
  </si>
  <si>
    <t>مؤسسة جعفر علي مرار للتجارة</t>
  </si>
  <si>
    <t>B0026</t>
  </si>
  <si>
    <t>مؤسسة البيت العامر للادوات الصحية</t>
  </si>
  <si>
    <t>B0027</t>
  </si>
  <si>
    <t>شركة فهد سعد المنقور وشركاه للتجارة</t>
  </si>
  <si>
    <t>B0028</t>
  </si>
  <si>
    <t>مؤسسة محمد راشد البوعينين التجارية - نقدي</t>
  </si>
  <si>
    <t>B0029</t>
  </si>
  <si>
    <t>مؤسسة عبدالعزيز عبدالله عمر التجارية</t>
  </si>
  <si>
    <t>B0030</t>
  </si>
  <si>
    <t>مؤسسة سكب الدانة للادوات الصحية- نقدي</t>
  </si>
  <si>
    <t>B0033</t>
  </si>
  <si>
    <t>مؤسسة فكرة ضوء التجارية- نقدي</t>
  </si>
  <si>
    <t>B0034</t>
  </si>
  <si>
    <t>فرع مؤسسة محمد مفرح العجمي التجارية- نقدي</t>
  </si>
  <si>
    <t>B0035</t>
  </si>
  <si>
    <t>مؤسسة انوار الشروق للتجارة- نقدي</t>
  </si>
  <si>
    <t>B0036</t>
  </si>
  <si>
    <t>سفر للخدمات الصناعية- نقدي</t>
  </si>
  <si>
    <t>B0037</t>
  </si>
  <si>
    <t>مؤسسة الاتجاهات الشرقية للتجارة- نقدي</t>
  </si>
  <si>
    <t>B0038</t>
  </si>
  <si>
    <t>مؤسسة عالم البناء الراقي التجارية- نقدي</t>
  </si>
  <si>
    <t>B0039</t>
  </si>
  <si>
    <t>شركة منار للتجارة والمقاولات - نقدي</t>
  </si>
  <si>
    <t>B0040</t>
  </si>
  <si>
    <t>مؤسسة عبر النور التجارية</t>
  </si>
  <si>
    <t>CS09</t>
  </si>
  <si>
    <t>B0041</t>
  </si>
  <si>
    <t>B0042</t>
  </si>
  <si>
    <t>B0043</t>
  </si>
  <si>
    <t>مؤسسة رمز الاداء للتجارة- نقدي</t>
  </si>
  <si>
    <t>B0044</t>
  </si>
  <si>
    <t>مؤسسة معالم الاصدار للمقاولات</t>
  </si>
  <si>
    <t>B0045</t>
  </si>
  <si>
    <t>مؤسسة مشكاة الشرقية - نقدي</t>
  </si>
  <si>
    <t>B0046</t>
  </si>
  <si>
    <t>مؤسسة لوازم الفنيين التجارية - نقدي</t>
  </si>
  <si>
    <t>B0047</t>
  </si>
  <si>
    <t>مؤسسة نور الشمس الشرق الاوسط التجارية</t>
  </si>
  <si>
    <t>B0048</t>
  </si>
  <si>
    <t>مؤسسة روبي البداية لمواد البناء - نقدي</t>
  </si>
  <si>
    <t>B0049</t>
  </si>
  <si>
    <t>مؤسسة أصول الاضاءة التجارية - نقدي</t>
  </si>
  <si>
    <t>B0050</t>
  </si>
  <si>
    <t>B0051</t>
  </si>
  <si>
    <t>مؤسسة اصول الخليج التجارية</t>
  </si>
  <si>
    <t>B0052</t>
  </si>
  <si>
    <t>شركة الاعمال والتجارة المحدودة-وداكو</t>
  </si>
  <si>
    <t>B0056</t>
  </si>
  <si>
    <t>مؤسسة المحيط الهادي للادوات الكهربائية - نقدي</t>
  </si>
  <si>
    <t>B0057</t>
  </si>
  <si>
    <t>مؤسسة محمد حمد طاهر النمر للادوات الصحية - نقدي</t>
  </si>
  <si>
    <t>B0058</t>
  </si>
  <si>
    <t>مؤسسة انارة و اكثر للتجارة  - نقدي</t>
  </si>
  <si>
    <t>B0059</t>
  </si>
  <si>
    <t>شركة عبدالعزيز حسن حسن الدهان وشركاه</t>
  </si>
  <si>
    <t>B0060</t>
  </si>
  <si>
    <t>مؤسسة مبارك عبدالله فهاد الدوسري التجارية - نقدي</t>
  </si>
  <si>
    <t>B0061</t>
  </si>
  <si>
    <t>B0062</t>
  </si>
  <si>
    <t>مؤسسة تلال العزيزية التجارية - نقدي</t>
  </si>
  <si>
    <t>B0063</t>
  </si>
  <si>
    <t>مؤسسة البناء الدائم التجارية - نقدي</t>
  </si>
  <si>
    <t>B0064</t>
  </si>
  <si>
    <t>مؤسسة الساحل الشرقي لمواد البناء  - نقدي</t>
  </si>
  <si>
    <t>B0066</t>
  </si>
  <si>
    <t>مؤسسة انارة المشكاة للتجارة</t>
  </si>
  <si>
    <t>B0067</t>
  </si>
  <si>
    <t>B0068</t>
  </si>
  <si>
    <t>مؤسسة نقطة الانارة التجارية  - نقدي</t>
  </si>
  <si>
    <t>B0069</t>
  </si>
  <si>
    <t>B0070</t>
  </si>
  <si>
    <t>مؤسسة عبدالعزيز راشد البوعينين للادوات الكهربائية</t>
  </si>
  <si>
    <t>B0071</t>
  </si>
  <si>
    <t>مؤسسة مزيال التجارية-نقدي</t>
  </si>
  <si>
    <t>B0072</t>
  </si>
  <si>
    <t>مؤسسة احمد حمود الزهراني التجارية - نقدي</t>
  </si>
  <si>
    <t>B0073</t>
  </si>
  <si>
    <t>شركة عبدالله سليمان الشارخ للتجارة والمقاولات-نقدي</t>
  </si>
  <si>
    <t>B0074</t>
  </si>
  <si>
    <t>مؤسسة البيت المتكامل التجارية -نقدي</t>
  </si>
  <si>
    <t>B0075</t>
  </si>
  <si>
    <t>مؤسسة الكهرباء الامنة التجاريه</t>
  </si>
  <si>
    <t>B0076</t>
  </si>
  <si>
    <t>مؤسسة فؤاد محمدعبدالمحسن اللويمي</t>
  </si>
  <si>
    <t>B0077</t>
  </si>
  <si>
    <t>مؤسسة نماء الابداع التجارية -نقدي</t>
  </si>
  <si>
    <t>B0078</t>
  </si>
  <si>
    <t>مؤسسة القوة التعاونية</t>
  </si>
  <si>
    <t>B0079</t>
  </si>
  <si>
    <t>شركة واجهة الخبر للتجارة والمقاولات العامة</t>
  </si>
  <si>
    <t>B0080</t>
  </si>
  <si>
    <t>شركة مدي الشرقية للتطوير العقاري-نقدي</t>
  </si>
  <si>
    <t>B0081</t>
  </si>
  <si>
    <t>مؤسسة لبيد نجيب المانع للتجارة-نقدي</t>
  </si>
  <si>
    <t>B0082</t>
  </si>
  <si>
    <t>بنشر ركن الصدارة لخدمات السيارات-نقدي</t>
  </si>
  <si>
    <t>B0083</t>
  </si>
  <si>
    <t>مؤسسة تفاصيل الاضاءة للتجارة -نقدي</t>
  </si>
  <si>
    <t>B0084</t>
  </si>
  <si>
    <t>مؤسسة منصور ابراهيم الحلال التجارية -نقدي</t>
  </si>
  <si>
    <t>B0085</t>
  </si>
  <si>
    <t>محل نهر الانارة للتجارة - نقدي</t>
  </si>
  <si>
    <t>B0086</t>
  </si>
  <si>
    <t>محل الصقر الابيض التجارية -نقدي</t>
  </si>
  <si>
    <t>B0087</t>
  </si>
  <si>
    <t>مؤسسة ديم ستور التجارية -نقدي</t>
  </si>
  <si>
    <t>B0088</t>
  </si>
  <si>
    <t>مؤسسة مساكب الشرقية التجارية -نقدي</t>
  </si>
  <si>
    <t>B0089</t>
  </si>
  <si>
    <t>مؤسسة اسيا محمد ناصر عجيمان التجارية</t>
  </si>
  <si>
    <t>B0090</t>
  </si>
  <si>
    <t>مؤسسة جمال المذهله التجارية</t>
  </si>
  <si>
    <t>B0091</t>
  </si>
  <si>
    <t>مؤسسة عبدالعزيز توفيق سليمان العودة التجارية</t>
  </si>
  <si>
    <t>B0092</t>
  </si>
  <si>
    <t>B0093</t>
  </si>
  <si>
    <t>مؤسسة المنزل المثالي التجارية-نقدي</t>
  </si>
  <si>
    <t>B0094</t>
  </si>
  <si>
    <t>B0095</t>
  </si>
  <si>
    <t>مؤسسة ادال للتجارة -نقدي</t>
  </si>
  <si>
    <t>B0096</t>
  </si>
  <si>
    <t>مؤسسة اسرار الانارة التجارية</t>
  </si>
  <si>
    <t>B0097</t>
  </si>
  <si>
    <t>مؤسسة الإتجاه الحديث التجارية</t>
  </si>
  <si>
    <t>B0098</t>
  </si>
  <si>
    <t>مؤسسة التطوير الشرقي للتجارة -نقدي</t>
  </si>
  <si>
    <t>B0099</t>
  </si>
  <si>
    <t>مؤسسة اقطاب العاصمة التجارية -نقدي</t>
  </si>
  <si>
    <t>B0100</t>
  </si>
  <si>
    <t>مؤسسة احمد بن عايش بن محمد النمر للتجارة -نقدي</t>
  </si>
  <si>
    <t>B0101</t>
  </si>
  <si>
    <t>مؤسسة هلال حسن آل شطى للتجارة - نقدى</t>
  </si>
  <si>
    <t>B0102</t>
  </si>
  <si>
    <t>مؤسسة السور الذهبي للتجارة - نقدى</t>
  </si>
  <si>
    <t>B0103</t>
  </si>
  <si>
    <t>شركة ايما الذكية التجارية - نقدى</t>
  </si>
  <si>
    <t>C0100</t>
  </si>
  <si>
    <t>شركة ناف التنفيذ المحدودة</t>
  </si>
  <si>
    <t>CS01</t>
  </si>
  <si>
    <t>C0201</t>
  </si>
  <si>
    <t>C0203</t>
  </si>
  <si>
    <t>شركة الفهد للتجارة والصناعة والمقاولات-عنيزة-الخزامي-شارع الملك عبدالعزيز</t>
  </si>
  <si>
    <t>C0207</t>
  </si>
  <si>
    <t>C0285</t>
  </si>
  <si>
    <t>مؤسسة انوار رياض الخبراء التجارية</t>
  </si>
  <si>
    <t>C0309</t>
  </si>
  <si>
    <t>C0310</t>
  </si>
  <si>
    <t>مؤسسة البليهي</t>
  </si>
  <si>
    <t>C0318</t>
  </si>
  <si>
    <t>مؤسسة الشرق شاه-نقدي</t>
  </si>
  <si>
    <t>C0319</t>
  </si>
  <si>
    <t>مؤسسة العجيمي</t>
  </si>
  <si>
    <t>C0322</t>
  </si>
  <si>
    <t>C0489</t>
  </si>
  <si>
    <t>فانوس عنيزة-نقدي</t>
  </si>
  <si>
    <t>C0536</t>
  </si>
  <si>
    <t>C0559</t>
  </si>
  <si>
    <t>C0569</t>
  </si>
  <si>
    <t>C0577</t>
  </si>
  <si>
    <t>C0649</t>
  </si>
  <si>
    <t>مؤسسة بيت البناء (الكروم) - الرس(عبدالله علي عثمان المزيني)</t>
  </si>
  <si>
    <t>C0650</t>
  </si>
  <si>
    <t>مؤسسة استقرار الطاقة للتجارة -نقدي</t>
  </si>
  <si>
    <t>C0651</t>
  </si>
  <si>
    <t>مؤسسة كهرباء الجمش التجارية</t>
  </si>
  <si>
    <t>C0653</t>
  </si>
  <si>
    <t>C0654</t>
  </si>
  <si>
    <t>شركة ركيزة النماء - عنيزة</t>
  </si>
  <si>
    <t>C0658</t>
  </si>
  <si>
    <t>مؤسسة دار سجوف التجارية</t>
  </si>
  <si>
    <t>C0665</t>
  </si>
  <si>
    <t>مؤسسة دنيا السباكة -العمري سابقا</t>
  </si>
  <si>
    <t>C0668</t>
  </si>
  <si>
    <t>شركة الاسم الألمع التجارية</t>
  </si>
  <si>
    <t>C0669</t>
  </si>
  <si>
    <t>محل محمد حميدي الثنيان للتجارة</t>
  </si>
  <si>
    <t>C0675</t>
  </si>
  <si>
    <t>مؤسسة المشعان التجارية</t>
  </si>
  <si>
    <t>C0676</t>
  </si>
  <si>
    <t>C0678</t>
  </si>
  <si>
    <t>C0680</t>
  </si>
  <si>
    <t>شركة انوار المنازل التجارية</t>
  </si>
  <si>
    <t>C0687</t>
  </si>
  <si>
    <t>C0699</t>
  </si>
  <si>
    <t>C0700</t>
  </si>
  <si>
    <t>مؤسسة ابراهيم عبد الله ناصر السعوي للتجارة- نقدي</t>
  </si>
  <si>
    <t>C0701</t>
  </si>
  <si>
    <t>C0702</t>
  </si>
  <si>
    <t>مؤسسة بيت الاناره للتجارة</t>
  </si>
  <si>
    <t>CS03</t>
  </si>
  <si>
    <t>C0703</t>
  </si>
  <si>
    <t>مؤسسة رقم الف للادوات الكهربائية  -نقدي</t>
  </si>
  <si>
    <t>C0704</t>
  </si>
  <si>
    <t>شركة نوافذ الحضارة للتجارة</t>
  </si>
  <si>
    <t>C0705</t>
  </si>
  <si>
    <t>C0706</t>
  </si>
  <si>
    <t>C0707</t>
  </si>
  <si>
    <t>شركة النظم الثلاثية للتجارة</t>
  </si>
  <si>
    <t>C0708</t>
  </si>
  <si>
    <t>مؤسسة متاجر ذوق للتجارة</t>
  </si>
  <si>
    <t>C0709</t>
  </si>
  <si>
    <t>C0710</t>
  </si>
  <si>
    <t>مؤسسة محمد ناصر السيد للتجارة الفرع الرئيسئ</t>
  </si>
  <si>
    <t>C0711</t>
  </si>
  <si>
    <t>مؤسسة محمد ناصر السيد للتجارة فرع الاصالة</t>
  </si>
  <si>
    <t>C0712</t>
  </si>
  <si>
    <t>شركة دائرة الشرق للتجارة</t>
  </si>
  <si>
    <t>C0713</t>
  </si>
  <si>
    <t>مؤسسة صفوة البراق للتجارة-نقدي</t>
  </si>
  <si>
    <t>C0714</t>
  </si>
  <si>
    <t>مؤسسة سيول الانارة التجارية-نقدي</t>
  </si>
  <si>
    <t>C0715</t>
  </si>
  <si>
    <t>مؤسسة نيرفا التجارية -نقدي</t>
  </si>
  <si>
    <t>C0716</t>
  </si>
  <si>
    <t>مؤسسة حمد محمد الموسي</t>
  </si>
  <si>
    <t>C0717</t>
  </si>
  <si>
    <t>مؤسسة روافد الاضاءة للتجارة - نقدي</t>
  </si>
  <si>
    <t>C0718</t>
  </si>
  <si>
    <t>C0719</t>
  </si>
  <si>
    <t>مؤسسة ضوء نصف القمر-نقدي</t>
  </si>
  <si>
    <t>C0720</t>
  </si>
  <si>
    <t>C0721</t>
  </si>
  <si>
    <t>شركة التاج المضيئ للمقاولات - نقدي</t>
  </si>
  <si>
    <t>C0722</t>
  </si>
  <si>
    <t>شركة الكهرباء المشعة للتجارة فرع 1</t>
  </si>
  <si>
    <t>C0723</t>
  </si>
  <si>
    <t>شركة المصباح للتجارة والمقاولات المحدودة</t>
  </si>
  <si>
    <t>C0724</t>
  </si>
  <si>
    <t>شركة جوهر الباديه للمقاولات -نقدي</t>
  </si>
  <si>
    <t>C0725</t>
  </si>
  <si>
    <t>مؤسسة هدوء الانارة للتجارة-نقدي</t>
  </si>
  <si>
    <t>C0726</t>
  </si>
  <si>
    <t>مؤسسة الاحتراف العربي للتجارة</t>
  </si>
  <si>
    <t>C0727</t>
  </si>
  <si>
    <t>شركة انارة الصحافة للادوات الكهربائية</t>
  </si>
  <si>
    <t>C0728</t>
  </si>
  <si>
    <t>شركة الكهرباء المشعة للتجارة الفرع الرئيسي</t>
  </si>
  <si>
    <t>C0729</t>
  </si>
  <si>
    <t>شركة الحاتمي للتجارة -نقدي</t>
  </si>
  <si>
    <t>C0731</t>
  </si>
  <si>
    <t>مؤسسة عبدالعزيز عبدالله صالح العبيد</t>
  </si>
  <si>
    <t>C0740</t>
  </si>
  <si>
    <t>C0746</t>
  </si>
  <si>
    <t>شركة المنازل المضيئة للتجارة</t>
  </si>
  <si>
    <t>C0747</t>
  </si>
  <si>
    <t>مؤسسة الضوء النقي للتجارة</t>
  </si>
  <si>
    <t>C0748</t>
  </si>
  <si>
    <t>مؤسسة بيوت التميز التجارية - نقدي</t>
  </si>
  <si>
    <t>C0771</t>
  </si>
  <si>
    <t>شركة شموس الدولية للطاقة - نقدي</t>
  </si>
  <si>
    <t>C0773</t>
  </si>
  <si>
    <t>C0774</t>
  </si>
  <si>
    <t>مؤسسة دار جريف للتجارة</t>
  </si>
  <si>
    <t>C0775</t>
  </si>
  <si>
    <t>C0776</t>
  </si>
  <si>
    <t>مؤسسة سعيد حمد النهدي للتجارة - نقدي</t>
  </si>
  <si>
    <t>C0777</t>
  </si>
  <si>
    <t>C0778</t>
  </si>
  <si>
    <t>مؤسسة اصول الانارة للتجارة</t>
  </si>
  <si>
    <t>C0779</t>
  </si>
  <si>
    <t>C0780</t>
  </si>
  <si>
    <t>C0781</t>
  </si>
  <si>
    <t>C0782</t>
  </si>
  <si>
    <t>شركة نجم الهزاز التجارية نقدي</t>
  </si>
  <si>
    <t>C0783</t>
  </si>
  <si>
    <t>شركة الانارة الاولي للتجارة</t>
  </si>
  <si>
    <t>C0784</t>
  </si>
  <si>
    <t>كهرباء الجوارالمميز(نقدي)</t>
  </si>
  <si>
    <t>C0785</t>
  </si>
  <si>
    <t>شركة اصناف البناء للتجارة</t>
  </si>
  <si>
    <t>C0786</t>
  </si>
  <si>
    <t>مؤسسة الاضاءة السريعة/الروضة</t>
  </si>
  <si>
    <t>C0787</t>
  </si>
  <si>
    <t>شركة اضافة البصمة التجارية</t>
  </si>
  <si>
    <t>C0788</t>
  </si>
  <si>
    <t>التوريد الفوري فرع المرسلات</t>
  </si>
  <si>
    <t>C0789</t>
  </si>
  <si>
    <t>التوريد الفوري فرع النرجس</t>
  </si>
  <si>
    <t>C0790</t>
  </si>
  <si>
    <t>التوريد الفوري فرع الصحافة</t>
  </si>
  <si>
    <t>C0793</t>
  </si>
  <si>
    <t>مؤسسة طلال خالد السقاف (المرسلات)</t>
  </si>
  <si>
    <t>C0794</t>
  </si>
  <si>
    <t>مؤسسة طلال خالد السقاف (الصحافة)</t>
  </si>
  <si>
    <t>C0795</t>
  </si>
  <si>
    <t>مؤسسة طلال خالد السقاف</t>
  </si>
  <si>
    <t>C0796</t>
  </si>
  <si>
    <t>مؤسسة ابلاج للتجارة</t>
  </si>
  <si>
    <t>C0797</t>
  </si>
  <si>
    <t>مؤسسة عبدالعزيز حمد البريثن التجارية ( سبوت لابت )</t>
  </si>
  <si>
    <t>C0798</t>
  </si>
  <si>
    <t>مؤسسة جوهرة قرطبة للتجارة</t>
  </si>
  <si>
    <t>C0799</t>
  </si>
  <si>
    <t>مؤسسة اول اعمار للتجارة/ الصحافة)</t>
  </si>
  <si>
    <t>C0800</t>
  </si>
  <si>
    <t>شركة مساعد محمد بن عجلان للتجارة</t>
  </si>
  <si>
    <t>C0801</t>
  </si>
  <si>
    <t>شركة قمة المرسلات للتجارة</t>
  </si>
  <si>
    <t>C0802</t>
  </si>
  <si>
    <t>مؤسسة الاضاءة السريعة/ المرسلات</t>
  </si>
  <si>
    <t>C0803</t>
  </si>
  <si>
    <t>مؤسسة عبدالله بن براهيم بن جربوع للتجارة</t>
  </si>
  <si>
    <t>C0804</t>
  </si>
  <si>
    <t>مؤسسة سلطان تركي العسبلي للتجارة</t>
  </si>
  <si>
    <t>C0805</t>
  </si>
  <si>
    <t>مؤسسة معالم الحرقان التجارية</t>
  </si>
  <si>
    <t>C0806</t>
  </si>
  <si>
    <t>شركة لمعة الاضاءة للتجارة</t>
  </si>
  <si>
    <t>C0807</t>
  </si>
  <si>
    <t>شركة الفياض للإنارة والكهرباء</t>
  </si>
  <si>
    <t>C0808</t>
  </si>
  <si>
    <t>مؤسسة ارجاء الدار للتجارة</t>
  </si>
  <si>
    <t>C0809</t>
  </si>
  <si>
    <t>مؤسسة اضواء الشبكة للتجارة-نقدي</t>
  </si>
  <si>
    <t>C0810</t>
  </si>
  <si>
    <t>مؤسسة تصاميم الغد التجارية-نقدي</t>
  </si>
  <si>
    <t>C0811</t>
  </si>
  <si>
    <t>شركة الفياض للإنارة والكهرباء-الملز</t>
  </si>
  <si>
    <t>C0812</t>
  </si>
  <si>
    <t>مؤسسة علي حسن الحبجر التجارية-نقدي</t>
  </si>
  <si>
    <t>C0813</t>
  </si>
  <si>
    <t>مؤسسة مدى المحيط للتجارة</t>
  </si>
  <si>
    <t>C0814</t>
  </si>
  <si>
    <t>مؤسسة فنون الصخر التجارية-نقدي</t>
  </si>
  <si>
    <t>C0815</t>
  </si>
  <si>
    <t>مؤسسة موسى ناصر حمد الموسي للتجارة-نقدي</t>
  </si>
  <si>
    <t>C0816</t>
  </si>
  <si>
    <t>شركة الفياض للإنارة والكهرباء-التخصصي</t>
  </si>
  <si>
    <t>C0820</t>
  </si>
  <si>
    <t>مؤسسة محمد عبدالله الصقعوب التجارية</t>
  </si>
  <si>
    <t>C0821</t>
  </si>
  <si>
    <t>فرع مؤسسة عبدالله سالم الضبعان التجارية</t>
  </si>
  <si>
    <t>C0822</t>
  </si>
  <si>
    <t>فرع مؤسسة اركان الشروق للتجارة</t>
  </si>
  <si>
    <t>C0823</t>
  </si>
  <si>
    <t>مؤسسة فهد محمد المدوخ(البنيه)</t>
  </si>
  <si>
    <t>C0824</t>
  </si>
  <si>
    <t>مؤسسةازارا للاضاءت للتجارة -نقدي</t>
  </si>
  <si>
    <t>C0825</t>
  </si>
  <si>
    <t>شركة ربيع عنيزة الهزازي - نقدي</t>
  </si>
  <si>
    <t>C0826</t>
  </si>
  <si>
    <t>مؤسسة رياض نجد للمقاولات-نقدي</t>
  </si>
  <si>
    <t>C0835</t>
  </si>
  <si>
    <t>مؤسسة ماجد غزاي الشمري التجارية)ابوسلطان</t>
  </si>
  <si>
    <t>C0837</t>
  </si>
  <si>
    <t>شركة نسما الدولية للتجارة - نقدي</t>
  </si>
  <si>
    <t>C0840</t>
  </si>
  <si>
    <t>مؤسسة فوزية سعد حماد البقعاوي النجوم</t>
  </si>
  <si>
    <t>C0845</t>
  </si>
  <si>
    <t>محل فانوس عنيزة للتجارة</t>
  </si>
  <si>
    <t>C0846</t>
  </si>
  <si>
    <t>مؤسسة محمد عبدالله النهام للتجارة - نقدي</t>
  </si>
  <si>
    <t>C0847</t>
  </si>
  <si>
    <t>مؤسسة دار قرطاجة للتجارة</t>
  </si>
  <si>
    <t>C0848</t>
  </si>
  <si>
    <t>مؤسسة دار قرطاجة للتجارة فرع الصحافة</t>
  </si>
  <si>
    <t>C0850</t>
  </si>
  <si>
    <t>مؤسسة مكعب الاضاءة التجارية -نقدي</t>
  </si>
  <si>
    <t>C0851</t>
  </si>
  <si>
    <t>شركة الفا المتخصصة - نقدي</t>
  </si>
  <si>
    <t>C0852</t>
  </si>
  <si>
    <t>C0870</t>
  </si>
  <si>
    <t>مؤسسة طلال مازن ايوب للتجارة (يارا للانارة)  -نقدي</t>
  </si>
  <si>
    <t>C0876</t>
  </si>
  <si>
    <t>مؤسسة افنان الحجاز للمقاولات - نقدي</t>
  </si>
  <si>
    <t>C0880</t>
  </si>
  <si>
    <t>شركة الوصلة العربية للتجارة والاجهزة الامنية - الملز</t>
  </si>
  <si>
    <t>C0881</t>
  </si>
  <si>
    <t>شركة الوصلة العربية للتجارة - الروضة</t>
  </si>
  <si>
    <t>C0885</t>
  </si>
  <si>
    <t>مؤسسة عبدالله العتيق - حائل</t>
  </si>
  <si>
    <t>C0888</t>
  </si>
  <si>
    <t>مؤسسة محيط المنزل التجارية</t>
  </si>
  <si>
    <t>C0889</t>
  </si>
  <si>
    <t>شركة زعيم الانارة للتجارة</t>
  </si>
  <si>
    <t>C0890</t>
  </si>
  <si>
    <t>مؤسسة راكان علي هادي اليامي للتجارة - نقدي</t>
  </si>
  <si>
    <t>C0893</t>
  </si>
  <si>
    <t>مؤسسة جود البناء للمقاولات المعمارية</t>
  </si>
  <si>
    <t>C0895</t>
  </si>
  <si>
    <t>مؤسسة اجواء افاق للتجارة</t>
  </si>
  <si>
    <t>C0899</t>
  </si>
  <si>
    <t>شركة ركن اريج التجارية - نقدي</t>
  </si>
  <si>
    <t>C0900</t>
  </si>
  <si>
    <t>مؤسسة فن الترف للمقاولات - نقدي</t>
  </si>
  <si>
    <t>C0901</t>
  </si>
  <si>
    <t>C0938</t>
  </si>
  <si>
    <t>مؤسسة خالد محمد الخليفي التجارية</t>
  </si>
  <si>
    <t>C0942</t>
  </si>
  <si>
    <t>شركة دائرة البيان للتجارة -نقدي</t>
  </si>
  <si>
    <t>C0944</t>
  </si>
  <si>
    <t>شركة مخططات الشمال للمقاولات</t>
  </si>
  <si>
    <t>C0945</t>
  </si>
  <si>
    <t>شركة لومي الكهربائية للتجارة</t>
  </si>
  <si>
    <t>C0946</t>
  </si>
  <si>
    <t>مؤسسة هندا لايت للتجارة</t>
  </si>
  <si>
    <t>C0947</t>
  </si>
  <si>
    <t>مؤسسة شمس عنيزة - نقدي</t>
  </si>
  <si>
    <t>C0948</t>
  </si>
  <si>
    <t>مؤسسة اللمس التجارية - نقدي</t>
  </si>
  <si>
    <t>C0949</t>
  </si>
  <si>
    <t>محل حلوة رمضان الشمري للتجارة-نقدي</t>
  </si>
  <si>
    <t>C0965</t>
  </si>
  <si>
    <t>محل النهضة العمرانية لمواد البناء</t>
  </si>
  <si>
    <t>C0985</t>
  </si>
  <si>
    <t>محل ثريات الاصالة للتجارة</t>
  </si>
  <si>
    <t>C0986</t>
  </si>
  <si>
    <t>C0987</t>
  </si>
  <si>
    <t>مؤسسة اعمار السلام للتجارة</t>
  </si>
  <si>
    <t>C0988</t>
  </si>
  <si>
    <t>شركة انوار الخليج المتحدة للادوات الكهربائية-نقدي</t>
  </si>
  <si>
    <t>C0990</t>
  </si>
  <si>
    <t>مؤسسة دار البناء للتجارة - نقدي</t>
  </si>
  <si>
    <t>C0993</t>
  </si>
  <si>
    <t>مؤسسة شما بنت عبدالله علي الوهيبي لمواد البناء - نقدي</t>
  </si>
  <si>
    <t>C0999</t>
  </si>
  <si>
    <t>مؤسسة البابطين للانارة-نقدي</t>
  </si>
  <si>
    <t>C1000</t>
  </si>
  <si>
    <t>شركة خبراء الكهرباء التجارية</t>
  </si>
  <si>
    <t>C1001</t>
  </si>
  <si>
    <t>مؤسسة رسمة طيبة التجارية-النقدي</t>
  </si>
  <si>
    <t>C1010</t>
  </si>
  <si>
    <t>شركة نايف حسن جباري للتجارة والمقاولات-نقدي</t>
  </si>
  <si>
    <t>C1011</t>
  </si>
  <si>
    <t>شركة ركن هدوء الانارة التجارية-نقدي</t>
  </si>
  <si>
    <t>C1012</t>
  </si>
  <si>
    <t>شركة نجمة الهزاز التجارية-نقدي</t>
  </si>
  <si>
    <t>C1013</t>
  </si>
  <si>
    <t>شركة أنوار ناسا التجارية فرع الروضة-نقدي</t>
  </si>
  <si>
    <t>C1014</t>
  </si>
  <si>
    <t>مؤسسة جذور الانارة التجارية-نقدي</t>
  </si>
  <si>
    <t>C1015</t>
  </si>
  <si>
    <t>شركة الجوف الكهربائية للتجارة -نقدي</t>
  </si>
  <si>
    <t>C1016</t>
  </si>
  <si>
    <t>مؤسسة انار الحياة للتجارة -نقدي</t>
  </si>
  <si>
    <t>C1017</t>
  </si>
  <si>
    <t>مؤسسة ربوة الاعمار للتجارة</t>
  </si>
  <si>
    <t>C1018</t>
  </si>
  <si>
    <t>شركة ركن العزائم للتجارة - نقدى</t>
  </si>
  <si>
    <t>C1019</t>
  </si>
  <si>
    <t>مؤسسة عدنان محمد حمد الضبيعي للتجارة-نقدي</t>
  </si>
  <si>
    <t>C1020</t>
  </si>
  <si>
    <t>شركة الركن المشيد التجارية - نقدى</t>
  </si>
  <si>
    <t>C1021</t>
  </si>
  <si>
    <t>مؤسسة جوهرة ابلاج للتجارة</t>
  </si>
  <si>
    <t>D0001</t>
  </si>
  <si>
    <t>D0003</t>
  </si>
  <si>
    <t>D0007</t>
  </si>
  <si>
    <t>D0012</t>
  </si>
  <si>
    <t>مؤسسة بيت الضاحي</t>
  </si>
  <si>
    <t>D0013</t>
  </si>
  <si>
    <t>احمد محمد الخميس حي الضاحي</t>
  </si>
  <si>
    <t>D0015</t>
  </si>
  <si>
    <t>مؤسسة برق الاضاءة التجارية  - نقدي</t>
  </si>
  <si>
    <t>D0017</t>
  </si>
  <si>
    <t>D0018</t>
  </si>
  <si>
    <t>محل العجلان</t>
  </si>
  <si>
    <t>D0020</t>
  </si>
  <si>
    <t>محل فيصل فهد المشعلي للادوات الكهربائية</t>
  </si>
  <si>
    <t>D0022</t>
  </si>
  <si>
    <t>محل محمد احمد الخميس لادوات الكهربائية قرطبة 1</t>
  </si>
  <si>
    <t>D0023</t>
  </si>
  <si>
    <t>D0024</t>
  </si>
  <si>
    <t>مؤسسة خالد محمد مهل الحربي للتجارة</t>
  </si>
  <si>
    <t>D0025</t>
  </si>
  <si>
    <t>D0027</t>
  </si>
  <si>
    <t>محل الانارة - المذنب - نقدي</t>
  </si>
  <si>
    <t>D0028</t>
  </si>
  <si>
    <t>D0029</t>
  </si>
  <si>
    <t>D0030</t>
  </si>
  <si>
    <t>محل العويد للكهرباء والسباكة(نقدي)</t>
  </si>
  <si>
    <t>D0033</t>
  </si>
  <si>
    <t>محل تسويق البناء - المجمعة</t>
  </si>
  <si>
    <t>D0034</t>
  </si>
  <si>
    <t>محل كنز الاضواء - الدوامي</t>
  </si>
  <si>
    <t>D0036</t>
  </si>
  <si>
    <t>تناء الانارة - المجمعة</t>
  </si>
  <si>
    <t>D0037</t>
  </si>
  <si>
    <t>اضواء ساجر (نقدي)</t>
  </si>
  <si>
    <t>D0038</t>
  </si>
  <si>
    <t>مؤسسة متعب محمد الحسيني للمقاولات</t>
  </si>
  <si>
    <t>D0039</t>
  </si>
  <si>
    <t>مؤسسة مملكة الانوار - الزلفي</t>
  </si>
  <si>
    <t>D0040</t>
  </si>
  <si>
    <t>مؤسسة تسويق البناء - شقراء</t>
  </si>
  <si>
    <t>D0041</t>
  </si>
  <si>
    <t>D0045</t>
  </si>
  <si>
    <t>مؤسسة سليمان محمد بن عبدالله المحيميد - نقدي</t>
  </si>
  <si>
    <t>D0046</t>
  </si>
  <si>
    <t>مؤسسة عبدالله ابراهيم الشويمان التجارية</t>
  </si>
  <si>
    <t>D0047</t>
  </si>
  <si>
    <t>محل شريفة سليمان محمد الدخيل للتجارة  - نقدي</t>
  </si>
  <si>
    <t>D0067</t>
  </si>
  <si>
    <t>D0068</t>
  </si>
  <si>
    <t>العمران والري  شقراء</t>
  </si>
  <si>
    <t>D0070</t>
  </si>
  <si>
    <t>D0071</t>
  </si>
  <si>
    <t>مؤسسة عمر مرزوق الحارثي للمقاولات</t>
  </si>
  <si>
    <t>D0072</t>
  </si>
  <si>
    <t>محل سعد ابراهيم محمد العبود للتجارة</t>
  </si>
  <si>
    <t>D0073</t>
  </si>
  <si>
    <t>شركة البهو التجارية</t>
  </si>
  <si>
    <t>D0074</t>
  </si>
  <si>
    <t>مؤسسة اضواء العيد للتجارة والمقاولات</t>
  </si>
  <si>
    <t>D0075</t>
  </si>
  <si>
    <t>مؤسسة انوار الملكة التجارية</t>
  </si>
  <si>
    <t>D0076</t>
  </si>
  <si>
    <t>تطوير البناء لمواد البناء</t>
  </si>
  <si>
    <t>D0077</t>
  </si>
  <si>
    <t>مؤسسة احمد سليمان الطيار للتجارة - نقدي</t>
  </si>
  <si>
    <t>D0078</t>
  </si>
  <si>
    <t>D0079</t>
  </si>
  <si>
    <t>شركة دنيا الخلاطات التجارية</t>
  </si>
  <si>
    <t>D0080</t>
  </si>
  <si>
    <t>مؤسسة حماد العمري للتجارة</t>
  </si>
  <si>
    <t>D0081</t>
  </si>
  <si>
    <t>مؤسسة محيط التعمير - نقدي</t>
  </si>
  <si>
    <t>D0083</t>
  </si>
  <si>
    <t>شركة العبودي للاجهزة المنزلية والالكترونية-نقدي</t>
  </si>
  <si>
    <t>D0085</t>
  </si>
  <si>
    <t>مؤسسة مملكة الكهرباء للتجارة</t>
  </si>
  <si>
    <t>D0090</t>
  </si>
  <si>
    <t>محل مدينة السراب للتجارة</t>
  </si>
  <si>
    <t>D0091</t>
  </si>
  <si>
    <t>مؤسسة كود الاضاءة للتجارة</t>
  </si>
  <si>
    <t>D0092</t>
  </si>
  <si>
    <t>مؤسسة اضاءات الشمال كهرباء وسباكة - نقدي</t>
  </si>
  <si>
    <t>D0093</t>
  </si>
  <si>
    <t>مؤسسة روى الوطنية - نقدي</t>
  </si>
  <si>
    <t>D0095</t>
  </si>
  <si>
    <t>مؤسسة سطوع للتجارة</t>
  </si>
  <si>
    <t>D0096</t>
  </si>
  <si>
    <t>مؤسسة افاق سدير للتجارة</t>
  </si>
  <si>
    <t>D0097</t>
  </si>
  <si>
    <t>شركة أبناء ناصر بن عبدالله البرادي للتجارة</t>
  </si>
  <si>
    <t>D0098</t>
  </si>
  <si>
    <t>مؤسسة محمد عثمان المزيرعي-نقدي</t>
  </si>
  <si>
    <t>D0099</t>
  </si>
  <si>
    <t>مؤسسة ناصر مشاري عبدالعزيز المشاري للادوات الكهربائية - نقدي</t>
  </si>
  <si>
    <t>D0100</t>
  </si>
  <si>
    <t>مؤسسة زوايا البيت التجارية - نقدي</t>
  </si>
  <si>
    <t>D0101</t>
  </si>
  <si>
    <t>مؤسسة صالح علي الحماد للسباكة والكهرباء -نقدي</t>
  </si>
  <si>
    <t>D0150</t>
  </si>
  <si>
    <t>G0001</t>
  </si>
  <si>
    <t>شركة المكتب الفني للاعمال الدولية - نقدي</t>
  </si>
  <si>
    <t>CS06</t>
  </si>
  <si>
    <t>G0002</t>
  </si>
  <si>
    <t>مؤسسة اضاءة الخليج للتجارة - نقدي</t>
  </si>
  <si>
    <t>G0003</t>
  </si>
  <si>
    <t>مؤسسة الكورنيش المميز للتجارة - نقدي</t>
  </si>
  <si>
    <t>G0004</t>
  </si>
  <si>
    <t>مؤسسة اضاءة الارياف التجارية - نقدي</t>
  </si>
  <si>
    <t>G0005</t>
  </si>
  <si>
    <t>فرع مؤسسة علي احمد غروي التجارية</t>
  </si>
  <si>
    <t>G0006</t>
  </si>
  <si>
    <t>G0007</t>
  </si>
  <si>
    <t>مؤسسة احمد مرضي صويلح الزهراني</t>
  </si>
  <si>
    <t>G0008</t>
  </si>
  <si>
    <t>مؤسسة نجاة سعيد احمد العمودي التجارية</t>
  </si>
  <si>
    <t>G0009</t>
  </si>
  <si>
    <t>مؤسسة بن سليمان التجارية</t>
  </si>
  <si>
    <t>G0010</t>
  </si>
  <si>
    <t>مؤسسة ثامر عبدالله محمد الغامدي التجارية - نقدي</t>
  </si>
  <si>
    <t>G0011</t>
  </si>
  <si>
    <t>مؤسسة الاداء المحترف التجارية</t>
  </si>
  <si>
    <t>G0012</t>
  </si>
  <si>
    <t>مؤسسة طارق خليل التجارية - نقدي</t>
  </si>
  <si>
    <t>G0013</t>
  </si>
  <si>
    <t>مؤسسة عمار عبدالظاهر للتجارة  - نقدي</t>
  </si>
  <si>
    <t>G0014</t>
  </si>
  <si>
    <t>مؤسسة التقنية العملاقة التجارية - نقدي</t>
  </si>
  <si>
    <t>G0015</t>
  </si>
  <si>
    <t>مؤسسة روافد الطاقة التجارية - نقدي</t>
  </si>
  <si>
    <t>G0016</t>
  </si>
  <si>
    <t>مؤسسة مخازن الطاقة للتجارة - نقدي</t>
  </si>
  <si>
    <t>G0017</t>
  </si>
  <si>
    <t>مؤسسة لمعة البرق للتجارة - نقدي</t>
  </si>
  <si>
    <t>G0019</t>
  </si>
  <si>
    <t>شركة جوهرة جدة للانارة و الكهرباء - نقدي</t>
  </si>
  <si>
    <t>G0020</t>
  </si>
  <si>
    <t>G0021</t>
  </si>
  <si>
    <t>مؤسسة انوار الياسمين التجارية- نقدي</t>
  </si>
  <si>
    <t>G0022</t>
  </si>
  <si>
    <t>شركة ساك الخليجية للتجارة</t>
  </si>
  <si>
    <t>G0023</t>
  </si>
  <si>
    <t>مؤسسة ميسان العربية للتجارة - نقدي</t>
  </si>
  <si>
    <t>G0024</t>
  </si>
  <si>
    <t>مؤسسة اعالي الابداع للتجارة - نقدي</t>
  </si>
  <si>
    <t>G0025</t>
  </si>
  <si>
    <t>فرع مؤسسة اساليب الحلول</t>
  </si>
  <si>
    <t>G0026</t>
  </si>
  <si>
    <t>شركة رضاكم المتحدة للتجارة - نقدي</t>
  </si>
  <si>
    <t>G0027</t>
  </si>
  <si>
    <t>مؤسسة المناخ للتجارة - نقدي</t>
  </si>
  <si>
    <t>G0028</t>
  </si>
  <si>
    <t>شركة نقطة جسر الخليج التجارية</t>
  </si>
  <si>
    <t>G0029</t>
  </si>
  <si>
    <t>شركة المهندسون العرب الدولية للخدمات الصناعة والكهربائية</t>
  </si>
  <si>
    <t>G0030</t>
  </si>
  <si>
    <t>مؤسسة زود المتكاملة</t>
  </si>
  <si>
    <t>G0031</t>
  </si>
  <si>
    <t>مؤسسة توهج الاضاءة التجارية - نقدي</t>
  </si>
  <si>
    <t>G0032</t>
  </si>
  <si>
    <t>مؤسسة جمعة حسين ابوالحسن التجارية-نقدي</t>
  </si>
  <si>
    <t>G0033</t>
  </si>
  <si>
    <t>مؤسسة لمسة القصورالتجارية - نقدي</t>
  </si>
  <si>
    <t>G0034</t>
  </si>
  <si>
    <t>G0035</t>
  </si>
  <si>
    <t>مؤسسة إنارة النجم التجارية - نقدي</t>
  </si>
  <si>
    <t>G0036</t>
  </si>
  <si>
    <t>محل ذوق الانارة للتجارة - نقدي</t>
  </si>
  <si>
    <t>G0037</t>
  </si>
  <si>
    <t>مؤسسة شروق الانارة للتجارة  - نقدي</t>
  </si>
  <si>
    <t>G0038</t>
  </si>
  <si>
    <t>مؤسسة مريم سالم عمر الخنبشي التجارية  - نقدي</t>
  </si>
  <si>
    <t>G0039</t>
  </si>
  <si>
    <t>فرع مؤسسة علي احمد عبدالله يحي (الانارة الذهبية)  - نقدي</t>
  </si>
  <si>
    <t>G0040</t>
  </si>
  <si>
    <t>شركة عاصمة الكهرباء للتجارة</t>
  </si>
  <si>
    <t>G0041</t>
  </si>
  <si>
    <t>مؤسسة شروق للإنارة التجارية - نقدي</t>
  </si>
  <si>
    <t>G0042</t>
  </si>
  <si>
    <t>مؤسسة ابيات المميزة للتجارة - نقدي</t>
  </si>
  <si>
    <t>G0043</t>
  </si>
  <si>
    <t>مؤسسة المسامير المميزة الفاخرة للتجارة  - نقدي</t>
  </si>
  <si>
    <t>G0044</t>
  </si>
  <si>
    <t>مؤسسة مها بنت جعفر ابن كرامة العامري   - نقدي</t>
  </si>
  <si>
    <t>G0045</t>
  </si>
  <si>
    <t>مؤسسة عبدالله علي سالم باجبع للادوات الكهربائية   - نقدي</t>
  </si>
  <si>
    <t>G0046</t>
  </si>
  <si>
    <t>مؤسسة احمد محمد احمد الهندي لمواد البناء</t>
  </si>
  <si>
    <t>G0047</t>
  </si>
  <si>
    <t>شركة دائرة الشرق للتجارة -جدة</t>
  </si>
  <si>
    <t>G0048</t>
  </si>
  <si>
    <t>مؤسسة سليماء علي سعدالقرني-نقدي</t>
  </si>
  <si>
    <t>G0049</t>
  </si>
  <si>
    <t>مؤسسة هشام زين احمد صالح التجارية-نقدي</t>
  </si>
  <si>
    <t>G0050</t>
  </si>
  <si>
    <t>مؤسسة الراقية انارة التجارية-نقدي</t>
  </si>
  <si>
    <t>G0051</t>
  </si>
  <si>
    <t>مؤسسة ديار القمة التجارية-نقدي</t>
  </si>
  <si>
    <t>G0052</t>
  </si>
  <si>
    <t>مؤسسةعبدالرحمن بن عطيه بن رازن الصحفي للتجارة</t>
  </si>
  <si>
    <t>G0053</t>
  </si>
  <si>
    <t>مؤسسة تقنية الانارة الحديثة التجارية-نقدي</t>
  </si>
  <si>
    <t>G0054</t>
  </si>
  <si>
    <t>مؤسسةخالد قويدر الحسن عبدالحق للتجلرة-نقدي</t>
  </si>
  <si>
    <t>G0055</t>
  </si>
  <si>
    <t>مؤسسةحسن عبدالله محسن العطاس للتجارة-نقدي</t>
  </si>
  <si>
    <t>G0056</t>
  </si>
  <si>
    <t>مؤسسةمشاري الحسين الشريف التجارية-نقدي</t>
  </si>
  <si>
    <t>G0057</t>
  </si>
  <si>
    <t>G0058</t>
  </si>
  <si>
    <t>مؤسسة هناء زين محمد علي التجارية</t>
  </si>
  <si>
    <t>G0059</t>
  </si>
  <si>
    <t>G0060</t>
  </si>
  <si>
    <t>شركة نخبة الشرق التجارية-نقدي</t>
  </si>
  <si>
    <t>G0061</t>
  </si>
  <si>
    <t>G0062</t>
  </si>
  <si>
    <t>مؤسسة اثير الجزيره للمقاولات العامة-نقدي</t>
  </si>
  <si>
    <t>G0063</t>
  </si>
  <si>
    <t>مؤسسة انارة لوما التجارية-نقدي</t>
  </si>
  <si>
    <t>G0064</t>
  </si>
  <si>
    <t>مؤسسة جسر الكهرباء التجارية -نقدي</t>
  </si>
  <si>
    <t>G0065</t>
  </si>
  <si>
    <t>شركة منارة الشاهين للتجارة -نقدي</t>
  </si>
  <si>
    <t>G0066</t>
  </si>
  <si>
    <t>مؤسسة سليمان عطاالله اللقماني الحربي التجاري-نقدي</t>
  </si>
  <si>
    <t>G0067</t>
  </si>
  <si>
    <t>شركة القمة المضيئة التجارية-نقدي</t>
  </si>
  <si>
    <t>G0068</t>
  </si>
  <si>
    <t>مؤسسة القصور المضيئة التجارية-نقدي</t>
  </si>
  <si>
    <t>G0069</t>
  </si>
  <si>
    <t>مؤسسة الكابلات الحديثة للإنارة</t>
  </si>
  <si>
    <t>G0070</t>
  </si>
  <si>
    <t>مؤسسة الباسل للقرطاسية -نقدي</t>
  </si>
  <si>
    <t>G0071</t>
  </si>
  <si>
    <t>مؤسسة خالد عمر عبيد باوزير للتجارة -نقدي</t>
  </si>
  <si>
    <t>G0072</t>
  </si>
  <si>
    <t>مؤسسة المؤيد الجديد للتجارة -نقدي</t>
  </si>
  <si>
    <t>G0073</t>
  </si>
  <si>
    <t>شركة القناعة الحديثة التجارية -نقدي</t>
  </si>
  <si>
    <t>G0074</t>
  </si>
  <si>
    <t>شركة محمد عبدالرحمن فرحات للمقاولات -نقدي</t>
  </si>
  <si>
    <t>G0075</t>
  </si>
  <si>
    <t>مؤسسة سعد جمعان حامد الحربى للتجارة - نقدى</t>
  </si>
  <si>
    <t>G0076</t>
  </si>
  <si>
    <t>شركة رواد الاضاءة الحديثة للكهرباء -نقدي</t>
  </si>
  <si>
    <t>H0001</t>
  </si>
  <si>
    <t>مؤسسة اسامه عبدالله الموسي التجارية-نقدي</t>
  </si>
  <si>
    <t>H0002</t>
  </si>
  <si>
    <t>مؤسسة عيسى يوسف الفهيد للانارة - نقدي</t>
  </si>
  <si>
    <t>H0003</t>
  </si>
  <si>
    <t>مؤسسة الفناء للكهرباء - نقدى</t>
  </si>
  <si>
    <t>L0002</t>
  </si>
  <si>
    <t>مؤسسة رؤية المسكن للتجارة</t>
  </si>
  <si>
    <t>L0003</t>
  </si>
  <si>
    <t>مؤسسة فينا للادوات الصحية - نقدي</t>
  </si>
  <si>
    <t>L0004</t>
  </si>
  <si>
    <t>شركة علي المديني العنزي للتجارة-نقدي</t>
  </si>
  <si>
    <t>LB2H003</t>
  </si>
  <si>
    <t>مؤسسة البنيان المتكامل الماسية لمواد البناء - نقدي</t>
  </si>
  <si>
    <t>LB07</t>
  </si>
  <si>
    <t>LB2H016</t>
  </si>
  <si>
    <t>مؤسسة حمادي معلا المحمادي للتجارة- نقدي</t>
  </si>
  <si>
    <t>LB2H018</t>
  </si>
  <si>
    <t>M0001</t>
  </si>
  <si>
    <t>محل الدرع</t>
  </si>
  <si>
    <t>CS04</t>
  </si>
  <si>
    <t>M0002</t>
  </si>
  <si>
    <t>M0005</t>
  </si>
  <si>
    <t>M0010</t>
  </si>
  <si>
    <t>محل البيت الاول</t>
  </si>
  <si>
    <t>M0013</t>
  </si>
  <si>
    <t>M0014</t>
  </si>
  <si>
    <t>محل شعلة الحفر</t>
  </si>
  <si>
    <t>M0017</t>
  </si>
  <si>
    <t>M0018</t>
  </si>
  <si>
    <t>M0020</t>
  </si>
  <si>
    <t>M0025</t>
  </si>
  <si>
    <t>M0033</t>
  </si>
  <si>
    <t>M0034</t>
  </si>
  <si>
    <t>M0035</t>
  </si>
  <si>
    <t>M0042</t>
  </si>
  <si>
    <t>M0043</t>
  </si>
  <si>
    <t>M0044</t>
  </si>
  <si>
    <t>مؤسسة مسلم كرامه الصيعري  لمواد البناء -نقدي</t>
  </si>
  <si>
    <t>M0052</t>
  </si>
  <si>
    <t>M0054</t>
  </si>
  <si>
    <t>M0055</t>
  </si>
  <si>
    <t>مؤسسة انوار المدينة الخفجي</t>
  </si>
  <si>
    <t>M0057</t>
  </si>
  <si>
    <t>M0060</t>
  </si>
  <si>
    <t>M0065</t>
  </si>
  <si>
    <t>M0067</t>
  </si>
  <si>
    <t>محل المفلح</t>
  </si>
  <si>
    <t>M0068</t>
  </si>
  <si>
    <t>M0069</t>
  </si>
  <si>
    <t>عبر الاماكن لمواد البناء</t>
  </si>
  <si>
    <t>M0071</t>
  </si>
  <si>
    <t>محل الصالح لمواد البناء لصاحبته شمة مفرح ثواب الحربي</t>
  </si>
  <si>
    <t>M0072</t>
  </si>
  <si>
    <t>مؤسسة عبدالحميد عبدالرزاق الونيس - نقدي</t>
  </si>
  <si>
    <t>M0073</t>
  </si>
  <si>
    <t>شركة مدائن الشمال التجارية</t>
  </si>
  <si>
    <t>M0074</t>
  </si>
  <si>
    <t>مؤسسة الماسي لمواد البناء</t>
  </si>
  <si>
    <t>M0075</t>
  </si>
  <si>
    <t>مؤسسة اللجين المعمارية للمقاولات - نقدي</t>
  </si>
  <si>
    <t>CS08</t>
  </si>
  <si>
    <t>N0002</t>
  </si>
  <si>
    <t>مؤسسة اضواء الشرق للتجارة-نقدي</t>
  </si>
  <si>
    <t>N0003</t>
  </si>
  <si>
    <t>N0004</t>
  </si>
  <si>
    <t>N0005</t>
  </si>
  <si>
    <t>مؤسسة محمد عبد اللطيف بن دخيل الله الحربي التجارية</t>
  </si>
  <si>
    <t>N0006</t>
  </si>
  <si>
    <t>شركة برج الإنارة التجارية</t>
  </si>
  <si>
    <t>N0007</t>
  </si>
  <si>
    <t>شركة معارض السلام العالمية للكهرباء المحدودة -نقدي</t>
  </si>
  <si>
    <t>N0008</t>
  </si>
  <si>
    <t>مؤسسة حمزة سعدالله مر غلانى التجارية</t>
  </si>
  <si>
    <t>N0009</t>
  </si>
  <si>
    <t>مؤسسة إضاءات طيبة للكهرباء</t>
  </si>
  <si>
    <t>N0010</t>
  </si>
  <si>
    <t>مؤسسة اعماق الانارة للتجارة - نقدي</t>
  </si>
  <si>
    <t>N0011</t>
  </si>
  <si>
    <t>مؤسسة الابراج الحديديه لمواد البناء - نقدي</t>
  </si>
  <si>
    <t>N0012</t>
  </si>
  <si>
    <t>محل اضواء الإنارة للادوات الكهربائية</t>
  </si>
  <si>
    <t>N0013</t>
  </si>
  <si>
    <t>مؤسسة اضواء الفال التجارية</t>
  </si>
  <si>
    <t>R0001</t>
  </si>
  <si>
    <t>مؤسسة راجح سفر العصيمي للتجارة - نقدي</t>
  </si>
  <si>
    <t>R0002</t>
  </si>
  <si>
    <t>مؤسسة قمة كنوز للتجارة - نقدي</t>
  </si>
  <si>
    <t>R0003</t>
  </si>
  <si>
    <t>R0004</t>
  </si>
  <si>
    <t>محل محمد احمد سعيد باجنيد للادوات الصحية  - نقدي</t>
  </si>
  <si>
    <t>اسم المالك</t>
  </si>
  <si>
    <t>طلب فتح حساب مصدق</t>
  </si>
  <si>
    <t>حالة طلب فتح الحساب</t>
  </si>
  <si>
    <t>السجل التجارى</t>
  </si>
  <si>
    <t>تاريخ انتهاء السجل التجارى</t>
  </si>
  <si>
    <t>حالة السجل التجارى</t>
  </si>
  <si>
    <t>مطابقة اسم العميل بالاسم بالسجل التجارى</t>
  </si>
  <si>
    <t>البطاقة الضريبية</t>
  </si>
  <si>
    <t>حالة البطاقة الضريبية</t>
  </si>
  <si>
    <t>رخصة النشاط التجارى</t>
  </si>
  <si>
    <t>تاريخ انتهاء رخصة النشاط التجارى</t>
  </si>
  <si>
    <t>حالة رخصة النشاط التجارى</t>
  </si>
  <si>
    <t>سند الامر</t>
  </si>
  <si>
    <t>مطابقة الحد الائتمانى</t>
  </si>
  <si>
    <t>حالة سند الامر</t>
  </si>
  <si>
    <t>مطابقة رقم السجل التجارى بسند الامر</t>
  </si>
  <si>
    <t xml:space="preserve"> صورة عن هوية المالك</t>
  </si>
  <si>
    <t>تاريخ انتهاء هوية المالك</t>
  </si>
  <si>
    <t>حالة هوية المالك</t>
  </si>
  <si>
    <t xml:space="preserve"> صورة عن هوية الضامن الاحتياطي في السند لأمر</t>
  </si>
  <si>
    <t>تاريخ انتهاء صورة عن هوية الضامن الاحتياطي في السند لأمر</t>
  </si>
  <si>
    <t>حالة  صورة عن هوية الضامن الاحتياطي في السند لأمر</t>
  </si>
  <si>
    <t xml:space="preserve"> صورة عن العنوان الوطني للمؤسسة</t>
  </si>
  <si>
    <t>K0001</t>
  </si>
  <si>
    <t>مؤسسة رواد المكان التجارية</t>
  </si>
  <si>
    <t>موجود</t>
  </si>
  <si>
    <t>مطابق</t>
  </si>
  <si>
    <t>غير موجود</t>
  </si>
  <si>
    <t>K0002</t>
  </si>
  <si>
    <t>مؤسسة ابراهيم سعيد المدعث التجارية- نقدي</t>
  </si>
  <si>
    <t>غير مطابق</t>
  </si>
  <si>
    <t>K0003</t>
  </si>
  <si>
    <t>مؤسسة عبد الله سالم باعبيد للتجارة</t>
  </si>
  <si>
    <t>K0004</t>
  </si>
  <si>
    <t>مؤسسة محمد ناصر السيد للتجارة-جنوب</t>
  </si>
  <si>
    <t>K0005</t>
  </si>
  <si>
    <t>مؤسسة شعلان محمد شعلان القرنى للتجارة</t>
  </si>
  <si>
    <t>K0006</t>
  </si>
  <si>
    <t>مؤسسة علي مهدي ال ذيبان التجارية</t>
  </si>
  <si>
    <t>K0007</t>
  </si>
  <si>
    <t>شركة انارة نجف التجارية - نقدى</t>
  </si>
  <si>
    <t>K0008</t>
  </si>
  <si>
    <t>شركة لمسات الاضاءة التجارية - نقدى</t>
  </si>
  <si>
    <t>K0009</t>
  </si>
  <si>
    <t>مؤسسة انوار محمد ال عطشان التجارية</t>
  </si>
  <si>
    <t>K0010</t>
  </si>
  <si>
    <t>شركة انارة العميد للتجارة - نقدى</t>
  </si>
  <si>
    <t>K0011</t>
  </si>
  <si>
    <t>شركة ركن الشرق الاوسط للمقاولات -نقدي</t>
  </si>
  <si>
    <t>K0012</t>
  </si>
  <si>
    <t>شركة جملة الدرب الحديث التجارية</t>
  </si>
  <si>
    <t>CS12</t>
  </si>
  <si>
    <t>احمد محمد حمود الخميس</t>
  </si>
  <si>
    <t>محمد احمد محمد الخميس</t>
  </si>
  <si>
    <t xml:space="preserve">عبدلعزيز بن حسن بن محمد المقبل </t>
  </si>
  <si>
    <t>متعب محمد ناصر الحسينى</t>
  </si>
  <si>
    <t>عبدالرحمن سليمان ناصر الطيار</t>
  </si>
  <si>
    <t>عبدالله ابراهيم عبدالله الشويمان</t>
  </si>
  <si>
    <t>منيرة عبدالله محمد الخراشى</t>
  </si>
  <si>
    <t>عمر مرزوق شلواح الجياشى الحارثى</t>
  </si>
  <si>
    <t>سعد محمد ابراهيم العبود</t>
  </si>
  <si>
    <t>عبدالله صالح جرير الحربى</t>
  </si>
  <si>
    <t>حماد احمد محمد العمرى السفيانى</t>
  </si>
  <si>
    <t>فراس صالح سعود الحصينى</t>
  </si>
  <si>
    <t>احمد بن محمد بن عثمان الربيعه</t>
  </si>
  <si>
    <t>قيمة سند الامر المضبوطة</t>
  </si>
  <si>
    <t>حد الائتمان على SAP</t>
  </si>
  <si>
    <t>الملاحظات</t>
  </si>
  <si>
    <t>الاسم غير مطابق للاسم بالسجل التجارى</t>
  </si>
  <si>
    <t>الاسم غير مطابق للاسم فى السجل التجارى</t>
  </si>
  <si>
    <t>شركة مساهمة</t>
  </si>
  <si>
    <t>عبدالله ابراهيم عبدالله العقيل</t>
  </si>
  <si>
    <t>خالد عبدالرحمن عبدالكريم الخطيب</t>
  </si>
  <si>
    <t>جبريل بن على بن سلمان غزوالى</t>
  </si>
  <si>
    <t>عبدالحميد حمد عبدالعزيز الخويطر</t>
  </si>
  <si>
    <t>ناصر محمد ناصر الحربى</t>
  </si>
  <si>
    <t>محمد حميدى محمد الثنيان</t>
  </si>
  <si>
    <t>سعود مشعان مناحى الدخيل</t>
  </si>
  <si>
    <t>احمدعلى حجاج الثنيان</t>
  </si>
  <si>
    <t>ذات مسئولية محدودة مختلطة</t>
  </si>
  <si>
    <t>إبراهيم عبدالله ناصر السعوى</t>
  </si>
  <si>
    <t>عبدالله عبدالعزيز عبدالله العبيد</t>
  </si>
  <si>
    <t>محمد عبدالله صالح الصقعوب</t>
  </si>
  <si>
    <t>عبدالله سالم عبدالله الضبعان</t>
  </si>
  <si>
    <t>ماجد غزاى سعيد الشمرى</t>
  </si>
  <si>
    <t>فوزية سعد حماد البقعاوى</t>
  </si>
  <si>
    <t>عبدالله ابراهيم بن محمد المخيمر</t>
  </si>
  <si>
    <t>خالد محمد صالح الخليفى</t>
  </si>
  <si>
    <t>صالح عبدالله حمد الدليلان</t>
  </si>
  <si>
    <t>غير مصدق</t>
  </si>
  <si>
    <t>الاسم غير مطابق للاسم بالسجل التجاري</t>
  </si>
  <si>
    <t>العميل له حد ائتمانى على SAP بدون سند امر او استثناء</t>
  </si>
  <si>
    <t>تاريخ انتهاء العنوان الوطنى للمؤسسة</t>
  </si>
  <si>
    <t>حالة العنوان الوطنى للمؤسسة</t>
  </si>
  <si>
    <t xml:space="preserve"> صورة عن العنوان الوطني للضامن الاحتياطي في سند الامر</t>
  </si>
  <si>
    <t>تاريخ انتهاء العنوان الوطني للضامن الاحتياطي في سند الامر</t>
  </si>
  <si>
    <t>حالة  العنوان الوطني للضامن الاحتياطي في سند الامر</t>
  </si>
  <si>
    <t>مؤسسة كهرباء العاصمه للادوات الكهربائية - نقدي</t>
  </si>
  <si>
    <t>B0104</t>
  </si>
  <si>
    <t>B0105</t>
  </si>
  <si>
    <t>C0202</t>
  </si>
  <si>
    <t>C0853</t>
  </si>
  <si>
    <t>C0854</t>
  </si>
  <si>
    <t>C1022</t>
  </si>
  <si>
    <t>C1023</t>
  </si>
  <si>
    <t>C1024</t>
  </si>
  <si>
    <t>C1025</t>
  </si>
  <si>
    <t>C1026</t>
  </si>
  <si>
    <t>G0077</t>
  </si>
  <si>
    <t>G0078</t>
  </si>
  <si>
    <t>H0004</t>
  </si>
  <si>
    <t>H0005</t>
  </si>
  <si>
    <t>K0013</t>
  </si>
  <si>
    <t>K0014</t>
  </si>
  <si>
    <t>K0015</t>
  </si>
  <si>
    <t>K0016</t>
  </si>
  <si>
    <t>L0005</t>
  </si>
  <si>
    <t>LB10018</t>
  </si>
  <si>
    <t>N0014</t>
  </si>
  <si>
    <t>N0015</t>
  </si>
  <si>
    <t>N0016</t>
  </si>
  <si>
    <t>R0005</t>
  </si>
  <si>
    <t>R0006</t>
  </si>
  <si>
    <t>مؤسسة محمود سعود المروحن التجارية - نقدي</t>
  </si>
  <si>
    <t>مؤسسة تميز ذكوان التجارية - نقدي</t>
  </si>
  <si>
    <t>مؤسسة عبد الرحمن محمد المقحم التجارية -نقدي</t>
  </si>
  <si>
    <t>مؤسسة عشاق التميز للتجارة الفرع الرئيسي</t>
  </si>
  <si>
    <t>مؤسسة عشاق التميز للتجارة الفرع 1</t>
  </si>
  <si>
    <t>مؤسسة نور الديار للتجارة- نقدي</t>
  </si>
  <si>
    <t>مؤسسة موارد الشمال للتجارة</t>
  </si>
  <si>
    <t>شركة انوار الجاهزية للتجارة</t>
  </si>
  <si>
    <t>مؤسسة محمد سليمان عبدالله الشماسى للمقاولات - نقدى</t>
  </si>
  <si>
    <t>مؤسسة درع الطاقة التجارية - نقدى</t>
  </si>
  <si>
    <t>مؤسسة محمد على عبده الفقيه للتجارة - نقدى</t>
  </si>
  <si>
    <t>شركة احمد محمد بن عودان واخواته - نقدى</t>
  </si>
  <si>
    <t>مؤسسة ريكنج التجارية - نقدى</t>
  </si>
  <si>
    <t>مؤسسة حمود محمد احمد عواجى للتجارة</t>
  </si>
  <si>
    <t>شركة محفوظ المميز الرئيسي للتجارة</t>
  </si>
  <si>
    <t>مؤسسة حصن الاعمار للتجارة - نقدى</t>
  </si>
  <si>
    <t>مؤسسة الدقة العمرانية لمواد البناء</t>
  </si>
  <si>
    <t>شركة الاصول الاستثمارية - نقدى</t>
  </si>
  <si>
    <t>مجموعة سليمان الربيعه الدوليه للتجارة-الملز</t>
  </si>
  <si>
    <t>محل خالد مسلم المهرى للتجارة - نقدى</t>
  </si>
  <si>
    <t>مؤسسة اضواء الرائد التجارية - نقدى</t>
  </si>
  <si>
    <t>مؤسسة رضى على محمد حسن التجارية - نقدى</t>
  </si>
  <si>
    <t>شركة نوارة التميز-نقدي</t>
  </si>
  <si>
    <t>شركة فروع البناء لمواد البناء</t>
  </si>
  <si>
    <t>موقع المؤسسة GPS</t>
  </si>
  <si>
    <t>محمد على عبده الفقيه</t>
  </si>
  <si>
    <t>عبد الرحمن فيصل بن عابد الصحفى</t>
  </si>
  <si>
    <t>حمادى معلا مبيريك المحمادى</t>
  </si>
  <si>
    <t>C1027</t>
  </si>
  <si>
    <t>C1028</t>
  </si>
  <si>
    <t>C1029</t>
  </si>
  <si>
    <t>شركة علي خلف العنزي وشركاه - فرع النسيم</t>
  </si>
  <si>
    <t>شركة أعمال المرسلات التجارية - فرع المرسلات</t>
  </si>
  <si>
    <t>شركة أعمال المرسلات التجارية - فرع الصحافة</t>
  </si>
  <si>
    <t>LB70023</t>
  </si>
  <si>
    <t>مؤسسة قيمنا التجارية- نقدي</t>
  </si>
  <si>
    <t>الجوهره مبيريك غانم الحربى</t>
  </si>
  <si>
    <t>سليمان محمد عبد الله الزومان</t>
  </si>
  <si>
    <t>محمد عيظة بن جمعان المنهالى</t>
  </si>
  <si>
    <t>مطر محمد بن رزق الله الزهرانى</t>
  </si>
  <si>
    <t>محمد سليمان عبدالله الشماسى</t>
  </si>
  <si>
    <t>عيظه كرامه محفوظ ال نهيد النهدى</t>
  </si>
  <si>
    <t>مؤسسة عيظه كرامه بن محفوظ النهدى للتجارة - نقدى</t>
  </si>
  <si>
    <t>سليمان فوزان محمد الربيعه</t>
  </si>
  <si>
    <t>محدودة اجنبية</t>
  </si>
  <si>
    <t>ذات مسئولية محدودة</t>
  </si>
  <si>
    <t>محمود سعود محمود المروحن</t>
  </si>
  <si>
    <t>سعد محمد سعد الجمعه</t>
  </si>
  <si>
    <t>عبد الجليل بن صالح بن احمد ابراهيم</t>
  </si>
  <si>
    <t>نبيهه احمد محمد ابوزيد</t>
  </si>
  <si>
    <t>خالد مسلم بخيت كده المهرى</t>
  </si>
  <si>
    <t>مكى ناصر سبنى النخلى</t>
  </si>
  <si>
    <t>رضى على محمد حسن</t>
  </si>
  <si>
    <t>عبد الله سعيد مبارك زعمور</t>
  </si>
  <si>
    <t>على محمد على العمرى</t>
  </si>
  <si>
    <t>Grand Total</t>
  </si>
  <si>
    <t>سارى</t>
  </si>
  <si>
    <t>يجب اعادة طلبه</t>
  </si>
  <si>
    <t>المستند</t>
  </si>
  <si>
    <t>الكود</t>
  </si>
  <si>
    <t>G</t>
  </si>
  <si>
    <t>L0006</t>
  </si>
  <si>
    <t>مؤسسة أبشربي للتجارة</t>
  </si>
  <si>
    <t>نوره مصيرى نقيان المطيرى</t>
  </si>
  <si>
    <t>https://maps.app.goo.gl/qMRCv6uVSwYU6eka9</t>
  </si>
  <si>
    <t>k0018</t>
  </si>
  <si>
    <t>شركة تخصص الاعمار للتجارة</t>
  </si>
  <si>
    <t xml:space="preserve">ذات مسئوليه مختلطه محدوده </t>
  </si>
  <si>
    <t>https://maps.app.goo.gl/KVVYpq1CDwBtqbJo9</t>
  </si>
  <si>
    <t>الافتراضات</t>
  </si>
  <si>
    <t>عدد الايام بعد تواريخ انتهاء المستندات</t>
  </si>
  <si>
    <t>جملة تسمية الملف</t>
  </si>
  <si>
    <t>K0019</t>
  </si>
  <si>
    <t>مؤسسة سعيد محمد حنبوط القحطانى لمواد البناء - نقدى</t>
  </si>
  <si>
    <t>H0007</t>
  </si>
  <si>
    <t>مؤسسة حسين محمد البوعلي للتجارة - نقدى</t>
  </si>
  <si>
    <t>حسين بن محمد بن على البوعلى</t>
  </si>
  <si>
    <t>H0006</t>
  </si>
  <si>
    <t>مؤسسة روائع التوريد لمواد البناء - نقدي</t>
  </si>
  <si>
    <t>كلثم معتوق بن على البوعلى</t>
  </si>
  <si>
    <t>B0106</t>
  </si>
  <si>
    <t>مؤسسة المساكن الذكية للتشغيل و الصيانة - نقدى</t>
  </si>
  <si>
    <t>ساره حسين بن على ال هتيله</t>
  </si>
  <si>
    <t>https://maps.app.goo.gl/fbSs34tEwvTyQRmw8</t>
  </si>
  <si>
    <t>https://maps.google.com/maps?q=25.435305,49.584506&amp;ll=25.435305,49.584506&amp;z=16</t>
  </si>
  <si>
    <t>K0020</t>
  </si>
  <si>
    <t>مؤسسة محمد سالم بن سعد المهري للتجارة - نقدى</t>
  </si>
  <si>
    <t xml:space="preserve">محمد سالم بن سعد المهري </t>
  </si>
  <si>
    <t>K0021</t>
  </si>
  <si>
    <t>مؤسسة اجيال العود التجارية - نقدى</t>
  </si>
  <si>
    <t>علي سعد محمد المهري</t>
  </si>
  <si>
    <t>مصطفى بن محمود بن علوي آل طويلب</t>
  </si>
  <si>
    <t>مساهمة مقفلة</t>
  </si>
  <si>
    <t>محمد ابراهيم محمد العجلان</t>
  </si>
  <si>
    <t>نايف عوض سعود الذيابي</t>
  </si>
  <si>
    <t>LB2H021</t>
  </si>
  <si>
    <t>شركة المستورة الحديثة التجارية</t>
  </si>
  <si>
    <t>https://maps.google.com/maps?q=19.1182717%2C41.086845&amp;z=17&amp;hl=en</t>
  </si>
  <si>
    <t>الاسم غير مطابق للاسم بالسجل التجارى + الحد الائتمانى على SAP متجاوز قيمة سند الامر + العميل ليس لديه رقم ضريبى على SAP</t>
  </si>
  <si>
    <t>مؤسسة عبدالعزيز حسن المقبل التجارية - المذنب</t>
  </si>
  <si>
    <t>نايف علي محمد الشهرانى</t>
  </si>
  <si>
    <t>عادل  حسين بن على العاشور</t>
  </si>
  <si>
    <t>ياسر محمد جمعه الداوودى</t>
  </si>
  <si>
    <t>مؤسسة ركن وضوح البيان للأدوات الكهربائية - نقدى</t>
  </si>
  <si>
    <t>K0022</t>
  </si>
  <si>
    <t>فايز عويظان عبدون المنهالى</t>
  </si>
  <si>
    <t>ناديه فواز عبدالله الشريف</t>
  </si>
  <si>
    <t xml:space="preserve"> حمزه سعدالله حامد مر غلانى</t>
  </si>
  <si>
    <t>سيف على صقر المخلفي</t>
  </si>
  <si>
    <t>حسن نصار بريك المحمادى</t>
  </si>
  <si>
    <t>سلطان بن صالح بن عايش الحربى</t>
  </si>
  <si>
    <t>ماجده عوض حسن المالكى</t>
  </si>
  <si>
    <t>مؤسسة بندر خالد عبدالله بن رباع للتجارة - نقدي</t>
  </si>
  <si>
    <t>بندر خالد عبدالله بن رباع</t>
  </si>
  <si>
    <t>شركة قصر الثريا للادوات الكهربائية</t>
  </si>
  <si>
    <t>https://maps.app.goo.gl/6QDV5pq6Rmp1mw7z6?g_st=iw</t>
  </si>
  <si>
    <t>مخلد جزاء مرزوق المطيري</t>
  </si>
  <si>
    <t xml:space="preserve">محمد على ونيس الشمري </t>
  </si>
  <si>
    <t xml:space="preserve">ظافر علي بن مانع البشري القحطاني </t>
  </si>
  <si>
    <t>فهد فارس سعد الصميلي السبيعي</t>
  </si>
  <si>
    <t>شمة مفرح ثواب الحربي</t>
  </si>
  <si>
    <t>عبدالله عايد ظاهر العنزي</t>
  </si>
  <si>
    <t>الكيان القانونى</t>
  </si>
  <si>
    <t>مستثنى</t>
  </si>
  <si>
    <t>LB2H022</t>
  </si>
  <si>
    <t>https://maps.app.goo.gl/udtXRiE8CXfZc61G7</t>
  </si>
  <si>
    <t>آجل</t>
  </si>
  <si>
    <t>نوع العميل</t>
  </si>
  <si>
    <t>نقدى</t>
  </si>
  <si>
    <t>مؤسسة</t>
  </si>
  <si>
    <t/>
  </si>
  <si>
    <t>كيان العميل</t>
  </si>
  <si>
    <t xml:space="preserve"> صورة عن هوية الشاهد الاول في السند الامر</t>
  </si>
  <si>
    <t xml:space="preserve"> تاريخ انتهاء هوية الشاهد الاول في السند الامر</t>
  </si>
  <si>
    <t xml:space="preserve"> حالة هوية الشاهد الاول في السند الامر</t>
  </si>
  <si>
    <t xml:space="preserve"> صورة عن هوية الشاهد الثانى في السند الامر</t>
  </si>
  <si>
    <t xml:space="preserve"> تاريخ انتهاء هوية الشاهد الثانى في السند الامر</t>
  </si>
  <si>
    <t xml:space="preserve"> حالة هوية الشاهد الثانى في السند الامر</t>
  </si>
  <si>
    <t>صورة عن هوية الشاهد الثانى فى  سند الامر</t>
  </si>
  <si>
    <t xml:space="preserve"> صورة عن هوية الشاهد الاول في سند الامر</t>
  </si>
  <si>
    <t>قيمة سند الامر او الاستثناء</t>
  </si>
  <si>
    <t>I</t>
  </si>
  <si>
    <t>M</t>
  </si>
  <si>
    <t>P</t>
  </si>
  <si>
    <t>S</t>
  </si>
  <si>
    <t>AB</t>
  </si>
  <si>
    <t>AE</t>
  </si>
  <si>
    <t>AH</t>
  </si>
  <si>
    <t>AK</t>
  </si>
  <si>
    <t>AN</t>
  </si>
  <si>
    <t>AQ</t>
  </si>
  <si>
    <t>الاسم غير مطابق للاسم بالسجل التجاري + العميل لديه سند امر و ليس لديه حد ائتمانى على SAP و غير نشط</t>
  </si>
  <si>
    <t>شركة روعة الانارة للادوات الكهربائية -نقدي</t>
  </si>
  <si>
    <t>على احمد على غروي</t>
  </si>
  <si>
    <t>احمد مرضي صويلح الخزمري الزهراني</t>
  </si>
  <si>
    <t>نجاة سعيد احمد العمودي</t>
  </si>
  <si>
    <t>عمر محمد سليمان المحمادي</t>
  </si>
  <si>
    <t>C1030</t>
  </si>
  <si>
    <t>https://maps.google.com/maps?q=24.65817721687188,46.751171771065486</t>
  </si>
  <si>
    <t>تاريخ انشاء سند الامر او الاستثناء</t>
  </si>
  <si>
    <t>تاريخ انتهاء سند الامر او الاستثناء</t>
  </si>
  <si>
    <t>الاسم غير مطابق للاسم بالسجل التجارى + العميل لديه حد ائتمانى على SAP و المبلغ غير مكتوب بسند الامر</t>
  </si>
  <si>
    <t>GroupName</t>
  </si>
  <si>
    <t>CardCode</t>
  </si>
  <si>
    <t>CardName</t>
  </si>
  <si>
    <t>CreditLine</t>
  </si>
  <si>
    <t>Balance</t>
  </si>
  <si>
    <t>Due Amount</t>
  </si>
  <si>
    <t>Due Period</t>
  </si>
  <si>
    <t>Avaliable CreditLine</t>
  </si>
  <si>
    <t>Free_Text</t>
  </si>
  <si>
    <t>CreateDate</t>
  </si>
  <si>
    <t>Creditline State</t>
  </si>
  <si>
    <t>DueAmount State</t>
  </si>
  <si>
    <t>محمد عثمان  من 30.12.2020 الى 28.03.2021 CS05 / محمود يوسف  من 28.03.2021 الى  CS05</t>
  </si>
  <si>
    <t>غير متجاوز الحد الائتماني</t>
  </si>
  <si>
    <t>غير متجاوز الفترة الائتمانية</t>
  </si>
  <si>
    <t>محمد عثمان  من 09.01.2021 الى 28.03.2021 CS05 / محمود يوسف  من 28.03.2021 الى  CS05</t>
  </si>
  <si>
    <t>متجاوز الفترة الائتمانية بمبلغ 1,548.00</t>
  </si>
  <si>
    <t>محمد عثمان  من 23.01.2021 الى 28.03.2021 CS05 / محمود يوسف  من 28.03.2021 الى  CS05</t>
  </si>
  <si>
    <t>محمد عثمان  من 25.01.2021 الى 28.03.2021 CS05 / محمود يوسف  من 28.03.2021 الى  CS05</t>
  </si>
  <si>
    <t>محمد عثمان  من 14.02.2021 الى 28.03.2021 CS05 / محمود يوسف  من 28.03.2021 الى  CS05</t>
  </si>
  <si>
    <t>محمد عثمان  من 15.02.2021 الى 28.03.2021 CS05 / محمود يوسف  من 28.03.2021 الى  CS05</t>
  </si>
  <si>
    <t>محمد عثمان  من 17.02.2021 الى 28.03.2021 CS05 / محمود يوسف  من 28.03.2021 الى  CS05</t>
  </si>
  <si>
    <t>محمد عثمان  من 21.02.2021 الى 28.03.2021 CS05 / محمود يوسف  من 28.03.2021 الى  CS05</t>
  </si>
  <si>
    <t>محمد عثمان  من 23.02.2021 الى 28.03.2021 CS05 / محمود يوسف  من 28.03.2021 الى  CS05</t>
  </si>
  <si>
    <t>محمد عثمان  من 25.02.2021 الى 28.03.2021 CS05 / محمود يوسف  من 28.03.2021 الى  CS05</t>
  </si>
  <si>
    <t>مؤسسة اضواء وطن التجارية-نقدي</t>
  </si>
  <si>
    <t>محمود يوسف  من 03.03.2021 الى  CS05</t>
  </si>
  <si>
    <t>محمود يوسف  من 10.03.2021 الى  CS05</t>
  </si>
  <si>
    <t>محمود يوسف  من 15.03.2021 الى  CS05</t>
  </si>
  <si>
    <t>محمود يوسف  من 17.03.2021 الى  CS05</t>
  </si>
  <si>
    <t>محمود يوسف  من 04.04.2021 الى  CS05</t>
  </si>
  <si>
    <t>محمود يوسف  من 27.04.2021 الى  CS05</t>
  </si>
  <si>
    <t>محمود يوسف  من 02.10.2022 الى  CS05</t>
  </si>
  <si>
    <t>محمود يوسف  من 29.04.2021 الى  CS05</t>
  </si>
  <si>
    <t>محمود يوسف  من 05.06.2021 الى  CS05</t>
  </si>
  <si>
    <t>محمود يوسف  من 04.07.2021 الى  CS05</t>
  </si>
  <si>
    <t>محمود يوسف  من 14.07.2021 الى  CS05</t>
  </si>
  <si>
    <t>محمود يوسف  من 02.08.2021 الى  CS05</t>
  </si>
  <si>
    <t>متجاوز الفترة الائتمانية بمبلغ 2,252.00</t>
  </si>
  <si>
    <t>محمود يوسف  من 04.08.2021 الى  CS05</t>
  </si>
  <si>
    <t>محمود يوسف  من 16.08.2021 الى  CS05</t>
  </si>
  <si>
    <t>محمود يوسف  من 19.08.2021 الى  CS05</t>
  </si>
  <si>
    <t>محمود يوسف  من 06.09.2021 الى  CS05</t>
  </si>
  <si>
    <t>محمود يوسف  من 16.09.2021 الى  CS05</t>
  </si>
  <si>
    <t>محمود يوسف  من 02.10.2021 الى  CS05</t>
  </si>
  <si>
    <t>محمد طارق من 03.10.2021 الى 07.02.2023 CS09 / محمود يوسف  من 07.02.2023 الى  CS05</t>
  </si>
  <si>
    <t>محمود يوسف  من 05.10.2021 الى  CS05</t>
  </si>
  <si>
    <t>محمود يوسف  من 06.10.2021 الى  CS05</t>
  </si>
  <si>
    <t>محمود يوسف  من 12.10.2021 الى  CS05</t>
  </si>
  <si>
    <t>محمود يوسف  من 20.10.2021 الى  CS05</t>
  </si>
  <si>
    <t>متجاوز الفترة الائتمانية بمبلغ 1,787.00</t>
  </si>
  <si>
    <t>محمود يوسف  من 28.10.2021 الى  CS05</t>
  </si>
  <si>
    <t>محمود يوسف  من 04.11.2021 الى  CS05</t>
  </si>
  <si>
    <t>محمود يوسف  من 10.11.2021 الى  CS05</t>
  </si>
  <si>
    <t>محمود يوسف  من 14.11.2021 الى  CS05</t>
  </si>
  <si>
    <t>معرض باهمام التجارية</t>
  </si>
  <si>
    <t>محمود يوسف  من 16.11.2021 الى  CS05</t>
  </si>
  <si>
    <t>محمود يوسف  من 21.11.2021 الى  CS05</t>
  </si>
  <si>
    <t>محمود يوسف  من 28.11.2021 الى  CS05</t>
  </si>
  <si>
    <t>محمود يوسف  من 04.12.2021 الى  CS05</t>
  </si>
  <si>
    <t>محمود يوسف  من 15.12.2021 الى  CS05</t>
  </si>
  <si>
    <t>محمود يوسف  من 16.12.2021 الى  CS05</t>
  </si>
  <si>
    <t>محمود يوسف  من 18.12.2021 الى  CS05</t>
  </si>
  <si>
    <t>شركة مسار التعمير التجارية شركة شخص واحد - نقدى</t>
  </si>
  <si>
    <t>محمود يوسف  من 19.12.2021 الى  CS05</t>
  </si>
  <si>
    <t>محمود يوسف  من 20.12.2021 الى  CS05</t>
  </si>
  <si>
    <t>محمود يوسف  من 23.12.2021 الى  CS05</t>
  </si>
  <si>
    <t>محمود يوسف  من 25.12.2021 الى  CS05</t>
  </si>
  <si>
    <t>محمود يوسف  من 29.12.2021 الى  CS05</t>
  </si>
  <si>
    <t>محمود يوسف  من 04.01.2022 الى  CS05</t>
  </si>
  <si>
    <t>محمود يوسف  من 06.01.2022 الى  CS05</t>
  </si>
  <si>
    <t>محمود يوسف  من 10.01.2022 الى  CS05</t>
  </si>
  <si>
    <t>محمود يوسف  من 11.01.2022 الى  CS05</t>
  </si>
  <si>
    <t>محمود يوسف  من 16.01.2022 الى  CS05</t>
  </si>
  <si>
    <t>محمود يوسف  من 17.01.2022 الى  CS05</t>
  </si>
  <si>
    <t>محمود يوسف  من 03.02.2022 الى  CS05</t>
  </si>
  <si>
    <t>محمود يوسف  من 09.02.2022 الى  CS05</t>
  </si>
  <si>
    <t>محمود يوسف  من 17.02.2022 الى  CS05</t>
  </si>
  <si>
    <t>محمد طارق من 27.02.2022 الى 07.02.2023 CS09 / محمود يوسف  من 07.02.2023 الى  CS05</t>
  </si>
  <si>
    <t>محمود يوسف  من 08.03.2022 الى  CS05</t>
  </si>
  <si>
    <t>محمود يوسف  من 12.03.2022 الى  CS05</t>
  </si>
  <si>
    <t>محمود يوسف  من 17.03.2022 الى  CS05</t>
  </si>
  <si>
    <t>محمود يوسف  من 23.03.2022 الى  CS05</t>
  </si>
  <si>
    <t>محمود يوسف  من 14.04.2022 الى  CS05</t>
  </si>
  <si>
    <t>محمود يوسف  من 29.05.2022 الى  CS05</t>
  </si>
  <si>
    <t>محمود يوسف  من 01.06.2022 الى  CS05</t>
  </si>
  <si>
    <t>محمود يوسف  من 04.06.2022 الى  CS05</t>
  </si>
  <si>
    <t>محمود يوسف  من 12.06.2022 الى  CS05</t>
  </si>
  <si>
    <t>محمود يوسف  من 26.06.2022 الى  CS05</t>
  </si>
  <si>
    <t>محمد طارق من 19.07.2022 الى 07.02.2023 CS09 / محمود يوسف  من 07.02.2023 الى  CS05</t>
  </si>
  <si>
    <t>محمود يوسف  من 28.07.2022 الى  CS05</t>
  </si>
  <si>
    <t>محمود يوسف  من 06.08.2022 الى  CS05</t>
  </si>
  <si>
    <t>محمود يوسف  من 20.08.2022 الى  CS05</t>
  </si>
  <si>
    <t>محمود يوسف  من 30.11.2022 الى  CS05</t>
  </si>
  <si>
    <t>محمود يوسف  من 07.12.2022 الى  CS05</t>
  </si>
  <si>
    <t>محمود يوسف  من 21.12.2022 الى  CS05</t>
  </si>
  <si>
    <t>محمود يوسف  من 04.01.2023 الى  CS05</t>
  </si>
  <si>
    <t>محمود يوسف  من 01.02.2023 الى  CS05</t>
  </si>
  <si>
    <t>محمود يوسف  من 13.02.23 الى  CS04</t>
  </si>
  <si>
    <t>محمود رمضان من 17.08.2021 الى  CS01</t>
  </si>
  <si>
    <t>احمد شلبي  من 11.08.2020 الى 25.11.2020 CS01 / محمود رمضان من 25.11.2020 الى  CS01</t>
  </si>
  <si>
    <t>محمود رمضان  من 04.03.23 الى  CS01</t>
  </si>
  <si>
    <t>محمد حسن  من 04.05.2019 الى 15.12.2019 CS01 / احمد شلبي  من 15.12.2019 الى 25.11.2020 CS01 / محمود رمضان من 25.11.2020 الى  CS01</t>
  </si>
  <si>
    <t>محمد حسن  من 30.06.2019 الى 15.12.2019 CS01 / احمد شلبي  من 15.12.2019 الى 25.11.2020 CS01 / محمود رمضان من 25.11.2020 الى  CS01</t>
  </si>
  <si>
    <t>محمد حسن  من 26.04.2019 الى 15.12.2019 CS01 / احمد شلبي  من 15.12.2019 الى 25.11.2020 CS01 / محمود رمضان من 25.11.2020 الى  CS01</t>
  </si>
  <si>
    <t>محمد حسن  من 19.06.2019 الى 15.12.2019 CS01 / احمد شلبي  من 15.12.2019 الى 25.11.2020 CS01 / محمود رمضان من 25.11.2020 الى  CS01</t>
  </si>
  <si>
    <t>محمود رمضان من 12.04.2021 الى  CS01</t>
  </si>
  <si>
    <t>احمد شلبي  من 21.03.2020 الى 25.11.2020 CS01 / محمود رمضان من 25.11.2020 الى  CS01</t>
  </si>
  <si>
    <t>احمد شلبي  من 01.03.2020 الى 25.11.2020 CS01 / محمود رمضان من 25.11.2020 الى  CS01</t>
  </si>
  <si>
    <t>احمد شلبي  من 05.03.2020 الى 25.11.2020 CS01 / محمود رمضان من 25.11.2020 الى  CS01</t>
  </si>
  <si>
    <t>محمود رمضان من 17.03.2021 الى  CS01</t>
  </si>
  <si>
    <t>محمود رمضان من 24.05.2022 الى  CS01</t>
  </si>
  <si>
    <t>محمود رمضان من 15.09.2022 الى  CS01</t>
  </si>
  <si>
    <t>عمر الشرعبي من 04.10.2022 الى  CS03</t>
  </si>
  <si>
    <t>عمر الشرعبي من 11.12.2021 الى  CS03</t>
  </si>
  <si>
    <t>عمر الشرعبي من 13.12.2021 الى 01.02.2023 CS03 / عمرو سعيد من 01.02.2023 الى  CS09</t>
  </si>
  <si>
    <t>مؤسسة انوار العاصمة للتجارة</t>
  </si>
  <si>
    <t>عمر الشرعبي من 16.12.2021 الى  CS03</t>
  </si>
  <si>
    <t>شركة أعمال المرسلات التجارية-حي العارض</t>
  </si>
  <si>
    <t>عمر الشرعبي من 15.09.2022 الى  CS03</t>
  </si>
  <si>
    <t>عمر الشرعبي من 08.10.2022 الى  CS03</t>
  </si>
  <si>
    <t>عمر الشرعبي من 11.10.2022 الى  CS03</t>
  </si>
  <si>
    <t>شركة لؤلؤه الاقتصاد للتجارة شركة شخص واحد</t>
  </si>
  <si>
    <t>عمر الشرعبي من 15.12.2021 الى  CS03</t>
  </si>
  <si>
    <t>حاتم عبد الدايم  من 05.05.2019 الى 01.07.2019 CS03 / عمر الشرعبي من 01.07.2019 الى 01.02.2023 CS03 / عمرو سعيد من 01.02.2023 الى  CS09</t>
  </si>
  <si>
    <t>عمر الشرعبي من 25.12.2021 الى  CS03</t>
  </si>
  <si>
    <t>متجاوز الحد الائتماني</t>
  </si>
  <si>
    <t>عمر الشرعبي من 27.12.2021 الى  CS03</t>
  </si>
  <si>
    <t>عمر الشرعبي من 01.01.2022 الى  CS03</t>
  </si>
  <si>
    <t>عمر الشرعبي من 03.01.2022 الى  CS03</t>
  </si>
  <si>
    <t>عمر الشرعبي من 17.01.2022 الى  CS03</t>
  </si>
  <si>
    <t>عمر الشرعبي من 16.03.2021 الى 01.02.2023 CS03 / عمرو سعيد من 01.02.2023 الى  CS09</t>
  </si>
  <si>
    <t>عمر الشرعبي من 10.08.2021 الى  CS03</t>
  </si>
  <si>
    <t>محمود رمضان من 09.10.2021 الى  CS01</t>
  </si>
  <si>
    <t>عمر الشرعبي من 17.05.2022 الى  CS03</t>
  </si>
  <si>
    <t>عمر الشرعبي من 21.05.2022 الى 01.02.2023 CS03 / عمرو سعيد من 01.02.2023 الى  CS09</t>
  </si>
  <si>
    <t>متجاوز الفترة الائتمانية بمبلغ 11,387.00</t>
  </si>
  <si>
    <t>عمر الشرعبي من 24.10.2022 الى  CS03</t>
  </si>
  <si>
    <t>عمر الشرعبي من 27.12.2022 الى  CS03</t>
  </si>
  <si>
    <t>محمد حسن  من 20.07.2019 الى 15.12.2019 CS01 / احمد شلبي  من 15.12.2019 الى 25.11.2020 CS01 / محمود رمضان من 25.11.2020 الى  CS01</t>
  </si>
  <si>
    <t>عمر الشرعبي من 14.10.2021 الى 01.02.2023 CS03 / عمرو سعيد من 01.02.2023 الى  CS09</t>
  </si>
  <si>
    <t>عمر الشرعبي من 16.10.2021 الى  CS03</t>
  </si>
  <si>
    <t>محمود رمضان من 17.10.2021 الى  CS01</t>
  </si>
  <si>
    <t>عمر الشرعبي من 17.08.2021 الى  CS03</t>
  </si>
  <si>
    <t>عمر الشرعبي من 14.03.2020 الى  CS03</t>
  </si>
  <si>
    <t>حاتم عبد الدايم  من 07.05.2019 الى 01.07.2019 CS03 / عمر الشرعبي من 01.07.2019 الى 01.02.2023 CS03 / عمرو سعيد من 01.02.2023 الى  CS09</t>
  </si>
  <si>
    <t>عمر الشرعبي من 01.06.2020 الى 01.02.2023 CS03 / عمرو سعيد من 01.02.2023 الى  CS09</t>
  </si>
  <si>
    <t>حاتم عبد الدايم  من 14.05.2019 الى 01.07.2019 CS03 / عمر الشرعبي من 01.07.2019 الى  CS03</t>
  </si>
  <si>
    <t>شركة علي خلف العنزي وشركاه - فرع النظيم</t>
  </si>
  <si>
    <t>مؤسسة اول اعمار للتجارة/الروضة</t>
  </si>
  <si>
    <t>حاتم عبد الدايم  من 23.05.2019 الى 01.07.2019 CS03 / عمر الشرعبي من 01.07.2019 الى 01.02.2023 CS03 / عمرو سعيد من 01.02.2023 الى  CS09</t>
  </si>
  <si>
    <t>محمد حسن  من 18.06.2019 الى 15.12.2019 CS01 / احمد شلبي  من 15.12.2019 الى 25.11.2020 CS01 / محمود رمضان من 25.11.2020 الى  CS01</t>
  </si>
  <si>
    <t>محمد حسن  من 29.06.2019 الى 15.12.2019 CS01 / احمد شلبي  من 15.12.2019 الى 25.11.2020 CS01 / محمود رمضان من 25.11.2020 الى  CS01</t>
  </si>
  <si>
    <t>عمر الشرعبي من 01.07.2019 الى  CS03</t>
  </si>
  <si>
    <t>محمد حسن  من 04.07.2019 الى 15.12.2019 CS01 / احمد شلبي  من 15.12.2019 الى 25.11.2020 CS01 / محمود رمضان من 25.11.2020 الى  CS01</t>
  </si>
  <si>
    <t>عمر الشرعبي من 13.07.2019 الى  CS03</t>
  </si>
  <si>
    <t>عمر الشرعبي من 28.07.2019 الى 01.02.2023 CS03 / عمرو سعيد من 01.02.2023 الى  CS09</t>
  </si>
  <si>
    <t>عمر الشرعبي من 28.07.2019 الى  CS03</t>
  </si>
  <si>
    <t>C0791</t>
  </si>
  <si>
    <t>عميل بضمان المندوب CS01</t>
  </si>
  <si>
    <t>محمد حسن  من 03.08.2019 الى 15.12.2019 CS01 / احمد شلبي  من 15.12.2019 الى 25.11.2020 CS01 / محمود رمضان من 25.11.2020 الى  CS01</t>
  </si>
  <si>
    <t>C0792</t>
  </si>
  <si>
    <t>عميل بضمان المندوب CS03</t>
  </si>
  <si>
    <t>عمر الشرعبي من 03.08.2019 الى  CS03</t>
  </si>
  <si>
    <t>عمر الشرعبي من 14.08.2019 الى  CS03</t>
  </si>
  <si>
    <t>عمر الشرعبي من 09.09.2019 الى  CS03</t>
  </si>
  <si>
    <t>عمر الشرعبي من 15.09.2019 الى  CS03</t>
  </si>
  <si>
    <t>عمر الشرعبي من 28.09.2019 الى  CS03</t>
  </si>
  <si>
    <t>متجاوز الفترة الائتمانية بمبلغ 1.00</t>
  </si>
  <si>
    <t>عمر الشرعبي من 07.10.2019 الى  CS03</t>
  </si>
  <si>
    <t>عمر الشرعبي من 07.10.2019 الى 01.02.2023 CS03 / عمرو سعيد من 01.02.2023 الى  CS09</t>
  </si>
  <si>
    <t>عمر الشرعبي من 09.10.2019 الى  CS03</t>
  </si>
  <si>
    <t>محمود يوسف  من 19.10.2019 الى  CS05</t>
  </si>
  <si>
    <t>عمر الشرعبي من 28.10.2019 الى  CS03</t>
  </si>
  <si>
    <t>عمر الشرعبي من 06.01.2020 الى 01.02.2023 CS03 / عمرو سعيد من 01.02.2023 الى  CS09</t>
  </si>
  <si>
    <t>عمر الشرعبي من 20.01.2022 الى  CS03</t>
  </si>
  <si>
    <t>عمر الشرعبي من 06.02.2022 الى 01.02.2023 CS03 / عمرو سعيد من 01.02.2023 الى  CS09</t>
  </si>
  <si>
    <t>عمر الشرعبي من 09.02.2022 الى  CS03</t>
  </si>
  <si>
    <t>عمر الشرعبي من 23.02.2022 الى 01.02.2023 CS03 / عمرو سعيد من 01.02.2023 الى  CS09</t>
  </si>
  <si>
    <t>عمر الشرعبي من 02.03.2022 الى  CS03</t>
  </si>
  <si>
    <t>عمر الشرعبي من 05.03.2022 الى  CS03</t>
  </si>
  <si>
    <t>عمر الشرعبي من 13.03.2022 الى 01.02.2023 CS03 / عمرو سعيد من 01.02.2023 الى  CS09</t>
  </si>
  <si>
    <t>عمر الشرعبي من 20.03.2022 الى  CS03</t>
  </si>
  <si>
    <t>عمر الشرعبي من 24.04.2022 الى 01.02.2023 CS03 / عمرو سعيد من 01.02.2023 الى  CS09</t>
  </si>
  <si>
    <t>محمد حسن  من 13.11.2019 الى 15.12.2019 CS01 / احمد شلبي  من 15.12.2019 الى 25.11.2020 CS01 / محمود رمضان من 25.11.2020 الى  CS01</t>
  </si>
  <si>
    <t>محمد حسن  من 23.11.2019 الى 15.12.2019 CS01 / احمد شلبي  من 15.12.2019 الى 25.11.2020 CS01 / محمود رمضان من 25.11.2020 الى  CS01</t>
  </si>
  <si>
    <t>عمر الشرعبي من 08.12.2019 الى 01.02.2023 CS03 / عمرو سعيد من 01.02.2023 الى  CS09</t>
  </si>
  <si>
    <t>احمد شلبي  من 22.12.2019 الى 25.11.2020 CS01 / محمود رمضان من 25.11.2020 الى  CS01</t>
  </si>
  <si>
    <t>عمر الشرعبي من 12.02.2022 الى  CS03</t>
  </si>
  <si>
    <t>احمد شلبي  من 04.07.2020 الى 25.11.2020 CS01 / محمود رمضان من 25.11.2020 الى  CS01</t>
  </si>
  <si>
    <t>عمر الشرعبي من 13.02.2022 الى  CS03</t>
  </si>
  <si>
    <t>احمد شلبي  من 24.12.2019 الى 25.11.2020 CS01 / محمود رمضان من 25.11.2020 الى  CS01</t>
  </si>
  <si>
    <t>عمر الشرعبي من 20.11.2021 الى  CS03</t>
  </si>
  <si>
    <t>احمد شلبي  من 22.01.2020 الى 25.11.2020 CS01 / محمود رمضان من 25.11.2020 الى  CS01</t>
  </si>
  <si>
    <t>احمد شلبي  من 26.03.2020 الى 25.11.2020 CS01 / محمود رمضان من 25.11.2020 الى  CS01</t>
  </si>
  <si>
    <t>عمر الشرعبي من 07.10.2021 الى  CS03</t>
  </si>
  <si>
    <t>عمر الشرعبي من 20.10.2021 الى  CS03</t>
  </si>
  <si>
    <t>عمر الشرعبي من 08.05.2022 الى  CS03</t>
  </si>
  <si>
    <t>عمر الشرعبي من 10.01.2021 الى  CS03</t>
  </si>
  <si>
    <t>عمر الشرعبي من 13.01.2021 الى  CS03</t>
  </si>
  <si>
    <t>مؤسسة اثير الرياض للتجارة - نقدي</t>
  </si>
  <si>
    <t>عمر الشرعبي من 25.01.2021 الى 01.02.2023 CS03 / عمرو سعيد من 01.02.2023 الى  CS09</t>
  </si>
  <si>
    <t>عمر الشرعبي من 31.01.2023 الى  CS03</t>
  </si>
  <si>
    <t>عمر الشرعبي من 08.02.2021 الى  CS03</t>
  </si>
  <si>
    <t>SM</t>
  </si>
  <si>
    <t>C0875</t>
  </si>
  <si>
    <t>عميل بضمان المشرف</t>
  </si>
  <si>
    <t>حاتم عبد الدايم من 09.07.2020 الى  SM</t>
  </si>
  <si>
    <t>عمر الشرعبي من 29.06.2022 الى  CS03</t>
  </si>
  <si>
    <t>عمر الشرعبي من 29.02.2020 الى  CS03</t>
  </si>
  <si>
    <t>عمر الشرعبي من 30.01.2021 الى 01.02.2023 CS03 / عمرو سعيد من 01.02.2023 الى  CS09</t>
  </si>
  <si>
    <t>محمود رمضان من 30.11.2020 الى  CS01</t>
  </si>
  <si>
    <t>محمود رمضان من 08.03.2021 الى  CS01</t>
  </si>
  <si>
    <t>عمر الشرعبي من 09.03.2021 الى  CS03</t>
  </si>
  <si>
    <t>عمر الشرعبي من 07.01.2021 الى  CS03</t>
  </si>
  <si>
    <t>محمود رمضان من 12.01.2021 الى  CS01</t>
  </si>
  <si>
    <t>عمر الشرعبي من 30.05.2021 الى  CS03</t>
  </si>
  <si>
    <t>محمود رمضان من 03.07.2022 الى  CS01</t>
  </si>
  <si>
    <t>عمر الشرعبي من 01.06.2020 الى  CS03</t>
  </si>
  <si>
    <t>عمر الشرعبي من 01.06.2020 الى 01.02.2023 CS03 / عمرو سعيد من 01.02.2023 الى  CS09_x000D_ تم تحويل من نقدي الى اجل _x000D_ومن مؤسسة الى شركة _x000D_وتغير الرقم الضريبي من  302607380300003 الى 311514298300003 فى تاريخ 15/05/2023</t>
  </si>
  <si>
    <t>احمد شلبي  من 14.09.2020 الى 25.11.2020 CS01 / محمود رمضان من 25.11.2020 الى  CS01</t>
  </si>
  <si>
    <t>عمر الشرعبي من 10.10.2020 الى 01.02.2023 CS03 / عمرو سعيد من 01.02.2023 الى  CS09</t>
  </si>
  <si>
    <t>عمر الشرعبي من 10.10.2020 الى  CS03</t>
  </si>
  <si>
    <t>احمد شلبي  من 11.10.2020 الى 25.11.2020 CS01 / محمود رمضان من 25.11.2020 الى  CS01</t>
  </si>
  <si>
    <t>عمر الشرعبي من 31.10.2020 الى 01.02.2023 CS03 / عمرو سعيد من 01.02.2023 الى  CS09</t>
  </si>
  <si>
    <t>محمود رمضان من 06.04.2021 الى  CS01</t>
  </si>
  <si>
    <t>محمود رمضان من 18.11.2021 الى  CS01</t>
  </si>
  <si>
    <t>محمود رمضان من 30.12.2020 الى  CS01</t>
  </si>
  <si>
    <t>شركة ابداع المعاجم للادوات الصحية - نقدى</t>
  </si>
  <si>
    <t>عمر الشرعبي من 30.12.2020 الى  CS03</t>
  </si>
  <si>
    <t>عمر الشرعبي من 22.12.2021 الى  CS03</t>
  </si>
  <si>
    <t>عمر الشرعبي من 29.08.2020 الى  CS03</t>
  </si>
  <si>
    <t>محمود رمضان من 06.02.2022 الى  CS01</t>
  </si>
  <si>
    <t>عمر الشرعبي من 30.11.2020 الى  CS03</t>
  </si>
  <si>
    <t>محمود رمضان من 09.02.2022 الى  CS01</t>
  </si>
  <si>
    <t>محمود رمضان من 23.03.2022 الى  CS01</t>
  </si>
  <si>
    <t>عمر الشرعبي من 23.05.2022 الى  CS03</t>
  </si>
  <si>
    <t>محمود رمضان من 23.05.2022 الى  CS01</t>
  </si>
  <si>
    <t>عمر الشرعبي من 24.05.2022 الى 01.02.2023 CS03 / عمرو سعيد من 01.02.2023 الى  CS09</t>
  </si>
  <si>
    <t>عمر الشرعبي من 08.09.2022 الى  CS03</t>
  </si>
  <si>
    <t>عمر الشرعبي من 12.09.2022 الى  CS03</t>
  </si>
  <si>
    <t>عمر الشرعبي من 13.09.2022 الى  CS03</t>
  </si>
  <si>
    <t>عمر الشرعبي من 19.10.2022 الى  CS03</t>
  </si>
  <si>
    <t>عمر الشرعبي من 19.11.2022 الى 01.02.2023 CS03 / عمرو سعيد من 01.02.2023 الى  CS09</t>
  </si>
  <si>
    <t>عمر الشرعبي من 12.12.2022 الى  CS03</t>
  </si>
  <si>
    <t>عمر الشرعبي من 18.12.2022 الى  CS03</t>
  </si>
  <si>
    <t>عمر الشرعبي من 07.01.2023 الى  CS03</t>
  </si>
  <si>
    <t>متجاوز الفترة الائتمانية بمبلغ 15,665.00</t>
  </si>
  <si>
    <t>عمر الشرعبى  من 09.02.23 الى  CS03</t>
  </si>
  <si>
    <t>عمر الشرعبى  من 19.02.23 الى  CS03</t>
  </si>
  <si>
    <t>عمر الشرعبى  من 20.02.23 الى  CS03</t>
  </si>
  <si>
    <t>عمر الشرعبى  من 25.02.23 الى  CS03</t>
  </si>
  <si>
    <t>عمر الشرعبى  من 27.03.23 الى  CS03</t>
  </si>
  <si>
    <t>محمود كريم  من 26.04.2019 الى 01.10.2020 CS02 / محمد رمضان  من 01.10.2020 الى 25.04.2022 CS02 / محمود رمضان  من 25.04.2022 الى  CS01</t>
  </si>
  <si>
    <t>محمد رمضان  من 19.12.2021 الى 25.04.2022 CS02 / محمود رمضان  من 25.04.2022 الى  CS01</t>
  </si>
  <si>
    <t>محمود كريم  من 21.08.2019 الى 01.10.2020 CS02 / محمد رمضان  من 01.10.2020 الى 25.04.2022 CS02 / محمود رمضان  من 25.04.2022 الى  CS01</t>
  </si>
  <si>
    <t>محمود كريم  من 04.05.2019 الى 01.10.2020 CS02 / محمد رمضان  من 01.10.2020 الى 25.04.2022 CS02 / محمود رمضان  من 25.04.2022 الى  CS01</t>
  </si>
  <si>
    <t>محمود كريم  من 02.05.2019 الى 01.10.2020 CS02 / محمد رمضان  من 01.10.2020 الى 25.04.2022 CS02 / محمود رمضان  من 25.04.2022 الى  CS01</t>
  </si>
  <si>
    <t>محمود كريم  من 27.06.2019 الى 01.10.2020 CS02 / محمد رمضان  من 01.10.2020 الى 25.04.2022 CS02 / محمود رمضان  من 25.04.2022 الى  CS01</t>
  </si>
  <si>
    <t>محمد رمضان  من 06.12.2021 الى 25.04.2022 CS02 / محمود رمضان  من 25.04.2022 الى  CS01</t>
  </si>
  <si>
    <t>محمد رمضان  من 01.12.2021 الى 25.04.2022 CS02 / محمود رمضان  من 25.04.2022 الى  CS01</t>
  </si>
  <si>
    <t>محمود كريم  من 06.05.2019 الى 01.10.2020 CS02 / محمد رمضان  من 01.10.2020 الى 25.04.2022 CS02 / محمود رمضان  من 25.04.2022 الى  CS01</t>
  </si>
  <si>
    <t>محمود كريم  من 10.07.2019 الى 01.10.2020 CS02 / محمد رمضان  من 01.10.2020 الى 25.04.2022 CS02 / محمود رمضان  من 25.04.2022 الى  CS01</t>
  </si>
  <si>
    <t>D0069</t>
  </si>
  <si>
    <t>عميل بضمان المندوب CS02</t>
  </si>
  <si>
    <t>محمد رمضان من 03.08.2019 الى  CS12</t>
  </si>
  <si>
    <t>محمود كريم  من 09.10.2019 الى 01.10.2020 CS02 / محمد رمضان  من 01.10.2020 الى 25.04.2022 CS02 / محمود رمضان  من 25.04.2022 الى  CS01</t>
  </si>
  <si>
    <t>محمود كريم  من 12.10.2019 الى 01.10.2020 CS02 / محمد رمضان  من 01.10.2020 الى 25.04.2022 CS02 / محمود رمضان  من 25.04.2022 الى  CS01</t>
  </si>
  <si>
    <t>محمود كريم  من 27.10.2019 الى 01.10.2020 CS02 / محمد رمضان  من 01.10.2020 الى 25.04.2022 CS02 / محمود رمضان  من 25.04.2022 الى  CS01</t>
  </si>
  <si>
    <t>محمود كريم  من 25.11.2019 الى 01.10.2020 CS02 / محمد رمضان  من 01.10.2020 الى 25.04.2022 CS02 / محمود رمضان  من 25.04.2022 الى  CS01</t>
  </si>
  <si>
    <t>محمود كريم  من 23.01.2020 الى 01.10.2020 CS02 / محمد رمضان  من 01.10.2020 الى 25.04.2022 CS02 / محمود رمضان  من 25.04.2022 الى  CS01</t>
  </si>
  <si>
    <t>محمود كريم  من 20.05.2020 الى 01.10.2020 CS02 / محمد رمضان  من 01.10.2020 الى 25.04.2022 CS02 / محمود رمضان  من 25.04.2022 الى  CS01</t>
  </si>
  <si>
    <t>محمود كريم  من 01.06.2020 الى 01.10.2020 CS02 / محمد رمضان  من 01.10.2020 الى 25.04.2022 CS02 / محمود رمضان  من 25.04.2022 الى  CS01</t>
  </si>
  <si>
    <t>محمود كريم  من 11.08.2020 الى 01.10.2020 CS02 / محمد رمضان  من 01.10.2020 الى 25.04.2022 CS02 / محمود رمضان  من 25.04.2022 الى  CS01</t>
  </si>
  <si>
    <t>محمود كريم  من 16.08.2020 الى 01.10.2020 CS02 / محمد رمضان  من 01.10.2020 الى 25.04.2022 CS02 / محمود رمضان  من 25.04.2022 الى  CS01</t>
  </si>
  <si>
    <t>محمود كريم  من 14.09.2020 الى 01.10.2020 CS02 / محمد رمضان  من 01.10.2020 الى 25.04.2022 CS02 / محمود رمضان  من 25.04.2022 الى  CS01</t>
  </si>
  <si>
    <t>محمد رمضان  من 08.11.2020 الى 25.04.2022 CS02 / محمود رمضان  من 25.04.2022 الى  CS01</t>
  </si>
  <si>
    <t>محمد رمضان  من 25.11.2020 الى 25.04.2022 CS02 / محمود رمضان  من 25.04.2022 الى  CS01</t>
  </si>
  <si>
    <t>محمد رمضان  من 20.12.2021 الى 25.04.2022 CS02 / محمود رمضان  من 25.04.2022 الى  CS01</t>
  </si>
  <si>
    <t>محمد رمضان  من 21.11.2020 الى 25.04.2022 CS02 / محمود رمضان  من 25.04.2022 الى  CS01</t>
  </si>
  <si>
    <t>محمد رمضان  من 26.11.2020 الى 25.04.2022 CS02 / محمود رمضان  من 25.04.2022 الى  CS01</t>
  </si>
  <si>
    <t>محمد رمضان  من 30.11.2020 الى 25.04.2022 CS02 / محمود رمضان  من 25.04.2022 الى  CS01</t>
  </si>
  <si>
    <t>محمد رمضان  من 22.12.2020 الى 25.04.2022 CS02 / محمود رمضان  من 25.04.2022 الى  CS01</t>
  </si>
  <si>
    <t>محمد رمضان  من 13.12.2020 الى 25.04.2022 CS02 / محمود رمضان  من 25.04.2022 الى  CS01</t>
  </si>
  <si>
    <t>محمد رمضان  من 15.06.2021 الى 25.04.2022 CS02 / محمود رمضان  من 25.04.2022 الى  CS01</t>
  </si>
  <si>
    <t>محمد رمضان  من 05.07.2021 الى 25.04.2022 CS02 / محمود رمضان  من 25.04.2022 الى  CS01</t>
  </si>
  <si>
    <t>محمد رمضان  من 06.10.2021 الى 25.04.2022 CS02 / محمود رمضان  من 25.04.2022 الى  CS01</t>
  </si>
  <si>
    <t>محمد رمضان  من 16.11.2021 الى 25.04.2022 CS02 / محمود رمضان  من 25.04.2022 الى  CS01</t>
  </si>
  <si>
    <t>محمد رمضان  من 05.02.2022 الى 25.04.2022 CS02 / محمود رمضان  من 25.04.2022 الى  CS01</t>
  </si>
  <si>
    <t>محمود رمضان  من 10.05.2022 الى  CS01</t>
  </si>
  <si>
    <t>محمد رمضان  من 01.01.2022 الى 25.04.2022 CS02 / محمود رمضان  من 25.04.2022 الى  CS01</t>
  </si>
  <si>
    <t>متجاوز الفترة الائتمانية بمبلغ 5,322.00</t>
  </si>
  <si>
    <t>G0018</t>
  </si>
  <si>
    <t>عميل بضمان المندوب CS06</t>
  </si>
  <si>
    <t>متجاوز الفترة الائتمانية بمبلغ 2,232.00</t>
  </si>
  <si>
    <t>محمود يوسف  من 10.07.2021 الى  CS05</t>
  </si>
  <si>
    <t>مؤسسة ريفان لتنظيم المعارض والمؤتمرات-نقدي</t>
  </si>
  <si>
    <t>حسام شيخة من 21.03.2022 الى 08.05.2022 CS06 / معتز خضر من 08.05.2022 الى  CS06</t>
  </si>
  <si>
    <t>متجاوز الفترة الائتمانية بمبلغ 15,266.00</t>
  </si>
  <si>
    <t>معتز خضر  من 16.02.23 الى  CS06</t>
  </si>
  <si>
    <t>حسام شيخة من 05.03.23 الى  LB07</t>
  </si>
  <si>
    <t>محمد طارق من 06.11.2022 الى 07.02.2023 CS09 / محمود يوسف  من 07.02.2023 الى  CS05</t>
  </si>
  <si>
    <t>محمد طارق من 10.11.2022 الى 07.02.2023 CS09 / محمود يوسف  من 07.02.2023 الى  CS05</t>
  </si>
  <si>
    <t>محمد طارق من 05.12.2022 الى 07.02.2023 CS09 / محمود يوسف  من 07.02.2023 الى  CS05</t>
  </si>
  <si>
    <t>محمود يوسف  من 16.02.23 الى  CS05</t>
  </si>
  <si>
    <t>محمود يوسف  من 28.02.23 الى  CS05</t>
  </si>
  <si>
    <t>محمود يوسف  من 30.03.23 الى  CS05</t>
  </si>
  <si>
    <t>محمد رمضان من 12.09.2022 الى  CS12</t>
  </si>
  <si>
    <t>محمد رمضان من 14.09.2022 الى  CS12</t>
  </si>
  <si>
    <t>محمد رمضان من 10.10.2022 الى  CS12</t>
  </si>
  <si>
    <t>محمد رمضان من 11.10.2022 الى  CS12</t>
  </si>
  <si>
    <t>محمد رمضان من 18.10.2022 الى  CS12</t>
  </si>
  <si>
    <t>متجاوز الفترة الائتمانية بمبلغ 52,052.00</t>
  </si>
  <si>
    <t>محمد رمضان من 26.10.2022 الى  CS12</t>
  </si>
  <si>
    <t>محمد رمضان من 05.11.2022 الى  CS12</t>
  </si>
  <si>
    <t>محمد رمضان من 17.11.2022 الى  CS12</t>
  </si>
  <si>
    <t>محمد رمضان من 03.12.2022 الى  CS12</t>
  </si>
  <si>
    <t>محمد رمضان من 14.12.2022 الى  CS12</t>
  </si>
  <si>
    <t>محمد رمضان من 08.01.2023 الى  CS12</t>
  </si>
  <si>
    <t>محمد رمضان من 11.01.2023 الى  CS12</t>
  </si>
  <si>
    <t>محمد رمضان من 12.01.2023 الى  CS12</t>
  </si>
  <si>
    <t>محمد رمضان من 04.02.2023 الى  CS12</t>
  </si>
  <si>
    <t>محمد رمضان  من 05.03.23 الى  CS12</t>
  </si>
  <si>
    <t>CS14</t>
  </si>
  <si>
    <t>K0017</t>
  </si>
  <si>
    <t>CS14 - عمبل بضمان المندوب</t>
  </si>
  <si>
    <t>عمر الدبيب من 26.03.23 الى  CS14</t>
  </si>
  <si>
    <t>K0018</t>
  </si>
  <si>
    <t>محمد رمضان  من 11.04.23 الى  CS12</t>
  </si>
  <si>
    <t>L0001</t>
  </si>
  <si>
    <t>عميل بضمان المندوب -CS09</t>
  </si>
  <si>
    <t>محمد طارق من 12.05.2022 الى 07.02.2023 CS09 / عمرو سعيد من 07.02.2023 الى  CS09</t>
  </si>
  <si>
    <t>متجاوز الفترة الائتمانية بمبلغ 242.00</t>
  </si>
  <si>
    <t>محمد طارق  من 26.06.2022 الى 24.07.2022 CS03 / عمر الشرعبي من 24.07.2022 الى 01.02.2023 CS03 / عمرو سعيد من 01.02.2023 الى  CS09</t>
  </si>
  <si>
    <t>محمد طارق  من 17.07.2022 الى 24.07.2022 CS03 / عمر الشرعبي من 24.07.2022 الى 01.02.2023 CS03 / عمرو سعيد من 01.02.2023 الى  CS09</t>
  </si>
  <si>
    <t>محمد طارق  من 06.08.2022 الى 24.07.2022 CS03 / عمر الشرعبي من 24.07.2022 الى 01.02.2023 CS03 / عمرو سعيد من 01.02.2023 الى  CS09</t>
  </si>
  <si>
    <t>عمرو سعيد  من 07.03.23 الى  CS09</t>
  </si>
  <si>
    <t>عمرو سعيد  من 11.04.23 الى  CS09</t>
  </si>
  <si>
    <t>عمر الشرعبى  من 05.03.23 الى  CS03</t>
  </si>
  <si>
    <t>LB20008</t>
  </si>
  <si>
    <t>عميل بضمان المندوب LB07</t>
  </si>
  <si>
    <t>حسام شيخة من 24.01.2023 الى  LB07</t>
  </si>
  <si>
    <t>حسام شيخة من 28.12.2022 الى  LB07</t>
  </si>
  <si>
    <t>حسام شيخة من 12.01.2023 الى  LB07</t>
  </si>
  <si>
    <t>شركة مركز الجملة الجنوبية التجارية</t>
  </si>
  <si>
    <t>LB09</t>
  </si>
  <si>
    <t>LB2K001</t>
  </si>
  <si>
    <t>عميل بضمان المندوب -LB09</t>
  </si>
  <si>
    <t>كريم صقر من 19.01.2023 الى  LB09</t>
  </si>
  <si>
    <t>LB08</t>
  </si>
  <si>
    <t>LB2T001</t>
  </si>
  <si>
    <t>عميل بضمان المندوب LB08</t>
  </si>
  <si>
    <t>طارق الزحيلي من 28.01.2023 الى  LB08</t>
  </si>
  <si>
    <t>متجاوز الفترة الائتمانية بمبلغ 781.00</t>
  </si>
  <si>
    <t>محمد رمضان  من 26.03.23 الى  CS12</t>
  </si>
  <si>
    <t>محمد مجدي من 26.04.2019 الى 01.03.2021 CS04</t>
  </si>
  <si>
    <t>محمد مجدي من 30.06.2019 الى 01.03.2021 CS04</t>
  </si>
  <si>
    <t>محمد مجدي من 18.06.2019 الى 01.03.2021 CS04</t>
  </si>
  <si>
    <t>محمد مجدي من 01.05.2019 الى 01.03.2021 CS04</t>
  </si>
  <si>
    <t>محمد مجدي من 04.05.2019 الى 01.03.2021 CS04</t>
  </si>
  <si>
    <t>محمد مجدي من 28.06.2020 الى 01.03.2021 CS04</t>
  </si>
  <si>
    <t>محمد مجدي من 13.07.2019 الى 01.03.2021 CS04</t>
  </si>
  <si>
    <t>محمد مجدي من 16.05.2019 الى 01.03.2021 CS04</t>
  </si>
  <si>
    <t>محمد مجدي من 20.06.2019 الى 01.03.2021 CS04</t>
  </si>
  <si>
    <t>محمد مجدي من 25.07.2019 الى 01.03.2021 CS04</t>
  </si>
  <si>
    <t>M0070</t>
  </si>
  <si>
    <t>عميل بضمان المندوب CS04</t>
  </si>
  <si>
    <t>محمد مجدي من 03.08.2019 الى 01.03.2021 CS04</t>
  </si>
  <si>
    <t>محمد مجدي من 11.09.2019 الى 01.03.2021 CS04</t>
  </si>
  <si>
    <t>محمد مجدي من 16.11.2019 الى 01.03.2021 CS04</t>
  </si>
  <si>
    <t>محمد مجدي من 25.11.2019 الى 01.03.2021 CS04</t>
  </si>
  <si>
    <t>محمد مجدي من 15.12.2019 الى 01.03.2021 CS04</t>
  </si>
  <si>
    <t>محمد مجدي من 20.05.2020 الى 01.03.2021 CS04</t>
  </si>
  <si>
    <t>N0001</t>
  </si>
  <si>
    <t>عميل بضمان المندوب -CS08</t>
  </si>
  <si>
    <t>محمود قباني من 12.05.2022 الى 15.01.2023 CS08 / سامر الزينى من 15.01.2023 الى  CS08</t>
  </si>
  <si>
    <t>محمود قباني من 11.06.2022 الى 15.01.2023 CS08 / سامر الزينى من 15.01.2023 الى  CS08</t>
  </si>
  <si>
    <t>محمود قباني من 14.06.2022 الى 15.01.2023 CS08 / سامر الزينى من 15.01.2023 الى  CS08</t>
  </si>
  <si>
    <t>محل سما الكهرباء للتجارة -نقدى</t>
  </si>
  <si>
    <t>محمود قباني من 15.06.2022 الى 15.01.2023 CS08 / سامر الزينى من 15.01.2023 الى  CS08</t>
  </si>
  <si>
    <t>محمود قباني من 16.06.2022 الى 15.01.2023 CS08 / سامر الزينى من 15.01.2023 الى  CS08</t>
  </si>
  <si>
    <t>محمود قباني من 18.06.2022 الى 15.01.2023 CS08 / سامر الزينى من 15.01.2023 الى  CS08</t>
  </si>
  <si>
    <t>محمود قباني من 22.06.2022 الى 15.01.2023 CS08 / سامر الزينى من 15.01.2023 الى  CS08</t>
  </si>
  <si>
    <t>محمود قباني من 30.06.2022 الى 15.01.2023 CS08 / سامر الزينى من 15.01.2023 الى  CS08</t>
  </si>
  <si>
    <t>محمود قباني من 02.07.2022 الى 15.01.2023 CS08 / سامر الزينى من 15.01.2023 الى  CS08</t>
  </si>
  <si>
    <t>محمود قباني من 19.07.2022 الى 15.01.2023 CS08 / سامر الزينى من 15.01.2023 الى  CS08</t>
  </si>
  <si>
    <t>محمود قباني من 02.08.2022 الى 15.01.2023 CS08 / سامر الزينى من 15.01.2023 الى  CS08</t>
  </si>
  <si>
    <t>محمود قباني من 29.09.2022 الى 15.01.2023 CS08 / سامر الزينى من 15.01.2023 الى  CS08</t>
  </si>
  <si>
    <t>سامر الزينى من 16.01.2023 الى  CS08</t>
  </si>
  <si>
    <t>سامر الزينى من 22.01.2023 الى  CS08</t>
  </si>
  <si>
    <t>سامر الزينى من 06.02.2023 الى  CS08</t>
  </si>
  <si>
    <t>عمر الشرعبي من 04.05.2021 الى  CS03</t>
  </si>
  <si>
    <t>عمر الشرعبي من 22.05.2021 الى  CS03</t>
  </si>
  <si>
    <t>محمد طارق  من 25.05.2021 الى 24.07.2022 CS03 / عمر الشرعبي من 24.07.2022 الى 01.02.2023 CS03 / عمرو سعيد من 01.02.2023 الى  CS09</t>
  </si>
  <si>
    <t>عمر الشرعبي من 26.05.2021 الى  CS03</t>
  </si>
  <si>
    <t>عمر الشرعبى  من 07.03.23 الى  CS03</t>
  </si>
  <si>
    <t>CS13</t>
  </si>
  <si>
    <t>S0001</t>
  </si>
  <si>
    <t>عميل بضمان المندوب -CS13</t>
  </si>
  <si>
    <t>بشار الديب من 14.12.2022 الى  CS13</t>
  </si>
  <si>
    <t>T0001</t>
  </si>
  <si>
    <t>عميل بضمان المندوب CS05</t>
  </si>
  <si>
    <t>محمود يوسف  من 19.07.2020 الى  CS05</t>
  </si>
  <si>
    <t>صالحة يحيى احمد عسيرى</t>
  </si>
  <si>
    <t>المجموعة</t>
  </si>
  <si>
    <t>سند الامر مختوم بختم الغرفة التجارية (هل ينوب عن طلب فتح الحساب؟) + سند الامر بدون ضامن احتياطى</t>
  </si>
  <si>
    <t>محمد صالح محمد العبودي</t>
  </si>
  <si>
    <t>K0023</t>
  </si>
  <si>
    <t>شركة ضوء الأندلس التجارية - نقدي</t>
  </si>
  <si>
    <t>حسام شيخة من 25.01.2021 الى 08.05.2022 CS06 / معتز خضر من 08.05.2022 الى 12.03.2023 CS06 / سامر الزينى  من 12.03.2023 الى  CS06</t>
  </si>
  <si>
    <t>حسام شيخة من 27.01.2021 الى 08.05.2022 CS06 / معتز خضر من 08.05.2022 الى 12.03.2023 CS06 / سامر الزينى  من 12.03.2023 الى  CS06</t>
  </si>
  <si>
    <t>حسام شيخة من 28.01.2021 الى 08.05.2022 CS06 / معتز خضر من 08.05.2022 الى 12.03.2023 CS06 / سامر الزينى  من 12.03.2023 الى  CS06</t>
  </si>
  <si>
    <t>حسام شيخة من 28.01.2021 الى 08.05.2022 CS06 / معتز خضر من 08.05.2022 الى 12.03.2023 CS06 / حسام شيخة  من 12.03.2023 الى  LB07</t>
  </si>
  <si>
    <t>حسام شيخة من 02.02.2021 الى 08.05.2022 CS06 / معتز خضر من 08.05.2022 الى 12.03.2023 CS06 / سامر الزينى  من 12.03.2023 الى  CS06</t>
  </si>
  <si>
    <t>حسام شيخة من 02.02.2021 الى 08.05.2022 CS06 / معتز خضر من 08.05.2022 الى 12.03.2023 CS06 / حسام شيخة  من 12.03.2023 الى  LB07</t>
  </si>
  <si>
    <t>حسام شيخة من 22.02.2021 الى 08.05.2022 CS06 / معتز خضر من 08.05.2022 الى 12.03.2023 CS06 / سامر الزينى  من 12.03.2023 الى  CS06</t>
  </si>
  <si>
    <t>حسام شيخة من 19.04.2021 الى 08.05.2022 CS06 / معتز خضر من 08.05.2022 الى 12.03.2023 CS06 / حسام شيخة  من 12.03.2023 الى  LB07</t>
  </si>
  <si>
    <t>حسام شيخة من 02.06.2021 الى 08.05.2022 CS06 / معتز خضر من 08.05.2022 الى 12.03.2023 CS06 / سامر الزينى  من 12.03.2023 الى  CS06</t>
  </si>
  <si>
    <t>حسام شيخة من 12.06.2021 الى 08.05.2022 CS06 / معتز خضر من 08.05.2022 الى 12.03.2023 CS06 / سامر الزينى  من 12.03.2023 الى  CS06</t>
  </si>
  <si>
    <t>حسام شيخة من 30.06.2021 الى 08.05.2022 CS06 / معتز خضر من 08.05.2022 الى 12.03.2023 CS06 / سامر الزينى  من 12.03.2023 الى  CS06</t>
  </si>
  <si>
    <t>حسام شيخة من 03.07.2021 الى 08.05.2022 CS06 / معتز خضر من 08.05.2022 الى 12.03.2023 CS06 / سامر الزينى  من 12.03.2023 الى  CS06</t>
  </si>
  <si>
    <t>حسام شيخة من 03.07.2021 الى 08.05.2022 CS06 / معتز خضر من 08.05.2022 الى 12.03.2023 CS06 / حسام شيخة  من 12.03.2023 الى  LB07</t>
  </si>
  <si>
    <t>حسام شيخة من 01.08.2021 الى 08.05.2022 CS06 / معتز خضر من 08.05.2022 الى 12.03.2023 CS06 / سامر الزينى  من 12.03.2023 الى  CS06</t>
  </si>
  <si>
    <t>حسام شيخة من 02.08.2021 الى 08.05.2022 CS06 / معتز خضر من 08.05.2022 الى 12.03.2023 CS06 / سامر الزينى  من 12.03.2023 الى  CS06</t>
  </si>
  <si>
    <t>حسام شيخة من 04.08.2021 الى 08.05.2022 CS06 / معتز خضر من 08.05.2022 الى 12.03.2023 CS06 / سامر الزينى  من 12.03.2023 الى  CS06</t>
  </si>
  <si>
    <t>حسام شيخة من 07.08.2021 الى 08.05.2022 CS06 / معتز خضر من 08.05.2022 الى 12.03.2023 CS06 / سامر الزينى  من 12.03.2023 الى  CS06</t>
  </si>
  <si>
    <t>حسام شيخة من 11.08.2021 الى 08.05.2022 CS06 / معتز خضر من 08.05.2022 الى 12.03.2023 CS06 / حسام شيخة  من 12.03.2023 الى  LB07</t>
  </si>
  <si>
    <t>حسام شيخة من 16.08.2021 الى 08.05.2022 CS06 / معتز خضر من 08.05.2022 الى 12.03.2023 CS06 / سامر الزينى  من 12.03.2023 الى  CS06</t>
  </si>
  <si>
    <t>حسام شيخة من 17.08.2021 الى 08.05.2022 CS06 / معتز خضر من 08.05.2022 الى 12.03.2023 CS06 / سامر الزينى  من 12.03.2023 الى  CS06</t>
  </si>
  <si>
    <t>حسام شيخة من 26.08.2021 الى 08.05.2022 CS06 / معتز خضر من 08.05.2022 الى 12.03.2023 CS06 / سامر الزينى  من 12.03.2023 الى  CS06</t>
  </si>
  <si>
    <t>حسام شيخة من 04.09.2021 الى 08.05.2022 CS06 / معتز خضر من 08.05.2022 الى 12.03.2023 CS06 / سامر الزينى  من 12.03.2023 الى  CS06</t>
  </si>
  <si>
    <t>حسام شيخة من 11.09.2021 الى 08.05.2022 CS06 / معتز خضر من 08.05.2022 الى 12.03.2023 CS06 / سامر الزينى  من 12.03.2023 الى  CS06</t>
  </si>
  <si>
    <t>حسام شيخة من 18.09.2021 الى 08.05.2022 CS06 / معتز خضر من 08.05.2022 الى 12.03.2023 CS06 / سامر الزينى  من 12.03.2023 الى  CS06</t>
  </si>
  <si>
    <t>حسام شيخة من 05.10.2021 الى 08.05.2022 CS06 / معتز خضر من 08.05.2022 الى 12.03.2023 CS06 / سامر الزينى  من 12.03.2023 الى  CS06</t>
  </si>
  <si>
    <t>حسام شيخة من 23.10.2021 الى 08.05.2022 CS06 / معتز خضر من 08.05.2022 الى 12.03.2023 CS06 / سامر الزينى  من 12.03.2023 الى  CS06</t>
  </si>
  <si>
    <t>حسام شيخة من 14.11.2021 الى 08.05.2022 CS06 / معتز خضر من 08.05.2022 الى 12.03.2023 CS06 / سامر الزينى  من 12.03.2023 الى  CS06</t>
  </si>
  <si>
    <t>حسام شيخة من 01.12.2021 الى 08.05.2022 CS06 / معتز خضر من 08.05.2022 الى 12.03.2023 CS06 / سامر الزينى  من 12.03.2023 الى  CS06</t>
  </si>
  <si>
    <t>حسام شيخة من 15.12.2021 الى 08.05.2022 CS06 / معتز خضر من 08.05.2022 الى 12.03.2023 CS06 / سامر الزينى  من 12.03.2023 الى  CS06</t>
  </si>
  <si>
    <t>حسام شيخة من 20.12.2021 الى 08.05.2022 CS06 / معتز خضر من 08.05.2022 الى 12.03.2023 CS06 / حسام شيخة  من 12.03.2023 الى  LB07</t>
  </si>
  <si>
    <t>حسام شيخة من 23.12.2021 الى 08.05.2022 CS06 / معتز خضر من 08.05.2022 الى 12.03.2023 CS06 / سامر الزينى  من 12.03.2023 الى  CS06</t>
  </si>
  <si>
    <t>حسام شيخة من 25.12.2021 الى 08.05.2022 CS06 / معتز خضر من 08.05.2022 الى 12.03.2023 CS06 / سامر الزينى  من 12.03.2023 الى  CS06</t>
  </si>
  <si>
    <t>حسام شيخة من 13.01.2022 الى 08.05.2022 CS06 / معتز خضر من 08.05.2022 الى 12.03.2023 CS06 / سامر الزينى  من 12.03.2023 الى  CS06</t>
  </si>
  <si>
    <t>حسام شيخة من 15.01.2022 الى 08.05.2022 CS06 / معتز خضر من 08.05.2022 الى 12.03.2023 CS06 / سامر الزينى  من 12.03.2023 الى  CS06</t>
  </si>
  <si>
    <t>حسام شيخة من 22.01.2022 الى 08.05.2022 CS06 / معتز خضر من 08.05.2022 الى 12.03.2023 CS06 / سامر الزينى  من 12.03.2023 الى  CS06</t>
  </si>
  <si>
    <t>حسام شيخة من 22.01.2022 الى 08.05.2022 CS06 / معتز خضر من 08.05.2022 الى 12.03.2023 CS06 / حسام شيخة  من 12.03.2023 الى  LB07</t>
  </si>
  <si>
    <t>حسام شيخة من 30.01.2022 الى 08.05.2022 CS06 / معتز خضر من 08.05.2022 الى 12.03.2023 CS06 / سامر الزينى  من 12.03.2023 الى  CS06</t>
  </si>
  <si>
    <t>حسام شيخة من 06.02.2022 الى 08.05.2022 CS06 / معتز خضر من 08.05.2022 الى 12.03.2023 CS06 / سامر الزينى  من 12.03.2023 الى  CS06</t>
  </si>
  <si>
    <t>حسام شيخة من 14.02.2022 الى 08.05.2022 CS06 / معتز خضر من 08.05.2022 الى 12.03.2023 CS06 / سامر الزينى  من 12.03.2023 الى  CS06</t>
  </si>
  <si>
    <t>حسام شيخة من 06.03.2022 الى 08.05.2022 CS06 / معتز خضر من 08.05.2022 الى 12.03.2023 CS06 / سامر الزينى  من 12.03.2023 الى  CS06</t>
  </si>
  <si>
    <t>حسام شيخة من 21.03.2022 الى 08.05.2022 CS06 / معتز خضر من 08.05.2022 الى 12.03.2023 CS06 / حسام شيخة  من 12.03.2023 الى  LB07</t>
  </si>
  <si>
    <t>حسام شيخة من 02.04.2022 الى 08.05.2022 CS06 / معتز خضر من 08.05.2022 الى 12.03.2023 CS06 / حسام شيخة  من 12.03.2023 الى  LB07</t>
  </si>
  <si>
    <t>حسام شيخة من 04.04.2022 الى 08.05.2022 CS06 / معتز خضر من 08.05.2022 الى 12.03.2023 CS06 / سامر الزينى  من 12.03.2023 الى  CS06</t>
  </si>
  <si>
    <t>حسام شيخة من 25.04.2022 الى 08.05.2022 CS06 / معتز خضر من 08.05.2022 الى 12.03.2023 CS06 / حسام شيخة  من 12.03.2023 الى  LB07</t>
  </si>
  <si>
    <t>معتز خضر من 14.05.2022 الى 12.03.2023 CS06 / سامر الزينى  من 12.03.2023 الى  CS06</t>
  </si>
  <si>
    <t>معتز خضر من 21.05.2022 الى 12.03.2023 CS06 / سامر الزينى  من 12.03.2023 الى  CS06</t>
  </si>
  <si>
    <t>معتز خضر من 29.05.2022 الى 12.03.2023 CS06 / سامر الزينى  من 12.03.2023 الى  CS06</t>
  </si>
  <si>
    <t>معتز خضر من 01.06.2022 الى 12.03.2023 CS06 / سامر الزينى  من 12.03.2023 الى  CS06</t>
  </si>
  <si>
    <t>معتز خضر من 05.06.2022 الى 12.03.2023 CS06 / سامر الزينى  من 12.03.2023 الى  CS06</t>
  </si>
  <si>
    <t>معتز خضر من 14.06.2022 الى 12.03.2023 CS06 / سامر الزينى  من 12.03.2023 الى  CS06</t>
  </si>
  <si>
    <t>معتز خضر من 27.06.2022 الى 12.03.2023 CS06 / سامر الزينى  من 12.03.2023 الى  CS06</t>
  </si>
  <si>
    <t>معتز خضر من 21.07.2022 الى 12.03.2023 CS06 / حسام شيخة  من 12.03.2023 الى  LB07</t>
  </si>
  <si>
    <t>معتز خضر من 24.07.2022 الى 12.03.2023 CS06 / سامر الزينى  من 12.03.2023 الى  CS06</t>
  </si>
  <si>
    <t>معتز خضر من 02.08.2022 الى 12.03.2023 CS06 / سامر الزينى  من 12.03.2023 الى  CS06</t>
  </si>
  <si>
    <t>معتز خضر من 17.10.2022 الى 12.03.2023 CS06 / حسام شيخة  من 12.03.2023 الى  LB07</t>
  </si>
  <si>
    <t>معتز خضر من 16.11.2022 الى 12.03.2023 CS06 / حسام شيخة  من 12.03.2023 الى  LB07</t>
  </si>
  <si>
    <t>معتز خضر من 05.01.2023 الى 12.03.2023 CS06 / سامر الزينى  من 12.03.2023 الى  CS06</t>
  </si>
  <si>
    <t>الاسم به اختلافات عن الاسم بالسجل التجارى</t>
  </si>
  <si>
    <t>نوره جزاع رجاء الوسيدي</t>
  </si>
  <si>
    <t>الاسم غير مطابق للاسم بالسجل التجارى تم تعديله لانوار المملكة</t>
  </si>
  <si>
    <t>عمشاء عبدالله الحمد السحيم</t>
  </si>
  <si>
    <t>عبدالله فهد جريد الضبيب</t>
  </si>
  <si>
    <t>محمد عثمان محمد المزيرعى</t>
  </si>
  <si>
    <t>العميل لديه سند امر و ليس له حد ائتمانى على ساب</t>
  </si>
  <si>
    <t>سعد جمعان حامد الحربى</t>
  </si>
  <si>
    <t>خالد عمر عبيد باوزير</t>
  </si>
  <si>
    <t xml:space="preserve">سعد محمد عبدالله آل زين الزهراني </t>
  </si>
  <si>
    <t xml:space="preserve">فاطمة عطيه احمد الزهراني </t>
  </si>
  <si>
    <t xml:space="preserve">إبراهيم احمد سعيد الغامدي </t>
  </si>
  <si>
    <t>خديجة بنت عبدالصمد على خان خوجه</t>
  </si>
  <si>
    <t>هناء زين محمد على</t>
  </si>
  <si>
    <t>عبدالرحمن  عطيه بن رازن الصحفي</t>
  </si>
  <si>
    <t>هشام زين احمد صالح</t>
  </si>
  <si>
    <t>احمد محمد احمد الهندى</t>
  </si>
  <si>
    <t>على احمد عبد الله يحى</t>
  </si>
  <si>
    <t>شفاء محمد عمر باجعفر</t>
  </si>
  <si>
    <t>رزق بن مرزوق بن مبيريك العمري</t>
  </si>
  <si>
    <t>صلاح بن عبدالقادر بن محمد حسرت</t>
  </si>
  <si>
    <t>عادل احمد على الخياصى الغامدى</t>
  </si>
  <si>
    <t>توصية بسيطة</t>
  </si>
  <si>
    <t>فاضل بن حبيب محمد فندم</t>
  </si>
  <si>
    <t>نهله مهناء محمد السبيعي</t>
  </si>
  <si>
    <t>LicTradNum</t>
  </si>
  <si>
    <t>PymntGroup</t>
  </si>
  <si>
    <t>GroupNum</t>
  </si>
  <si>
    <t>300579576100003</t>
  </si>
  <si>
    <t>- Cash Basic -</t>
  </si>
  <si>
    <t>300396895900003</t>
  </si>
  <si>
    <t>60 Days</t>
  </si>
  <si>
    <t>301048174800003</t>
  </si>
  <si>
    <t>311286333400003</t>
  </si>
  <si>
    <t>311306214100003</t>
  </si>
  <si>
    <t>302228452500003</t>
  </si>
  <si>
    <t>300450704900003</t>
  </si>
  <si>
    <t>300423683100003</t>
  </si>
  <si>
    <t>300412784500003</t>
  </si>
  <si>
    <t>31014242500003</t>
  </si>
  <si>
    <t>302128241300003</t>
  </si>
  <si>
    <t>300489131400003</t>
  </si>
  <si>
    <t>310622202300003</t>
  </si>
  <si>
    <t>310561788600003</t>
  </si>
  <si>
    <t>310733992500003</t>
  </si>
  <si>
    <t>300483711900003</t>
  </si>
  <si>
    <t>300627957200003</t>
  </si>
  <si>
    <t>300689974700003</t>
  </si>
  <si>
    <t>300758371900003</t>
  </si>
  <si>
    <t>302038812500003</t>
  </si>
  <si>
    <t>300736221700003</t>
  </si>
  <si>
    <t>310695414900003</t>
  </si>
  <si>
    <t>300831304900003</t>
  </si>
  <si>
    <t>300812962800003</t>
  </si>
  <si>
    <t>300503269800003</t>
  </si>
  <si>
    <t>310414622100003</t>
  </si>
  <si>
    <t>300820785900003</t>
  </si>
  <si>
    <t>302004341500003</t>
  </si>
  <si>
    <t>300917765400003</t>
  </si>
  <si>
    <t>301314721900003</t>
  </si>
  <si>
    <t>310875758500003</t>
  </si>
  <si>
    <t>302027334300003</t>
  </si>
  <si>
    <t>310414467700003</t>
  </si>
  <si>
    <t>302018676700003</t>
  </si>
  <si>
    <t>310861261500003</t>
  </si>
  <si>
    <t>310988333300003</t>
  </si>
  <si>
    <t>302170129500003</t>
  </si>
  <si>
    <t>300692498100003</t>
  </si>
  <si>
    <t>300450238100003</t>
  </si>
  <si>
    <t>300521457200003</t>
  </si>
  <si>
    <t>300562168100003</t>
  </si>
  <si>
    <t>310964490900003</t>
  </si>
  <si>
    <t>300524274400003</t>
  </si>
  <si>
    <t>301239573700003</t>
  </si>
  <si>
    <t>مؤسسة فاضل بن حبيب محمد فندم التجارية</t>
  </si>
  <si>
    <t>300750522900003</t>
  </si>
  <si>
    <t>302176800900003</t>
  </si>
  <si>
    <t>300394039600003</t>
  </si>
  <si>
    <t>302284416400003</t>
  </si>
  <si>
    <t>300998875600003</t>
  </si>
  <si>
    <t>311215435200003</t>
  </si>
  <si>
    <t>310705169600003</t>
  </si>
  <si>
    <t>300634058900003</t>
  </si>
  <si>
    <t>300764092400003</t>
  </si>
  <si>
    <t>310070220500003</t>
  </si>
  <si>
    <t>300515541300003</t>
  </si>
  <si>
    <t>300733572600003</t>
  </si>
  <si>
    <t>302095091900003</t>
  </si>
  <si>
    <t>300891682900003</t>
  </si>
  <si>
    <t>310885936700003</t>
  </si>
  <si>
    <t>300645489500003</t>
  </si>
  <si>
    <t>310054685400003</t>
  </si>
  <si>
    <t>300391907500003</t>
  </si>
  <si>
    <t>300548884200003</t>
  </si>
  <si>
    <t>311006292200003</t>
  </si>
  <si>
    <t>310376468100003</t>
  </si>
  <si>
    <t>302077618300003</t>
  </si>
  <si>
    <t>311484851400003</t>
  </si>
  <si>
    <t>300883979600003</t>
  </si>
  <si>
    <t>300830919300003</t>
  </si>
  <si>
    <t>302062070800003</t>
  </si>
  <si>
    <t>310665306600003</t>
  </si>
  <si>
    <t>311171591400003</t>
  </si>
  <si>
    <t>310795330800003</t>
  </si>
  <si>
    <t>310888962900003</t>
  </si>
  <si>
    <t>311237272800003</t>
  </si>
  <si>
    <t>310866377200003</t>
  </si>
  <si>
    <t>310009944600003</t>
  </si>
  <si>
    <t>310218033700003</t>
  </si>
  <si>
    <t>310979672100003</t>
  </si>
  <si>
    <t>310627640400003</t>
  </si>
  <si>
    <t>301270764700003</t>
  </si>
  <si>
    <t>300388993500003</t>
  </si>
  <si>
    <t>310047156300003</t>
  </si>
  <si>
    <t>310836002700003</t>
  </si>
  <si>
    <t>311163652100003</t>
  </si>
  <si>
    <t>300821085800003</t>
  </si>
  <si>
    <t>310289316700003</t>
  </si>
  <si>
    <t>311364202600003</t>
  </si>
  <si>
    <t>310201528400003</t>
  </si>
  <si>
    <t>310240160300003</t>
  </si>
  <si>
    <t>300986868800003</t>
  </si>
  <si>
    <t>300500233800003</t>
  </si>
  <si>
    <t>300455073200003</t>
  </si>
  <si>
    <t>301231966300003</t>
  </si>
  <si>
    <t>300927933200003</t>
  </si>
  <si>
    <t>301029683900003</t>
  </si>
  <si>
    <t>301251666500003</t>
  </si>
  <si>
    <t>310538648800003</t>
  </si>
  <si>
    <t>310374488500003</t>
  </si>
  <si>
    <t>300609557200003</t>
  </si>
  <si>
    <t>310714536800003</t>
  </si>
  <si>
    <t>300709279400003</t>
  </si>
  <si>
    <t>310069573600003</t>
  </si>
  <si>
    <t>300425967400003</t>
  </si>
  <si>
    <t>301235474900003</t>
  </si>
  <si>
    <t>311325586400003</t>
  </si>
  <si>
    <t>310001196300003</t>
  </si>
  <si>
    <t>301009371500003</t>
  </si>
  <si>
    <t>310131636900003</t>
  </si>
  <si>
    <t>311185844400003</t>
  </si>
  <si>
    <t>301023981600003</t>
  </si>
  <si>
    <t>310909724400003</t>
  </si>
  <si>
    <t>311011876800003</t>
  </si>
  <si>
    <t>310305319300003</t>
  </si>
  <si>
    <t>311270777100003</t>
  </si>
  <si>
    <t>300095531500003</t>
  </si>
  <si>
    <t>311078324700003</t>
  </si>
  <si>
    <t>311302319900003</t>
  </si>
  <si>
    <t>301314068200003</t>
  </si>
  <si>
    <t>311201838900003</t>
  </si>
  <si>
    <t>302178551700003</t>
  </si>
  <si>
    <t>311029809400003</t>
  </si>
  <si>
    <t>300009306500003</t>
  </si>
  <si>
    <t>300026838600003</t>
  </si>
  <si>
    <t>300842107300003</t>
  </si>
  <si>
    <t>300580757400003</t>
  </si>
  <si>
    <t>310389488300003</t>
  </si>
  <si>
    <t>310213035700003</t>
  </si>
  <si>
    <t>311242126900003</t>
  </si>
  <si>
    <t>311077626500003</t>
  </si>
  <si>
    <t>311295104900003</t>
  </si>
  <si>
    <t>300537789500003</t>
  </si>
  <si>
    <t>311087579400003</t>
  </si>
  <si>
    <t>310051474700003</t>
  </si>
  <si>
    <t>300265967600003</t>
  </si>
  <si>
    <t>311191051300003</t>
  </si>
  <si>
    <t>311178726500003</t>
  </si>
  <si>
    <t>300995077900003</t>
  </si>
  <si>
    <t>301041157700003</t>
  </si>
  <si>
    <t>311332188800003</t>
  </si>
  <si>
    <t>310257817500003</t>
  </si>
  <si>
    <t>310274342200003</t>
  </si>
  <si>
    <t>300032946900003</t>
  </si>
  <si>
    <t>302160802100003</t>
  </si>
  <si>
    <t>شركة روافد الكهرباء للتجارة</t>
  </si>
  <si>
    <t>311097919300003</t>
  </si>
  <si>
    <t>302210974500003</t>
  </si>
  <si>
    <t>310088399300003</t>
  </si>
  <si>
    <t>300031767700003</t>
  </si>
  <si>
    <t>300927566200003</t>
  </si>
  <si>
    <t>311274280800003</t>
  </si>
  <si>
    <t>310156620700003</t>
  </si>
  <si>
    <t>300486854400003</t>
  </si>
  <si>
    <t>310166127900003</t>
  </si>
  <si>
    <t>310078680500003</t>
  </si>
  <si>
    <t>311166433600003</t>
  </si>
  <si>
    <t>300024635700003</t>
  </si>
  <si>
    <t>محمود رمضان</t>
  </si>
  <si>
    <t>عمر الشرعبي</t>
  </si>
  <si>
    <t>300685483200003</t>
  </si>
  <si>
    <t>300399196500003</t>
  </si>
  <si>
    <t>310828791200003</t>
  </si>
  <si>
    <t>311037610200003</t>
  </si>
  <si>
    <t>302157615700003</t>
  </si>
  <si>
    <t>3000287268300003</t>
  </si>
  <si>
    <t>300556865600003</t>
  </si>
  <si>
    <t>311264427200003</t>
  </si>
  <si>
    <t>301200478900003</t>
  </si>
  <si>
    <t>310117439300003</t>
  </si>
  <si>
    <t>210969249200003</t>
  </si>
  <si>
    <t>300852509800003</t>
  </si>
  <si>
    <t>300973962300003</t>
  </si>
  <si>
    <t>300127804900003</t>
  </si>
  <si>
    <t>300537181600003</t>
  </si>
  <si>
    <t>300062839500003</t>
  </si>
  <si>
    <t>300451104700003</t>
  </si>
  <si>
    <t>310059676600003</t>
  </si>
  <si>
    <t>300977171300003</t>
  </si>
  <si>
    <t>301200964300003</t>
  </si>
  <si>
    <t>300651281600003</t>
  </si>
  <si>
    <t>310141879100003</t>
  </si>
  <si>
    <t>302167956500003</t>
  </si>
  <si>
    <t>310029730600003</t>
  </si>
  <si>
    <t>311229393700003</t>
  </si>
  <si>
    <t>300846402200003</t>
  </si>
  <si>
    <t>300040685300003</t>
  </si>
  <si>
    <t>310286323700003</t>
  </si>
  <si>
    <t>300451903800003</t>
  </si>
  <si>
    <t>302107380300003</t>
  </si>
  <si>
    <t>300838149300003</t>
  </si>
  <si>
    <t>300486394500003</t>
  </si>
  <si>
    <t>حاتم</t>
  </si>
  <si>
    <t>300032532300003</t>
  </si>
  <si>
    <t>310882297900003</t>
  </si>
  <si>
    <t>310248497600003</t>
  </si>
  <si>
    <t>300757877200003</t>
  </si>
  <si>
    <t>310095945800003</t>
  </si>
  <si>
    <t>301305968200003</t>
  </si>
  <si>
    <t>310914676800003</t>
  </si>
  <si>
    <t>300015823600003</t>
  </si>
  <si>
    <t>311514298300003</t>
  </si>
  <si>
    <t>300916381500003</t>
  </si>
  <si>
    <t>311304180500003</t>
  </si>
  <si>
    <t>311221192500003</t>
  </si>
  <si>
    <t>300023665500003</t>
  </si>
  <si>
    <t>310362524500003</t>
  </si>
  <si>
    <t>300036033900003</t>
  </si>
  <si>
    <t>302191017800003</t>
  </si>
  <si>
    <t>301025573500003</t>
  </si>
  <si>
    <t>300979768200003</t>
  </si>
  <si>
    <t>311257882500003</t>
  </si>
  <si>
    <t>310331681200003</t>
  </si>
  <si>
    <t>310051560600003</t>
  </si>
  <si>
    <t>300049588400003</t>
  </si>
  <si>
    <t>310225546800003</t>
  </si>
  <si>
    <t>300135172600003</t>
  </si>
  <si>
    <t>310556926800003</t>
  </si>
  <si>
    <t>302206839200003</t>
  </si>
  <si>
    <t>301032571800003</t>
  </si>
  <si>
    <t>310027224900003</t>
  </si>
  <si>
    <t>300028437300003</t>
  </si>
  <si>
    <t>302037995600003</t>
  </si>
  <si>
    <t>311257519500003</t>
  </si>
  <si>
    <t>310488990300003</t>
  </si>
  <si>
    <t>310962418900003</t>
  </si>
  <si>
    <t>310295003400003</t>
  </si>
  <si>
    <t>302066667200003</t>
  </si>
  <si>
    <t>302258889900003</t>
  </si>
  <si>
    <t>310262348300003</t>
  </si>
  <si>
    <t>3104208303000003</t>
  </si>
  <si>
    <t>302186681600003</t>
  </si>
  <si>
    <t>311295720300003</t>
  </si>
  <si>
    <t>300246624200003</t>
  </si>
  <si>
    <t>300036893300003</t>
  </si>
  <si>
    <t>310090548300003</t>
  </si>
  <si>
    <t>C1031</t>
  </si>
  <si>
    <t>مؤسسة مشكاة الجزيرة للتجارة -نقدي</t>
  </si>
  <si>
    <t>310538804400003</t>
  </si>
  <si>
    <t>300919886800003</t>
  </si>
  <si>
    <t>302232661300003</t>
  </si>
  <si>
    <t>301065568900003</t>
  </si>
  <si>
    <t>302203820400003</t>
  </si>
  <si>
    <t>310239628900003</t>
  </si>
  <si>
    <t>310209010200003</t>
  </si>
  <si>
    <t>300580958400003</t>
  </si>
  <si>
    <t>310216791300003</t>
  </si>
  <si>
    <t>310306606400003</t>
  </si>
  <si>
    <t>300063564200003</t>
  </si>
  <si>
    <t>300970392100003</t>
  </si>
  <si>
    <t>301003771500003</t>
  </si>
  <si>
    <t>310317330400003</t>
  </si>
  <si>
    <t>300841688700003</t>
  </si>
  <si>
    <t>310834631500003</t>
  </si>
  <si>
    <t>302141390900003</t>
  </si>
  <si>
    <t>301129059200003</t>
  </si>
  <si>
    <t>محمد رمضان</t>
  </si>
  <si>
    <t>301118976900003</t>
  </si>
  <si>
    <t>301316959800003</t>
  </si>
  <si>
    <t>300816192400003</t>
  </si>
  <si>
    <t>301119776300003</t>
  </si>
  <si>
    <t>310351083200003</t>
  </si>
  <si>
    <t>300421668800003</t>
  </si>
  <si>
    <t>300426503100003</t>
  </si>
  <si>
    <t>301022477500003</t>
  </si>
  <si>
    <t>310892909800003</t>
  </si>
  <si>
    <t>300813308200003</t>
  </si>
  <si>
    <t>301313389600003</t>
  </si>
  <si>
    <t>310022165200003</t>
  </si>
  <si>
    <t>300029616500003</t>
  </si>
  <si>
    <t>301182074900003</t>
  </si>
  <si>
    <t>310309213400003</t>
  </si>
  <si>
    <t>300550364200003</t>
  </si>
  <si>
    <t>310093095900003</t>
  </si>
  <si>
    <t>310769162100003</t>
  </si>
  <si>
    <t>310158411200003</t>
  </si>
  <si>
    <t>300838902900003</t>
  </si>
  <si>
    <t>300123587500003</t>
  </si>
  <si>
    <t>300822886500003</t>
  </si>
  <si>
    <t>300685287600003</t>
  </si>
  <si>
    <t>300091372200003</t>
  </si>
  <si>
    <t>311320459600003</t>
  </si>
  <si>
    <t>302013297500003</t>
  </si>
  <si>
    <t>310650350500003</t>
  </si>
  <si>
    <t>310130531800003</t>
  </si>
  <si>
    <t>300159167100003</t>
  </si>
  <si>
    <t>302186019700003</t>
  </si>
  <si>
    <t>403031284100003</t>
  </si>
  <si>
    <t>300452901700003</t>
  </si>
  <si>
    <t>310344083600003</t>
  </si>
  <si>
    <t>403037842700004</t>
  </si>
  <si>
    <t>حازم</t>
  </si>
  <si>
    <t>300454629700003</t>
  </si>
  <si>
    <t>300187975300003</t>
  </si>
  <si>
    <t>310121154200003</t>
  </si>
  <si>
    <t>311230827400003</t>
  </si>
  <si>
    <t>310168989200003</t>
  </si>
  <si>
    <t>300088612200003</t>
  </si>
  <si>
    <t>310216483600003</t>
  </si>
  <si>
    <t>300348461700003</t>
  </si>
  <si>
    <t>310846274900003</t>
  </si>
  <si>
    <t>300241761700003</t>
  </si>
  <si>
    <t>300313886200003</t>
  </si>
  <si>
    <t>310239914500003</t>
  </si>
  <si>
    <t>301027395300003</t>
  </si>
  <si>
    <t>310225892600003</t>
  </si>
  <si>
    <t>301037586400003</t>
  </si>
  <si>
    <t>301245475500003</t>
  </si>
  <si>
    <t>300470635100003</t>
  </si>
  <si>
    <t>310827692200003</t>
  </si>
  <si>
    <t>310523644200003</t>
  </si>
  <si>
    <t>311021227100003</t>
  </si>
  <si>
    <t>300946265700003</t>
  </si>
  <si>
    <t>310576929200003</t>
  </si>
  <si>
    <t>300484287200003</t>
  </si>
  <si>
    <t>300845381800003</t>
  </si>
  <si>
    <t>310734275200003</t>
  </si>
  <si>
    <t>310160898300003</t>
  </si>
  <si>
    <t>310158422800003</t>
  </si>
  <si>
    <t>300147057900003</t>
  </si>
  <si>
    <t>311118698800003</t>
  </si>
  <si>
    <t>300130461400003</t>
  </si>
  <si>
    <t>300558868700003</t>
  </si>
  <si>
    <t>310306624800003</t>
  </si>
  <si>
    <t>302058154900003</t>
  </si>
  <si>
    <t>300879138900003</t>
  </si>
  <si>
    <t>311179583600003</t>
  </si>
  <si>
    <t>310351238100003</t>
  </si>
  <si>
    <t>311197294800003</t>
  </si>
  <si>
    <t>300831058700003</t>
  </si>
  <si>
    <t>310525790800003</t>
  </si>
  <si>
    <t>310260425400003</t>
  </si>
  <si>
    <t>311265811700003</t>
  </si>
  <si>
    <t>300113172100003</t>
  </si>
  <si>
    <t>310892113800003</t>
  </si>
  <si>
    <t>301263475900003</t>
  </si>
  <si>
    <t>300088595800003</t>
  </si>
  <si>
    <t>300700802600003</t>
  </si>
  <si>
    <t>300893915100003</t>
  </si>
  <si>
    <t>311227034400003</t>
  </si>
  <si>
    <t>310086821200003</t>
  </si>
  <si>
    <t>310389038900003</t>
  </si>
  <si>
    <t>300088676100003</t>
  </si>
  <si>
    <t>301254077400003</t>
  </si>
  <si>
    <t>310128049800003</t>
  </si>
  <si>
    <t>300459122200003</t>
  </si>
  <si>
    <t>301098959500003</t>
  </si>
  <si>
    <t>300425936100003</t>
  </si>
  <si>
    <t>300561002700003</t>
  </si>
  <si>
    <t>311286171700003</t>
  </si>
  <si>
    <t>300518667900003</t>
  </si>
  <si>
    <t>310839694600003</t>
  </si>
  <si>
    <t>310084946200003</t>
  </si>
  <si>
    <t>300768392200003</t>
  </si>
  <si>
    <t>301111682900003</t>
  </si>
  <si>
    <t>300907585900003</t>
  </si>
  <si>
    <t>311251108700003</t>
  </si>
  <si>
    <t>311291814500003</t>
  </si>
  <si>
    <t>302192979800003</t>
  </si>
  <si>
    <t>311291571400003</t>
  </si>
  <si>
    <t>310165666400003</t>
  </si>
  <si>
    <t>311242601800003</t>
  </si>
  <si>
    <t>300847537400003</t>
  </si>
  <si>
    <t>311288866100003</t>
  </si>
  <si>
    <t>310782104300003</t>
  </si>
  <si>
    <t>310965030300003</t>
  </si>
  <si>
    <t>عمر الديب</t>
  </si>
  <si>
    <t>311157027100003</t>
  </si>
  <si>
    <t>310099902900003</t>
  </si>
  <si>
    <t>310389704400003</t>
  </si>
  <si>
    <t>310381554200003</t>
  </si>
  <si>
    <t>310902101800003</t>
  </si>
  <si>
    <t>311299571600003</t>
  </si>
  <si>
    <t>K0024</t>
  </si>
  <si>
    <t>شركة التوريد الفوري فرع الجيزان</t>
  </si>
  <si>
    <t>عمرو الشحات</t>
  </si>
  <si>
    <t>310278358800003</t>
  </si>
  <si>
    <t>301101369200003</t>
  </si>
  <si>
    <t>311264142300003</t>
  </si>
  <si>
    <t>302006563900003</t>
  </si>
  <si>
    <t>301216572800003</t>
  </si>
  <si>
    <t>300464613700003</t>
  </si>
  <si>
    <t>حسام شيخة</t>
  </si>
  <si>
    <t>311372043300003</t>
  </si>
  <si>
    <t>300087762700003</t>
  </si>
  <si>
    <t>311316475800003</t>
  </si>
  <si>
    <t>311138684600003</t>
  </si>
  <si>
    <t>كريم صقر</t>
  </si>
  <si>
    <t>طارق الزحيلي</t>
  </si>
  <si>
    <t>311311123500003</t>
  </si>
  <si>
    <t>301001457600003</t>
  </si>
  <si>
    <t>300634072500003</t>
  </si>
  <si>
    <t>300520683100003</t>
  </si>
  <si>
    <t>301039579100003</t>
  </si>
  <si>
    <t>301186157700003</t>
  </si>
  <si>
    <t>302067383800003</t>
  </si>
  <si>
    <t>310122304500003</t>
  </si>
  <si>
    <t>300550997300003</t>
  </si>
  <si>
    <t>310259356800003</t>
  </si>
  <si>
    <t>300973094300003</t>
  </si>
  <si>
    <t>300562862400003</t>
  </si>
  <si>
    <t>300406236100003</t>
  </si>
  <si>
    <t>3008977475900003</t>
  </si>
  <si>
    <t>300817654100003</t>
  </si>
  <si>
    <t>300861711700003</t>
  </si>
  <si>
    <t>300744098600003</t>
  </si>
  <si>
    <t>310422227300003</t>
  </si>
  <si>
    <t>302049505700003</t>
  </si>
  <si>
    <t>310013389300003</t>
  </si>
  <si>
    <t>سامر زيني</t>
  </si>
  <si>
    <t>311292182600003</t>
  </si>
  <si>
    <t>310081675600003</t>
  </si>
  <si>
    <t>311151237700003</t>
  </si>
  <si>
    <t>302194520200003</t>
  </si>
  <si>
    <t>311267873800003</t>
  </si>
  <si>
    <t>300099481500003</t>
  </si>
  <si>
    <t>310545888700003</t>
  </si>
  <si>
    <t>311231508400003</t>
  </si>
  <si>
    <t>301108976400003</t>
  </si>
  <si>
    <t>302284346600003</t>
  </si>
  <si>
    <t>310842312100003</t>
  </si>
  <si>
    <t>311068831600003</t>
  </si>
  <si>
    <t>300507793400003</t>
  </si>
  <si>
    <t>311460950100003</t>
  </si>
  <si>
    <t>300460829900003</t>
  </si>
  <si>
    <t>310103418900003</t>
  </si>
  <si>
    <t>310294087800003</t>
  </si>
  <si>
    <t>تم فتح حساب جديد بكود L0005</t>
  </si>
  <si>
    <t>310121652400003</t>
  </si>
  <si>
    <t>311272528200003</t>
  </si>
  <si>
    <t>310889739500003</t>
  </si>
  <si>
    <t>بشار ديب</t>
  </si>
  <si>
    <t>محمود يوسف</t>
  </si>
  <si>
    <t>https://maps.app.goo.gl/PK7Yaksh73tWff489?g_st=it</t>
  </si>
  <si>
    <t>اسيا محمد ناصر عجيمان</t>
  </si>
  <si>
    <t>نواف وليد بن عبدالرحمن الدامغ</t>
  </si>
  <si>
    <t>الحد الائتمانى متجاوز قيمة سند الامر</t>
  </si>
  <si>
    <t xml:space="preserve">ماجد سالم سليمان السليم </t>
  </si>
  <si>
    <t>حوراء احمد بن محمد آل سعيد</t>
  </si>
  <si>
    <t xml:space="preserve">ماجد عبدالمحسن علي الرماح </t>
  </si>
  <si>
    <t xml:space="preserve">محمد حمود محمد السهدي الهاجري </t>
  </si>
  <si>
    <t xml:space="preserve">سويدة بنت علي جعفر الحربي </t>
  </si>
  <si>
    <t xml:space="preserve">طاهر حمد بن طاهر النمر </t>
  </si>
  <si>
    <t xml:space="preserve">سليمان حمد سليمان الفليح </t>
  </si>
  <si>
    <t>سالم علي بن سالم النابت المري</t>
  </si>
  <si>
    <t>K0025</t>
  </si>
  <si>
    <t>هلال بن حسن بن هلال ال شطى</t>
  </si>
  <si>
    <t>سالم احمد بن عامر المهري</t>
  </si>
  <si>
    <t>نورة حسين سلطان آل سالم</t>
  </si>
  <si>
    <t>عبدالله حسين ابراهيم آل حدور</t>
  </si>
  <si>
    <t>سالم كرامه بن حسن مول الدويله المنهالي</t>
  </si>
  <si>
    <t>عبدالله احمد عمر بايعقوب العمودي</t>
  </si>
  <si>
    <t>حمد بن محمد بن حمد الصقر الموسي</t>
  </si>
  <si>
    <t>مهاء سالم هذال الدوسري</t>
  </si>
  <si>
    <t>يوسف صالح سليمان الفوزان</t>
  </si>
  <si>
    <t>عبدالله صالح هادي القبالى الحارثي</t>
  </si>
  <si>
    <t>سلطان تركي شاكر العسيبلي</t>
  </si>
  <si>
    <t>K0026</t>
  </si>
  <si>
    <t>C1032</t>
  </si>
  <si>
    <t>عبدالعزيز توفيق سليمان العوده</t>
  </si>
  <si>
    <t>محمد بن يحي بن محمد عمري</t>
  </si>
  <si>
    <t>محمد علي بن احمد البوقرين</t>
  </si>
  <si>
    <t xml:space="preserve">اشرف بن حسين بن  علي المرهون </t>
  </si>
  <si>
    <t>نجود عبد المحسن سليم السلمي</t>
  </si>
  <si>
    <t>عبير احمد معتوق آل عاشور</t>
  </si>
  <si>
    <t>احمد عايش محمد النمر</t>
  </si>
  <si>
    <t>اسامه عبدالله احمد موسي</t>
  </si>
  <si>
    <t>عبد العزيز عبد الله محمد بن عمر</t>
  </si>
  <si>
    <t>محمد عبد الله  على أبو قرين</t>
  </si>
  <si>
    <t>حصه عبدالعزيز محمد الفايز</t>
  </si>
  <si>
    <t>https://maps.app.goo.gl/twFx5XJyPPVPUuQk9?g_st=it</t>
  </si>
  <si>
    <t>خليل إبراهيم حسن مداخلي</t>
  </si>
  <si>
    <t>علي مساعد فرج علي ال شملان</t>
  </si>
  <si>
    <t>معتز سعيد حسين الزهراني</t>
  </si>
  <si>
    <t>محمد خالد مرزوق الرحيمي المطيري</t>
  </si>
  <si>
    <t>عبدالعزيز حمد بن محمد البريثن</t>
  </si>
  <si>
    <t>الفروع</t>
  </si>
  <si>
    <t>قيمة سند الامر او الاستثناء لفروع العميل</t>
  </si>
  <si>
    <t>فيصل خالد مرزوق الرحيمي المطيري</t>
  </si>
  <si>
    <t>ناصر مطلق صلال العتيبي</t>
  </si>
  <si>
    <t>كوضى هادي بن عايض القحطاني</t>
  </si>
  <si>
    <t>محماس بن فلاح بن محماس الهلقمي</t>
  </si>
  <si>
    <t>عبدالعزيز ابراهيم سليمان السلامه</t>
  </si>
  <si>
    <t>خديجة بنت هاشم بنت محمد جراده</t>
  </si>
  <si>
    <t>موسى ناصر حمد الموسي</t>
  </si>
  <si>
    <t>https://maps.google.com/maps?q=24.657615389743583,46.744763342048955</t>
  </si>
  <si>
    <t>فرع</t>
  </si>
  <si>
    <t>فردى</t>
  </si>
  <si>
    <t>LB2H023</t>
  </si>
  <si>
    <t>هياء محمد سالم البيشي</t>
  </si>
  <si>
    <t>https://maps.app.goo.gl/P63YLWF1roNT6org6</t>
  </si>
  <si>
    <t>احمد عبدالله عبدالرحمن النصار</t>
  </si>
  <si>
    <t>محمد عبدالعزيز محمد الرزيز العنقري</t>
  </si>
  <si>
    <t>طالال خالد عبدالواسع السقاف</t>
  </si>
  <si>
    <t>محمد ناصر احمد السيد</t>
  </si>
  <si>
    <t>شمسه علي حسين ناصر المصعبي</t>
  </si>
  <si>
    <t>عدنان محمد حمد الضبيعي</t>
  </si>
  <si>
    <t>حمود محمد احمد عواجي</t>
  </si>
  <si>
    <t>محمد عبداللطيف بن دخيل الله الحربي</t>
  </si>
  <si>
    <t>مني عياد سليم السريحي</t>
  </si>
  <si>
    <t>K0027</t>
  </si>
  <si>
    <t>دانيه علي احمد بجلي</t>
  </si>
  <si>
    <t>A</t>
  </si>
  <si>
    <t>B</t>
  </si>
  <si>
    <t>C</t>
  </si>
  <si>
    <t>D</t>
  </si>
  <si>
    <t>E</t>
  </si>
  <si>
    <t>F</t>
  </si>
  <si>
    <t>H</t>
  </si>
  <si>
    <t>J</t>
  </si>
  <si>
    <t>K</t>
  </si>
  <si>
    <t>L</t>
  </si>
  <si>
    <t>N</t>
  </si>
  <si>
    <t>O</t>
  </si>
  <si>
    <t>Q</t>
  </si>
  <si>
    <t>R</t>
  </si>
  <si>
    <t>T</t>
  </si>
  <si>
    <t>U</t>
  </si>
  <si>
    <t>V</t>
  </si>
  <si>
    <t>W</t>
  </si>
  <si>
    <t>X</t>
  </si>
  <si>
    <t>Y</t>
  </si>
  <si>
    <t>Z</t>
  </si>
  <si>
    <t>AA</t>
  </si>
  <si>
    <t>AC</t>
  </si>
  <si>
    <t>AD</t>
  </si>
  <si>
    <t>AF</t>
  </si>
  <si>
    <t>AG</t>
  </si>
  <si>
    <t>AI</t>
  </si>
  <si>
    <t>AJ</t>
  </si>
  <si>
    <t>AL</t>
  </si>
  <si>
    <t>AM</t>
  </si>
  <si>
    <t>AO</t>
  </si>
  <si>
    <t>AP</t>
  </si>
  <si>
    <t>AR</t>
  </si>
  <si>
    <t>AS</t>
  </si>
  <si>
    <t>AT</t>
  </si>
  <si>
    <t>AU</t>
  </si>
  <si>
    <t>AV</t>
  </si>
  <si>
    <t>AW</t>
  </si>
  <si>
    <t>AX</t>
  </si>
  <si>
    <t>يتم تعديله</t>
  </si>
  <si>
    <t>نعم</t>
  </si>
  <si>
    <t>لا</t>
  </si>
  <si>
    <t>C1033</t>
  </si>
  <si>
    <t>مؤسسة الاتقان للتجارة -نقدي</t>
  </si>
  <si>
    <t>محمد فالح  حمد السبيعي</t>
  </si>
  <si>
    <t>شركة نورسين التجارية - نقدي</t>
  </si>
  <si>
    <t>حاتم عبد الدايم  من 13.05.2019 الى 01.07.2019 CS03 / عمر الشرعبي من 01.07.2019 الى  CS03_x000D_تم تحويل العميل من نقدي الى اجل 01/06</t>
  </si>
  <si>
    <t>300951457900003</t>
  </si>
  <si>
    <t>310230773200003</t>
  </si>
  <si>
    <t>متجاوز الفترة الائتمانية بمبلغ 27.00</t>
  </si>
  <si>
    <t>عمر الشرعبى  من 24.05.23 الى  CS03</t>
  </si>
  <si>
    <t>عمر الشرعبى  من  01.06.2023 الى  CS03</t>
  </si>
  <si>
    <t>شركة هديب للتجارة</t>
  </si>
  <si>
    <t>311148116300003</t>
  </si>
  <si>
    <t>عمر الشرعبى  من  06.06.2023 الى  CS03</t>
  </si>
  <si>
    <t>300171863500003</t>
  </si>
  <si>
    <t>عمرو سعيد  من  17.06.2023 الى  CS09</t>
  </si>
  <si>
    <t>متجاوز الفترة الائتمانية بمبلغ 0.24</t>
  </si>
  <si>
    <t>شركة اركان الموسى للتجارة - نقدى</t>
  </si>
  <si>
    <t>310811284500003</t>
  </si>
  <si>
    <t>محمد رمضان  من 05.06.23 الى  CS12</t>
  </si>
  <si>
    <t>مؤسسة التسهيلات الحديثة التجارية - نقدى</t>
  </si>
  <si>
    <t>300736121800003</t>
  </si>
  <si>
    <t>محمد رمضان  من 06.06.23 الى  CS12</t>
  </si>
  <si>
    <t>محل نجم الكهرباء لمواد البناء - نقدى</t>
  </si>
  <si>
    <t>310336877300003</t>
  </si>
  <si>
    <t>محمد رمضان  من 11.06.23 الى  CS12</t>
  </si>
  <si>
    <t>L0007</t>
  </si>
  <si>
    <t>مؤسسة انماء الانارة للتجارة - نقدي</t>
  </si>
  <si>
    <t>310938173700003</t>
  </si>
  <si>
    <t>عمرو سعيد  من 17/06/23 الى  CS09</t>
  </si>
  <si>
    <t>L0008</t>
  </si>
  <si>
    <t>مؤسسة حياة الانارة التجارية - نقدي</t>
  </si>
  <si>
    <t>310237833600003</t>
  </si>
  <si>
    <t>مؤسسة التخصصية الاولي التجارية - نقدي</t>
  </si>
  <si>
    <t>310491645200003</t>
  </si>
  <si>
    <t>حسام شيخة من 10.06.2023 الى</t>
  </si>
  <si>
    <t>متجاوز الفترة الائتمانية بمبلغ 112.00</t>
  </si>
  <si>
    <t>هياء عايض عبدالله الدوسري</t>
  </si>
  <si>
    <t>اسماء عمر بن حسن الكربي العمودي</t>
  </si>
  <si>
    <t>عباس محمد علي شتيان المستادي الرابغي</t>
  </si>
  <si>
    <t>مؤسسة شافي عبد الهادي الدوسري التجارية - نقدي</t>
  </si>
  <si>
    <t>شافي عبدالهادي بتال الدوسري</t>
  </si>
  <si>
    <t>الاسم به اختلافات عن الاسم بالسجل التجارى +الحد الائتماني علي ساب ازيد من الحد الصحيح</t>
  </si>
  <si>
    <t xml:space="preserve">سند الامر بدون بند الشاهدين والضامن الاحطياطي </t>
  </si>
  <si>
    <t>الاسم غير مطابق للاسم بالسجل التجاري (الاسم الاول و الثانى معكوسين) رقم السجل التجاري في سند الامر فارغ</t>
  </si>
  <si>
    <t>K0028</t>
  </si>
  <si>
    <t>مؤسسة عبدالعزيز يوسف بن عبده حزام للتجارة</t>
  </si>
  <si>
    <t xml:space="preserve"> عبدالعزيز يوسف بن عبده حزام للتجارة</t>
  </si>
  <si>
    <t>اجل مستثني</t>
  </si>
  <si>
    <t>C1034</t>
  </si>
  <si>
    <t>امل محمد حمد الزومان</t>
  </si>
  <si>
    <t>https://maps.google.com/?q=24.861210,46.627861</t>
  </si>
  <si>
    <t>العميل مكرر هو نفسة G0020  مؤسسه بندر خالد</t>
  </si>
  <si>
    <t>مطلوب من العميل صورة التسجيل الضريبي توضح انه فرع من فروع شركة النخبة G0060</t>
  </si>
  <si>
    <t>L0009</t>
  </si>
  <si>
    <t>محمد صالح سالم الطاهر</t>
  </si>
  <si>
    <t>عبدالله بن ابراهيم بن عبدالله الجربوع</t>
  </si>
  <si>
    <t>احمد محمد احمد فلقي</t>
  </si>
  <si>
    <t>ابراهيم سعيد عبدالله المدعث</t>
  </si>
  <si>
    <t>عبداله سالم علي باعبيد</t>
  </si>
  <si>
    <t>شعلان محمد شعلان القرني</t>
  </si>
  <si>
    <t>علي مهدي مبار ك الذبيان</t>
  </si>
  <si>
    <t>انوار محمد بن علي ال عطشان</t>
  </si>
  <si>
    <t>عبدالله علي عثمان المزيني</t>
  </si>
  <si>
    <t>علي احمد بن احمد المهري</t>
  </si>
  <si>
    <t>محمد عبدالله محمد الخراز</t>
  </si>
  <si>
    <t>https://maps.app.goo.gl/EQ4rhjcUsK6aS41Y9</t>
  </si>
  <si>
    <t>https://www.google.com/maps/place//@29.9568488,30.9302491,15z/data=!3m1!4b1?entry=ttu</t>
  </si>
  <si>
    <t>سالم ابراهيم سالم سعيد</t>
  </si>
  <si>
    <t>سليمان نواف سليمان الميزاني المطيري</t>
  </si>
  <si>
    <t>محمد مسفر سعد المسفر الدوسري</t>
  </si>
  <si>
    <t>خالد قويدر لحسن عبدالحق</t>
  </si>
  <si>
    <t>حسن عبدالله محسن العطاس</t>
  </si>
  <si>
    <t>انوار عويض رشدان الازوري</t>
  </si>
  <si>
    <t>اشرف زاهر  احمد الزبيدي</t>
  </si>
  <si>
    <t>رحاب حسين صالح العمودي</t>
  </si>
  <si>
    <t xml:space="preserve">سليمان عطا الله جحيش اللقماني الحربي </t>
  </si>
  <si>
    <t>طارق عبدالله رباح الحربي</t>
  </si>
  <si>
    <t xml:space="preserve"> شما بنت عبدالله بنت علي الوهيبي</t>
  </si>
  <si>
    <t>صالح علي بن حماد الحماد</t>
  </si>
  <si>
    <t>بيان حمد عثمان الفريح</t>
  </si>
  <si>
    <t>عبدالله سعد علي القحطاني</t>
  </si>
  <si>
    <t>سعد بن علي بن قنيص الخالدي</t>
  </si>
  <si>
    <t>دخيل بن علي بن هميل الغامدي</t>
  </si>
  <si>
    <t>محمد علي حسين الماضي</t>
  </si>
  <si>
    <t>فهد الحميدي بن مناحي العنزي</t>
  </si>
  <si>
    <t>منصور بن ابراهيم بن المنصور الحلال</t>
  </si>
  <si>
    <t>سعيد بن حسين بن منصور المبارك</t>
  </si>
  <si>
    <t>زهراء عماد بن محمد حسن الصفار</t>
  </si>
  <si>
    <t>يوسف حسين علي الحاجي</t>
  </si>
  <si>
    <t xml:space="preserve">عمر بن سويد بن نزال الشمولاني العنزي </t>
  </si>
  <si>
    <t>لمي رياض عبدالرحمن الطريف</t>
  </si>
  <si>
    <t>عادل محمد مصطفي قطومة</t>
  </si>
  <si>
    <t>سليمان عبدالله المسعري الدوسري</t>
  </si>
  <si>
    <t>(blank)</t>
  </si>
  <si>
    <t>310327074300003</t>
  </si>
  <si>
    <t>302031185300003</t>
  </si>
  <si>
    <t>متجاوز الفترة الائتمانية بمبلغ 1,585.00</t>
  </si>
  <si>
    <t>شركة ركن الدائرة للتجارة</t>
  </si>
  <si>
    <t>311589708100003</t>
  </si>
  <si>
    <t>مؤسسة اضاءات للادوات الكهربائية -نقدي</t>
  </si>
  <si>
    <t>311675606100003</t>
  </si>
  <si>
    <t>300688392300003</t>
  </si>
  <si>
    <t>شركة الاطوار المتعددة للتجارة - نقدي</t>
  </si>
  <si>
    <t>311104087200003</t>
  </si>
  <si>
    <t>مؤسسة ريسون التجارية -نقدي</t>
  </si>
  <si>
    <t>310602580700003</t>
  </si>
  <si>
    <t>حسام شيخة من 10.04.2022 الى 08.05.2022 CS06 / معتز خضر من 08.05.2022 الى 12.03.2023 CS06 / سامر الزينى  من 12.03.2023 الى  CS06_x000D_تم تغير اسم العميل من مؤسسة تطبيق الانارةللتجارة-نقدي الى مؤسسة ريسون التجارية -نقدي_x000D_ والرقم الضريبي من  302214844600003 الى 310602580700003 فى تاريخ 24/06/2023 بطلب من المندوب كريم صقر 15/01/2023</t>
  </si>
  <si>
    <t>310273645200003</t>
  </si>
  <si>
    <t>محمد رمضان  من 25.06.23 الى  CS12</t>
  </si>
  <si>
    <t>311231956500003</t>
  </si>
  <si>
    <t>متجاوز الفترة الائتمانية بمبلغ 965.00</t>
  </si>
  <si>
    <t>متجاوز الفترة الائتمانية بمبلغ 3,981.00</t>
  </si>
  <si>
    <t>الرقم الضريبي للعميل لا يظهر علي الموقع والعميل لم يزودنا بالبطاقة الضريبية</t>
  </si>
  <si>
    <t>يوجد سند امر يخص الجوعى بالاضافة ان الحد الائتماني اعلي من القيمة المضبوطة</t>
  </si>
  <si>
    <t xml:space="preserve">رقم السجل التجارى بسند الامر غير مطابق لرقم السجل التجارى </t>
  </si>
  <si>
    <t>تم تحديث كيان المؤسسة الي شركة</t>
  </si>
  <si>
    <t>الاسم غير مطابق للاسم بالسجل التجارى (الكيان مكتوب في السجل التجاري مؤسسة لماذا تم تسجيلة محل ؟)</t>
  </si>
  <si>
    <t>ختم الغرفة التجارية باسم العميل القديم +تم رفع الحد الائتماني من خلال اجتماع مجلس ادارة الي 300 الف ريال ولا يوجد اوراق بالاستثناء الجديد (محادثة مع استاّذ محمود )</t>
  </si>
  <si>
    <t>مشكلة بمعرفة استاداحمد</t>
  </si>
  <si>
    <t xml:space="preserve">الاسم غير مطابق للاسم بالسجل التجارى </t>
  </si>
  <si>
    <t>الختم على سند الامر مختلف عن السجل التجاري  ومختلف عن رقم السجل  التجاري  في البطاقة الضريبية (استادمحمود )</t>
  </si>
  <si>
    <t>تم تغيير كيان العميل من مؤسسة لشركة و العميل بحاجة لارسال كل اوراق فح حسابه * هل سيتم تحديث الاستثناء الخاص به</t>
  </si>
  <si>
    <t xml:space="preserve"> العميل ليس له رقم ضريبى على ساب ولا بطاقة ضريبية ضمن اوراق فتح الحساب + رقم السجل التجارى باسند الامر غير مطابق رقم السجل التجارى المرسل</t>
  </si>
  <si>
    <t>K0029</t>
  </si>
  <si>
    <t>زهراء علي احمد القاضي</t>
  </si>
  <si>
    <t>C1035</t>
  </si>
  <si>
    <t>متجاوز الفترة الائتمانية بمبلغ 1,170.00</t>
  </si>
  <si>
    <t>شركة شيخ الانارة للتجارة و المقاولات- الفرع الرئيسي</t>
  </si>
  <si>
    <t>شركة شيخ الانارة للتجارة و المقاولات- فرع طويق</t>
  </si>
  <si>
    <t>مؤسسة زهراء علي احمد القاضي التجارية - نقدي</t>
  </si>
  <si>
    <t>310229075200003</t>
  </si>
  <si>
    <t>فندق السدرة العالية الذهبي للايواء السياحي- نقدي</t>
  </si>
  <si>
    <t>متجاوز الفترة الائتمانية بمبلغ 3.00</t>
  </si>
  <si>
    <t>شركة الاصول الاستثمارية  - نقدي  مكرر لايستخدم</t>
  </si>
  <si>
    <t>B0107</t>
  </si>
  <si>
    <t>ماجد بن احمد بن عباس الطويلب</t>
  </si>
  <si>
    <t>https://www.google.com/maps/place/26%C2%B026'40.4%22N+50%C2%B006'34.1%22E/@26.4439992,50.1099017,16.92z/data=!4m4!3m3!8m2!3d26.444548!4d50.1094651?entry=ttu</t>
  </si>
  <si>
    <t>R0007</t>
  </si>
  <si>
    <t>عبدالله احمد سالم باقازي</t>
  </si>
  <si>
    <t>مؤسسة رقي الاعمار للتجارة - نقدى</t>
  </si>
  <si>
    <t>310314877900003</t>
  </si>
  <si>
    <t>محمود يوسف  من 03.08.23 الى  CS05</t>
  </si>
  <si>
    <t>متجاوز الفترة الائتمانية بمبلغ 63,900.00</t>
  </si>
  <si>
    <t>متجاوز الفترة الائتمانية بمبلغ 21,117.00</t>
  </si>
  <si>
    <t>متجاوز الفترة الائتمانية بمبلغ 3,920.00</t>
  </si>
  <si>
    <t>متجاوز الفترة الائتمانية بمبلغ 1,130.00</t>
  </si>
  <si>
    <t>متجاوز الفترة الائتمانية بمبلغ 455.00</t>
  </si>
  <si>
    <t>متجاوز الفترة الائتمانية بمبلغ 93.00</t>
  </si>
  <si>
    <t>مؤسسة منصة الانوار للتجارة - نقدي</t>
  </si>
  <si>
    <t>310216873900003</t>
  </si>
  <si>
    <t>تم تغير كيان العميل والعميل بحاجة الي ارسال كافة اوراقة</t>
  </si>
  <si>
    <t>https://www.google.com/maps/place/26%C2%B033'17.1%22N+50%C2%B000'51.3%22E/@26.5303278,49.8814377,11z/data=!4m4!3m3!8m2!3d26.55475!4d50.01425?entry=ttu</t>
  </si>
  <si>
    <t>D0102</t>
  </si>
  <si>
    <t>مریم عبداللطیف صالح السمحان</t>
  </si>
  <si>
    <t>شركة حسن عبدالله المهناء وشريكه</t>
  </si>
  <si>
    <t>311221420300003</t>
  </si>
  <si>
    <t>مؤسسة ماسة سمحة التجارية -نقدي</t>
  </si>
  <si>
    <t>311098274500003</t>
  </si>
  <si>
    <t>محمود رمضان  من 15.08.2023 الى  CS01</t>
  </si>
  <si>
    <t>شركة استحقاق العرب للتجارة</t>
  </si>
  <si>
    <t>B0108</t>
  </si>
  <si>
    <t>https://maps.app.goo.gl/hboa1ZhuiKq8cEQTA</t>
  </si>
  <si>
    <t>العميل وعد بارسال سجل تجاري محدث ومطابق لرقم الرخصة يوم 08/23</t>
  </si>
  <si>
    <t>متجاوز الفترة الائتمانية بمبلغ 7,001.00</t>
  </si>
  <si>
    <t>مؤسسة حبر الشرقية التجارية - نقدي</t>
  </si>
  <si>
    <t>مؤسسة سهم الدر التجارية - نقدي</t>
  </si>
  <si>
    <t>300779176100003</t>
  </si>
  <si>
    <t>محمود يوسف  من 20.08.23 الى  CS05</t>
  </si>
  <si>
    <t>مؤسسة نجم السهيل للمقاولات</t>
  </si>
  <si>
    <t>شركة توكيلات النجمة للكهرباء والانارة- نقدي</t>
  </si>
  <si>
    <t>مؤسسة البشر- نقدي</t>
  </si>
  <si>
    <t>مؤسسة الكريديس للكهرباء -نقدى</t>
  </si>
  <si>
    <t>مؤسسة عبدالرحمن الحربي رياض الخبراء-نقدى</t>
  </si>
  <si>
    <t>بسام عبدالعزيز عبدالله الغفيلي- الرس - نقدي</t>
  </si>
  <si>
    <t>مؤسسة مصباح الجودة -نقدى</t>
  </si>
  <si>
    <t>مؤسسة ذهول الانارة للادوات الكهربائية-نقدى</t>
  </si>
  <si>
    <t>محل ابوحازم - الاسياح-نقدى</t>
  </si>
  <si>
    <t>مؤسسة شموع الاضاءة التجارية نقدي</t>
  </si>
  <si>
    <t>مؤسسة بناء البدائع - نقدي</t>
  </si>
  <si>
    <t>مؤسسة طيبة للكهرباء - نقدى</t>
  </si>
  <si>
    <t>مؤسسة ابو مشاري للكهرباء عبدالله الغفيلي-نقدى</t>
  </si>
  <si>
    <t>مؤسسة المبارك حائل -نقدى</t>
  </si>
  <si>
    <t>متجاوز الفترة الائتمانية بمبلغ 28.50</t>
  </si>
  <si>
    <t>مؤسسة تاج الفارس-نقدى</t>
  </si>
  <si>
    <t>مؤسسة المنهل-نقدى</t>
  </si>
  <si>
    <t>مؤسسة الحسيني عنيزة -نقدى</t>
  </si>
  <si>
    <t>مؤسسة انوار الملكة التجارية - نقدى</t>
  </si>
  <si>
    <t>متجاوز الفترة الائتمانية بمبلغ 1,577.00</t>
  </si>
  <si>
    <t>90 Days</t>
  </si>
  <si>
    <t>متجاوز الفترة الائتمانية بمبلغ 42,473.00</t>
  </si>
  <si>
    <t>متجاوز الفترة الائتمانية بمبلغ 232.00</t>
  </si>
  <si>
    <t>مؤسسة الجربوع للكهرباء والسباكة-نقدى</t>
  </si>
  <si>
    <t>جولدن توليب القصيم -اتقان الضيافة -نقدى</t>
  </si>
  <si>
    <t>مؤسسة المشيقح للكهرباء-نقدى</t>
  </si>
  <si>
    <t>محل الهدير للكهرباء والسباكة-نقدى</t>
  </si>
  <si>
    <t>محل النور للسباكة والكهرباء -نقدى</t>
  </si>
  <si>
    <t>مؤسسة حمد عبدالكريم البدر -نقدى</t>
  </si>
  <si>
    <t>محل الاستاذ للكهرباء والسباكة - نقدى</t>
  </si>
  <si>
    <t>شركة السيف - ساجر - نقدى</t>
  </si>
  <si>
    <t>محل الملزمة - نقدي</t>
  </si>
  <si>
    <t>مؤسسة محمد حمد عبدالله الثويني - نقدي</t>
  </si>
  <si>
    <t>مؤسسة تناسق الاضواء التجارية - نقدي</t>
  </si>
  <si>
    <t>متجاوز الفترة الائتمانية بمبلغ 251.00</t>
  </si>
  <si>
    <t>متجاوز الفترة الائتمانية بمبلغ 290.00</t>
  </si>
  <si>
    <t>مؤسسة سعدية سعيد معروف للتجارة - نقدي</t>
  </si>
  <si>
    <t>G0079</t>
  </si>
  <si>
    <t>محل تصميم الكهف للتجارة - نقدى</t>
  </si>
  <si>
    <t>300744377400003</t>
  </si>
  <si>
    <t>حسام شيخة من 21.08.23 الى  LB07</t>
  </si>
  <si>
    <t>عمر الدبيب من 26.03.23 الى31.07.2023  CS14  / محمد رمضان من 01.08.2023 الى CS12</t>
  </si>
  <si>
    <t>شركة المبارك للتجارة-فرع خليص- نقدي</t>
  </si>
  <si>
    <t>311564581700003</t>
  </si>
  <si>
    <t>محل الدوار - نقدى</t>
  </si>
  <si>
    <t>مستشفى الدكتورر محمد نور خان- نقدى</t>
  </si>
  <si>
    <t>محل الغيداني - نقدى</t>
  </si>
  <si>
    <t>محل جود المملكة - نقدى</t>
  </si>
  <si>
    <t>محل ابو عمر - نقدى</t>
  </si>
  <si>
    <t>محل ابو عبدالله الحفر - نقدي</t>
  </si>
  <si>
    <t>مؤسسة محمد علي الشعري للتجارة</t>
  </si>
  <si>
    <t>محل العنقي - نقدى</t>
  </si>
  <si>
    <t>صالة فلاح الشمري الرياضية - نقدى</t>
  </si>
  <si>
    <t>محل النخبة - الذيبية - نقدى</t>
  </si>
  <si>
    <t>محل ابو خالد المطيري - نقدى</t>
  </si>
  <si>
    <t>مؤسسة عبدالرحمن الهاجري / الخافجي - نقدى</t>
  </si>
  <si>
    <t>التويجري للمستلزمات الرجالية -حفر الباطن- نقدى</t>
  </si>
  <si>
    <t>شركة الثلاجة العالمية - نقدى</t>
  </si>
  <si>
    <t>محل القرية العليا للسباكة والكهرباء- نقدى</t>
  </si>
  <si>
    <t>الرشدان للتجارة والمقاولات - نقدى</t>
  </si>
  <si>
    <t>محل شرق الستين - نقدى</t>
  </si>
  <si>
    <t>مؤسسة درة الخشرم - نقدى</t>
  </si>
  <si>
    <t>عبدالله احمد متعب الزبيدي</t>
  </si>
  <si>
    <t>https://maps.app.goo.gl/ZJovS8TTZ7cPcqtd8</t>
  </si>
  <si>
    <t>تم تغير كيان العميل من شركة الي مؤسسة</t>
  </si>
  <si>
    <t xml:space="preserve">محمد ناصر احمد السيد </t>
  </si>
  <si>
    <t>مسلم كرامه حجيل الصريعي</t>
  </si>
  <si>
    <t>فوائد بن محمد بن عبدالمحسن اللويمي</t>
  </si>
  <si>
    <t>جميلة فرحان  محمد مهاوش</t>
  </si>
  <si>
    <t>B0109</t>
  </si>
  <si>
    <t>D0103</t>
  </si>
  <si>
    <t>سليمان بن عبدالله بن عبدالعزيز البهيجي</t>
  </si>
  <si>
    <t>مؤسسة موسي الصفار التجارية - نقدي</t>
  </si>
  <si>
    <t>310047991100003</t>
  </si>
  <si>
    <t>محمود يوسف  من 26.08.23 الى  CS05</t>
  </si>
  <si>
    <t>متجاوز الفترة الائتمانية بمبلغ 9,350.00</t>
  </si>
  <si>
    <t>متجاوز الفترة الائتمانية بمبلغ 29.00</t>
  </si>
  <si>
    <t>متجاوز الفترة الائتمانية بمبلغ 4,149.00</t>
  </si>
  <si>
    <t>متجاوز الفترة الائتمانية بمبلغ 7,477.00</t>
  </si>
  <si>
    <t>مؤسسة سليمان بن عبدالله بن عبدالعزيز البهيجي للادوات الصحية -نقدي</t>
  </si>
  <si>
    <t>310598697100003</t>
  </si>
  <si>
    <t>محمود رمضان  من 26.08.2023 الى  CS01</t>
  </si>
  <si>
    <t>متجاوز الفترة الائتمانية بمبلغ 3,613.00</t>
  </si>
  <si>
    <t>متجاوز الفترة الائتمانية بمبلغ 100.00</t>
  </si>
  <si>
    <t>تم تغير كيان العميل من مؤسسة الي شركة</t>
  </si>
  <si>
    <t>C0730</t>
  </si>
  <si>
    <t>https://maps.app.goo.gl/7x9ZzdCZuxC3tXuW7?g_st=it</t>
  </si>
  <si>
    <t>G0080</t>
  </si>
  <si>
    <t>مالك علي محمد الفقيه</t>
  </si>
  <si>
    <t>https://maps.app.goo.gl/ngsFG2rbvD3JcCd2A</t>
  </si>
  <si>
    <t>لوكيشن العميل</t>
  </si>
  <si>
    <t>بدر خالد صقر الخالدي</t>
  </si>
  <si>
    <t>26°59'22.1"N 49°39'31.3"E - Google Maps</t>
  </si>
  <si>
    <t>متجاوز الفترة الائتمانية بمبلغ 700.00</t>
  </si>
  <si>
    <t>متجاوز الفترة الائتمانية بمبلغ 2,359.00</t>
  </si>
  <si>
    <t>متجاوز الفترة الائتمانية بمبلغ 5,493.00</t>
  </si>
  <si>
    <t>مؤسسة الليالي المضيئة للأجهزة المنزلية</t>
  </si>
  <si>
    <t>متجاوز الفترة الائتمانية بمبلغ 6,370.00</t>
  </si>
  <si>
    <t>متجاوز الفترة الائتمانية بمبلغ 1,209.00</t>
  </si>
  <si>
    <t>متجاوز الفترة الائتمانية بمبلغ 908.00</t>
  </si>
  <si>
    <t>متجاوز الفترة الائتمانية بمبلغ 28,500.00</t>
  </si>
  <si>
    <t>متجاوز الفترة الائتمانية بمبلغ 18,495.00</t>
  </si>
  <si>
    <t>متجاوز الفترة الائتمانية بمبلغ 10,824.00</t>
  </si>
  <si>
    <t>متجاوز الفترة الائتمانية بمبلغ 5,851.24</t>
  </si>
  <si>
    <t>متجاوز الفترة الائتمانية بمبلغ 2,127.00</t>
  </si>
  <si>
    <t>متجاوز الفترة الائتمانية بمبلغ 8,805.00</t>
  </si>
  <si>
    <t>متجاوز الفترة الائتمانية بمبلغ 5,876.00</t>
  </si>
  <si>
    <t>متجاوز الفترة الائتمانية بمبلغ 7,837.00</t>
  </si>
  <si>
    <t>شركة مصدر الاضاءة للتجارة - الغرابي</t>
  </si>
  <si>
    <t>متجاوز الفترة الائتمانية بمبلغ 3,259.00</t>
  </si>
  <si>
    <t>شركة مصدر الاضاءة للتجارة - الصحافة</t>
  </si>
  <si>
    <t>عمرو سعيد  من  30.08.2023 الى  CS09</t>
  </si>
  <si>
    <t>متجاوز الفترة الائتمانية بمبلغ 11,510.00</t>
  </si>
  <si>
    <t>متجاوز الفترة الائتمانية بمبلغ 104,245.00</t>
  </si>
  <si>
    <t>متجاوز الفترة الائتمانية بمبلغ 23,031.00</t>
  </si>
  <si>
    <t>متجاوز الفترة الائتمانية بمبلغ 6,547.00</t>
  </si>
  <si>
    <t>متجاوز الفترة الائتمانية بمبلغ 9,426.21</t>
  </si>
  <si>
    <t>متجاوز الفترة الائتمانية بمبلغ 3,354.00</t>
  </si>
  <si>
    <t>متجاوز الفترة الائتمانية بمبلغ 4,187.00</t>
  </si>
  <si>
    <t>متجاوز الفترة الائتمانية بمبلغ 15,272.00</t>
  </si>
  <si>
    <t>متجاوز الفترة الائتمانية بمبلغ 604.00</t>
  </si>
  <si>
    <t>متجاوز الفترة الائتمانية بمبلغ 3,436.00</t>
  </si>
  <si>
    <t>متجاوز الفترة الائتمانية بمبلغ 137,941.99</t>
  </si>
  <si>
    <t>متجاوز الفترة الائتمانية بمبلغ 766.00</t>
  </si>
  <si>
    <t>متجاوز الفترة الائتمانية بمبلغ 4,038.00</t>
  </si>
  <si>
    <t>متجاوز الفترة الائتمانية بمبلغ 4,723.00</t>
  </si>
  <si>
    <t>متجاوز الفترة الائتمانية بمبلغ 942.00</t>
  </si>
  <si>
    <t>متجاوز الفترة الائتمانية بمبلغ 2,743.00</t>
  </si>
  <si>
    <t>متجاوز الفترة الائتمانية بمبلغ 27,156.00</t>
  </si>
  <si>
    <t>متجاوز الفترة الائتمانية بمبلغ 26,135.05</t>
  </si>
  <si>
    <t>متجاوز الفترة الائتمانية بمبلغ 0.29</t>
  </si>
  <si>
    <t>متجاوز الفترة الائتمانية بمبلغ 13,068.00</t>
  </si>
  <si>
    <t>متجاوز الفترة الائتمانية بمبلغ 0.02</t>
  </si>
  <si>
    <t>متجاوز الفترة الائتمانية بمبلغ 2,480.00</t>
  </si>
  <si>
    <t>متجاوز الفترة الائتمانية بمبلغ 18,043.00</t>
  </si>
  <si>
    <t>متجاوز الفترة الائتمانية بمبلغ 14,011.00</t>
  </si>
  <si>
    <t>متجاوز الفترة الائتمانية بمبلغ 3,929.38</t>
  </si>
  <si>
    <t>متجاوز الفترة الائتمانية بمبلغ 11,139.00</t>
  </si>
  <si>
    <t>متجاوز الفترة الائتمانية بمبلغ 3,946.00</t>
  </si>
  <si>
    <t>متجاوز الفترة الائتمانية بمبلغ 6,793.00</t>
  </si>
  <si>
    <t>متجاوز الفترة الائتمانية بمبلغ 2,778.00</t>
  </si>
  <si>
    <t>متجاوز الفترة الائتمانية بمبلغ 1,709.00</t>
  </si>
  <si>
    <t>متجاوز الفترة الائتمانية بمبلغ 166.00</t>
  </si>
  <si>
    <t>متجاوز الفترة الائتمانية بمبلغ 3,090.00</t>
  </si>
  <si>
    <t>متجاوز الفترة الائتمانية بمبلغ 14,409.00</t>
  </si>
  <si>
    <t>متجاوز الفترة الائتمانية بمبلغ 606.00</t>
  </si>
  <si>
    <t>متجاوز الفترة الائتمانية بمبلغ 3,783.00</t>
  </si>
  <si>
    <t>مؤسسة اتقان الانمائية التجارية</t>
  </si>
  <si>
    <t>311674793500003</t>
  </si>
  <si>
    <t>متجاوز الفترة الائتمانية بمبلغ 2,221.00</t>
  </si>
  <si>
    <t>متجاوز الفترة الائتمانية بمبلغ 3,692.00</t>
  </si>
  <si>
    <t>متجاوز الفترة الائتمانية بمبلغ 7,067.00</t>
  </si>
  <si>
    <t>متجاوز الفترة الائتمانية بمبلغ 8,685.00</t>
  </si>
  <si>
    <t>متجاوز الفترة الائتمانية بمبلغ 528.00</t>
  </si>
  <si>
    <t>متجاوز الفترة الائتمانية بمبلغ 43.00</t>
  </si>
  <si>
    <t>L0010</t>
  </si>
  <si>
    <t>24°43'58.1"N 46°48'55.3"E - Google Maps</t>
  </si>
  <si>
    <t>تم تحديث كيان العميل من مؤسسة لشركة</t>
  </si>
  <si>
    <t>قيمة السند او الاستثناء الاجمالية للفروع</t>
  </si>
  <si>
    <t>محمد عبدالوهاب قحطان سيف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</si>
</sst>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[$SAR]\ #,##0_);\([$SAR]\ #,##0\)"/>
    <numFmt numFmtId="165" formatCode="[$-1860000]B2yyyy/mm/dd;@"/>
    <numFmt numFmtId="166" formatCode="[$-1060000]B2d/mm/yyyy;@"/>
  </numFmts>
  <fonts count="2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1D2129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117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01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6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0" fontId="1" fillId="0" borderId="0"/>
  </cellStyleXfs>
  <cellXfs count="85">
    <xf numFmtId="0" fontId="0" fillId="0" borderId="0" xfId="0"/>
    <xf numFmtId="0" fontId="21" fillId="0" borderId="0" xfId="0" applyFont="1"/>
    <xf numFmtId="1" fontId="0" fillId="0" borderId="10" xfId="0" applyNumberFormat="1" applyBorder="1"/>
    <xf numFmtId="0" fontId="0" fillId="0" borderId="0" xfId="0" pivotButton="1"/>
    <xf numFmtId="0" fontId="0" fillId="0" borderId="11" xfId="0" applyBorder="1"/>
    <xf numFmtId="0" fontId="21" fillId="33" borderId="12" xfId="0" applyFont="1" applyFill="1" applyBorder="1"/>
    <xf numFmtId="0" fontId="25" fillId="34" borderId="0" xfId="0" applyFont="1" applyFill="1"/>
    <xf numFmtId="14" fontId="25" fillId="34" borderId="0" xfId="0" applyNumberFormat="1" applyFont="1" applyFill="1"/>
    <xf numFmtId="14" fontId="0" fillId="35" borderId="10" xfId="0" applyNumberFormat="1" applyFill="1" applyBorder="1"/>
    <xf numFmtId="165" fontId="25" fillId="34" borderId="0" xfId="0" applyNumberFormat="1" applyFont="1" applyFill="1"/>
    <xf numFmtId="165" fontId="0" fillId="0" borderId="10" xfId="0" applyNumberFormat="1" applyBorder="1"/>
    <xf numFmtId="14" fontId="0" fillId="36" borderId="10" xfId="0" applyNumberFormat="1" applyFill="1" applyBorder="1"/>
    <xf numFmtId="0" fontId="21" fillId="0" borderId="0" xfId="0" applyFont="1" applyAlignment="1">
      <alignment horizontal="center"/>
    </xf>
    <xf numFmtId="0" fontId="27" fillId="34" borderId="0" xfId="0" applyFont="1" applyFill="1"/>
    <xf numFmtId="0" fontId="21" fillId="37" borderId="0" xfId="0" applyFont="1" applyFill="1" applyAlignment="1">
      <alignment horizontal="center"/>
    </xf>
    <xf numFmtId="0" fontId="0" fillId="35" borderId="10" xfId="0" applyFill="1" applyBorder="1"/>
    <xf numFmtId="0" fontId="0" fillId="35" borderId="10" xfId="0" applyFill="1" applyBorder="1" applyAlignment="1">
      <alignment horizontal="right"/>
    </xf>
    <xf numFmtId="0" fontId="20" fillId="35" borderId="10" xfId="42" applyFill="1" applyBorder="1" applyAlignment="1">
      <alignment horizontal="right"/>
    </xf>
    <xf numFmtId="165" fontId="0" fillId="35" borderId="10" xfId="0" applyNumberFormat="1" applyFill="1" applyBorder="1"/>
    <xf numFmtId="1" fontId="0" fillId="35" borderId="10" xfId="0" applyNumberFormat="1" applyFill="1" applyBorder="1"/>
    <xf numFmtId="164" fontId="0" fillId="35" borderId="10" xfId="43" applyNumberFormat="1" applyFont="1" applyFill="1" applyBorder="1"/>
    <xf numFmtId="166" fontId="0" fillId="35" borderId="10" xfId="0" applyNumberFormat="1" applyFill="1" applyBorder="1"/>
    <xf numFmtId="0" fontId="0" fillId="36" borderId="10" xfId="0" applyFill="1" applyBorder="1" applyAlignment="1">
      <alignment horizontal="right"/>
    </xf>
    <xf numFmtId="0" fontId="20" fillId="36" borderId="10" xfId="42" applyFill="1" applyBorder="1" applyAlignment="1">
      <alignment horizontal="right"/>
    </xf>
    <xf numFmtId="0" fontId="0" fillId="36" borderId="10" xfId="0" applyFill="1" applyBorder="1"/>
    <xf numFmtId="165" fontId="0" fillId="36" borderId="10" xfId="0" applyNumberFormat="1" applyFill="1" applyBorder="1"/>
    <xf numFmtId="1" fontId="0" fillId="36" borderId="10" xfId="0" applyNumberFormat="1" applyFill="1" applyBorder="1"/>
    <xf numFmtId="164" fontId="0" fillId="36" borderId="10" xfId="43" applyNumberFormat="1" applyFont="1" applyFill="1" applyBorder="1"/>
    <xf numFmtId="166" fontId="0" fillId="36" borderId="10" xfId="0" applyNumberFormat="1" applyFill="1" applyBorder="1"/>
    <xf numFmtId="0" fontId="20" fillId="38" borderId="10" xfId="42" applyFill="1" applyBorder="1" applyAlignment="1">
      <alignment horizontal="right"/>
    </xf>
    <xf numFmtId="0" fontId="0" fillId="38" borderId="10" xfId="0" applyFill="1" applyBorder="1"/>
    <xf numFmtId="165" fontId="0" fillId="38" borderId="10" xfId="0" applyNumberFormat="1" applyFill="1" applyBorder="1"/>
    <xf numFmtId="164" fontId="0" fillId="38" borderId="10" xfId="43" applyNumberFormat="1" applyFont="1" applyFill="1" applyBorder="1"/>
    <xf numFmtId="14" fontId="0" fillId="38" borderId="10" xfId="0" applyNumberFormat="1" applyFill="1" applyBorder="1"/>
    <xf numFmtId="0" fontId="16" fillId="36" borderId="10" xfId="0" applyFont="1" applyFill="1" applyBorder="1" applyAlignment="1">
      <alignment horizontal="right"/>
    </xf>
    <xf numFmtId="0" fontId="20" fillId="39" borderId="10" xfId="42" applyFill="1" applyBorder="1" applyAlignment="1">
      <alignment horizontal="right"/>
    </xf>
    <xf numFmtId="0" fontId="0" fillId="39" borderId="10" xfId="0" applyFill="1" applyBorder="1" applyAlignment="1">
      <alignment horizontal="right"/>
    </xf>
    <xf numFmtId="0" fontId="0" fillId="39" borderId="10" xfId="0" applyFill="1" applyBorder="1"/>
    <xf numFmtId="165" fontId="0" fillId="39" borderId="10" xfId="0" applyNumberFormat="1" applyFill="1" applyBorder="1"/>
    <xf numFmtId="1" fontId="0" fillId="39" borderId="10" xfId="0" applyNumberFormat="1" applyFill="1" applyBorder="1"/>
    <xf numFmtId="164" fontId="0" fillId="39" borderId="10" xfId="43" applyNumberFormat="1" applyFont="1" applyFill="1" applyBorder="1"/>
    <xf numFmtId="14" fontId="0" fillId="39" borderId="10" xfId="0" applyNumberFormat="1" applyFill="1" applyBorder="1"/>
    <xf numFmtId="0" fontId="16" fillId="39" borderId="10" xfId="0" applyFont="1" applyFill="1" applyBorder="1" applyAlignment="1">
      <alignment horizontal="right"/>
    </xf>
    <xf numFmtId="165" fontId="24" fillId="39" borderId="10" xfId="0" applyNumberFormat="1" applyFont="1" applyFill="1" applyBorder="1"/>
    <xf numFmtId="166" fontId="0" fillId="39" borderId="10" xfId="0" applyNumberFormat="1" applyFill="1" applyBorder="1"/>
    <xf numFmtId="16" fontId="0" fillId="39" borderId="10" xfId="0" applyNumberFormat="1" applyFill="1" applyBorder="1"/>
    <xf numFmtId="0" fontId="0" fillId="39" borderId="10" xfId="0" applyFill="1" applyBorder="1" applyAlignment="1">
      <alignment wrapText="1"/>
    </xf>
    <xf numFmtId="14" fontId="20" fillId="39" borderId="10" xfId="42" applyNumberFormat="1" applyFill="1" applyBorder="1"/>
    <xf numFmtId="0" fontId="0" fillId="38" borderId="10" xfId="0" applyFill="1" applyBorder="1" applyAlignment="1">
      <alignment horizontal="right"/>
    </xf>
    <xf numFmtId="1" fontId="0" fillId="38" borderId="10" xfId="0" applyNumberFormat="1" applyFill="1" applyBorder="1"/>
    <xf numFmtId="0" fontId="0" fillId="40" borderId="10" xfId="0" applyFill="1" applyBorder="1" applyAlignment="1">
      <alignment horizontal="right"/>
    </xf>
    <xf numFmtId="0" fontId="20" fillId="40" borderId="10" xfId="42" applyFill="1" applyBorder="1" applyAlignment="1">
      <alignment horizontal="right"/>
    </xf>
    <xf numFmtId="0" fontId="0" fillId="40" borderId="10" xfId="0" applyFill="1" applyBorder="1"/>
    <xf numFmtId="165" fontId="0" fillId="40" borderId="10" xfId="0" applyNumberFormat="1" applyFill="1" applyBorder="1"/>
    <xf numFmtId="1" fontId="0" fillId="40" borderId="10" xfId="0" applyNumberFormat="1" applyFill="1" applyBorder="1"/>
    <xf numFmtId="164" fontId="0" fillId="40" borderId="10" xfId="43" applyNumberFormat="1" applyFont="1" applyFill="1" applyBorder="1"/>
    <xf numFmtId="14" fontId="0" fillId="40" borderId="10" xfId="0" applyNumberFormat="1" applyFill="1" applyBorder="1"/>
    <xf numFmtId="0" fontId="0" fillId="41" borderId="10" xfId="0" applyFill="1" applyBorder="1" applyAlignment="1">
      <alignment horizontal="right"/>
    </xf>
    <xf numFmtId="0" fontId="20" fillId="41" borderId="10" xfId="42" applyFill="1" applyBorder="1" applyAlignment="1">
      <alignment horizontal="right"/>
    </xf>
    <xf numFmtId="0" fontId="0" fillId="41" borderId="10" xfId="0" applyFill="1" applyBorder="1"/>
    <xf numFmtId="165" fontId="0" fillId="41" borderId="10" xfId="0" applyNumberFormat="1" applyFill="1" applyBorder="1"/>
    <xf numFmtId="1" fontId="0" fillId="41" borderId="10" xfId="0" applyNumberFormat="1" applyFill="1" applyBorder="1"/>
    <xf numFmtId="164" fontId="0" fillId="41" borderId="10" xfId="43" applyNumberFormat="1" applyFont="1" applyFill="1" applyBorder="1"/>
    <xf numFmtId="14" fontId="0" fillId="41" borderId="10" xfId="0" applyNumberFormat="1" applyFill="1" applyBorder="1"/>
    <xf numFmtId="0" fontId="0" fillId="0" borderId="13" xfId="0" applyBorder="1" applyAlignment="1">
      <alignment horizontal="right"/>
    </xf>
    <xf numFmtId="0" fontId="0" fillId="0" borderId="13" xfId="0" applyBorder="1"/>
    <xf numFmtId="165" fontId="0" fillId="0" borderId="13" xfId="0" applyNumberFormat="1" applyBorder="1"/>
    <xf numFmtId="14" fontId="0" fillId="0" borderId="13" xfId="0" applyNumberFormat="1" applyBorder="1"/>
    <xf numFmtId="164" fontId="0" fillId="0" borderId="13" xfId="43" applyNumberFormat="1" applyFont="1" applyBorder="1"/>
    <xf numFmtId="1" fontId="0" fillId="0" borderId="13" xfId="0" applyNumberFormat="1" applyBorder="1"/>
    <xf numFmtId="14" fontId="0" fillId="0" borderId="0" xfId="0" applyNumberFormat="1"/>
    <xf numFmtId="0" fontId="0" fillId="39" borderId="0" xfId="0" applyFill="1"/>
    <xf numFmtId="0" fontId="0" fillId="35" borderId="0" xfId="0" applyFill="1"/>
    <xf numFmtId="0" fontId="0" fillId="39" borderId="13" xfId="0" applyFill="1" applyBorder="1" applyAlignment="1">
      <alignment horizontal="right"/>
    </xf>
    <xf numFmtId="0" fontId="20" fillId="39" borderId="13" xfId="42" applyFill="1" applyBorder="1" applyAlignment="1">
      <alignment horizontal="right"/>
    </xf>
    <xf numFmtId="0" fontId="0" fillId="39" borderId="13" xfId="0" applyFill="1" applyBorder="1"/>
    <xf numFmtId="0" fontId="20" fillId="39" borderId="10" xfId="42" applyFill="1" applyBorder="1"/>
    <xf numFmtId="0" fontId="20" fillId="0" borderId="13" xfId="42" applyBorder="1" applyAlignment="1">
      <alignment horizontal="right"/>
    </xf>
    <xf numFmtId="0" fontId="20" fillId="42" borderId="10" xfId="42" applyFill="1" applyBorder="1" applyAlignment="1">
      <alignment horizontal="right"/>
    </xf>
    <xf numFmtId="14" fontId="20" fillId="0" borderId="13" xfId="42" applyNumberFormat="1" applyBorder="1"/>
    <xf numFmtId="0" fontId="0" fillId="0" borderId="10" xfId="0" applyBorder="1"/>
    <xf numFmtId="0" fontId="0" fillId="39" borderId="14" xfId="0" applyFill="1" applyBorder="1"/>
    <xf numFmtId="0" fontId="20" fillId="36" borderId="10" xfId="42" applyFill="1" applyBorder="1"/>
    <xf numFmtId="0" fontId="20" fillId="0" borderId="0" xfId="42"/>
    <xf numFmtId="0" fontId="0" fillId="0" borderId="0" xfId="0" applyNumberFormat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 xr:uid="{00000000-0005-0000-0000-000027000000}"/>
    <cellStyle name="Normal 3" xfId="45" xr:uid="{00000000-0005-0000-0000-000028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6">
    <dxf>
      <font>
        <b/>
        <i val="0"/>
        <strike val="0"/>
        <color rgb="FF1D8C1D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A0C0C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1D8C1D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A0C0C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1D8C1D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A0C0C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1D8C1D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A0C0C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lor rgb="FF1D8C1D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A0C0C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rgb="FF1D8C1D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A0C0C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dd/mm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[$-1860000]B2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[$SAR]\ #,##0_);\([$SAR]\ 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[$-1860000]B2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[$-1860000]B2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>
          <fgColor indexed="64"/>
          <bgColor theme="1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</dxfs>
  <tableStyles count="1" defaultTableStyle="TableStyleMedium2" defaultPivotStyle="PivotStyleLight16">
    <tableStyle name="Table Style 1" pivot="0" count="2" xr9:uid="{00000000-0011-0000-FFFF-FFFF00000000}">
      <tableStyleElement type="headerRow" dxfId="75"/>
      <tableStyleElement type="firstRowStripe" dxfId="74"/>
    </tableStyle>
  </tableStyles>
  <colors>
    <mruColors>
      <color rgb="FFD90116"/>
      <color rgb="FF00E266"/>
      <color rgb="FF00EE6C"/>
      <color rgb="FFF11717"/>
      <color rgb="FF00C459"/>
      <color rgb="FFCA0C0C"/>
      <color rgb="FF1D8C1D"/>
      <color rgb="FF18943E"/>
      <color rgb="FF239541"/>
      <color rgb="FF229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N" refreshedDate="45188.609976157408" createdVersion="6" refreshedVersion="8" minRefreshableVersion="3" recordCount="540" xr:uid="{00000000-000A-0000-FFFF-FFFF00000000}">
  <cacheSource type="worksheet">
    <worksheetSource name="بيانات_العملاء"/>
  </cacheSource>
  <cacheFields count="50">
    <cacheField name="المجموعة" numFmtId="0">
      <sharedItems containsBlank="1"/>
    </cacheField>
    <cacheField name="رمز شريك الأعمال" numFmtId="0">
      <sharedItems containsBlank="1" count="541">
        <s v="C0840"/>
        <s v="D0013"/>
        <s v="D0073"/>
        <s v="D0075"/>
        <s v="C0285"/>
        <s v="C0322"/>
        <s v="C0536"/>
        <s v="C0100"/>
        <s v="C0569"/>
        <s v="C0577"/>
        <s v="C0653"/>
        <s v="C0687"/>
        <s v="C0701"/>
        <s v="C0718"/>
        <s v="C0773"/>
        <s v="C0678"/>
        <s v="D0001"/>
        <s v="D0003"/>
        <s v="D0007"/>
        <s v="D0033"/>
        <s v="D0017"/>
        <s v="D0023"/>
        <s v="D0025"/>
        <s v="D0027"/>
        <s v="D0029"/>
        <s v="D0034"/>
        <s v="D0037"/>
        <s v="D0041"/>
        <s v="D0040"/>
        <s v="C0845"/>
        <s v="D0095"/>
        <s v="D0036"/>
        <s v="C0658"/>
        <s v="D0079"/>
        <s v="D0070"/>
        <s v="C0820"/>
        <s v="C0203"/>
        <s v="C0723"/>
        <s v="D0098"/>
        <s v="D0028"/>
        <s v="C0651"/>
        <s v="C0888"/>
        <s v="D0085"/>
        <s v="D0074"/>
        <s v="D0046"/>
        <s v="C0938"/>
        <s v="C0781"/>
        <s v="D0012"/>
        <s v="D0038"/>
        <s v="C0740"/>
        <s v="C0985"/>
        <s v="C0202"/>
        <s v="C0731"/>
        <s v="D0039"/>
        <s v="C0318"/>
        <s v="C0675"/>
        <s v="D0080"/>
        <s v="C0965"/>
        <s v="C0310"/>
        <s v="D0018"/>
        <s v="D0071"/>
        <s v="D0076"/>
        <s v="C0825"/>
        <s v="D0150"/>
        <s v="D0068"/>
        <s v="D0096"/>
        <s v="C0823"/>
        <s v="C0665"/>
        <s v="C0489"/>
        <s v="C0319"/>
        <s v="C0893"/>
        <s v="D0090"/>
        <s v="D0072"/>
        <s v="D0020"/>
        <s v="C1001"/>
        <s v="C0669"/>
        <s v="D0091"/>
        <s v="C0835"/>
        <s v="C0821"/>
        <s v="C0654"/>
        <s v="C0785"/>
        <s v="D0024"/>
        <s v="D0022"/>
        <s v="C0885"/>
        <s v="D0097"/>
        <s v="C1000"/>
        <s v="C0700"/>
        <s v="C0680"/>
        <s v="C0782"/>
        <s v="C0668"/>
        <s v="C0791"/>
        <s v="D0081"/>
        <s v="D0092"/>
        <s v="D0093"/>
        <s v="D0100"/>
        <s v="C0993"/>
        <s v="D0101"/>
        <s v="C0899"/>
        <s v="C1012"/>
        <s v="D0078"/>
        <s v="C0207"/>
        <s v="C0649"/>
        <s v="C0309"/>
        <s v="C0699"/>
        <s v="D0067"/>
        <s v="C0949"/>
        <s v="D0015"/>
        <s v="D0099"/>
        <s v="C0676"/>
        <s v="D0030"/>
        <s v="C0201"/>
        <s v="C0748"/>
        <s v="D0045"/>
        <s v="D0077"/>
        <s v="C0947"/>
        <s v="C0559"/>
        <s v="C0650"/>
        <s v="D0047"/>
        <s v="D0083"/>
        <s v="C0721"/>
        <s v="C0889"/>
        <s v="C0702"/>
        <s v="C0705"/>
        <s v="C0706"/>
        <s v="C0707"/>
        <s v="C0708"/>
        <s v="C0709"/>
        <s v="C0710"/>
        <s v="C0711"/>
        <s v="C0716"/>
        <s v="C0713"/>
        <s v="C0900"/>
        <s v="C0722"/>
        <s v="C0714"/>
        <s v="C0727"/>
        <s v="C0728"/>
        <s v="C0729"/>
        <s v="C0747"/>
        <s v="C0990"/>
        <s v="C0774"/>
        <s v="C0777"/>
        <s v="C0778"/>
        <s v="C0786"/>
        <s v="C0790"/>
        <s v="C0792"/>
        <s v="C0793"/>
        <s v="C0794"/>
        <s v="C0795"/>
        <s v="C0796"/>
        <s v="C0999"/>
        <s v="C0797"/>
        <s v="C0798"/>
        <s v="C0799"/>
        <s v="C0800"/>
        <s v="C0801"/>
        <s v="C0804"/>
        <s v="C0806"/>
        <s v="C0808"/>
        <s v="C0813"/>
        <s v="C0815"/>
        <s v="C0847"/>
        <s v="C0848"/>
        <s v="C0853"/>
        <s v="C0854"/>
        <s v="C0880"/>
        <s v="C0895"/>
        <s v="C0944"/>
        <s v="C0851"/>
        <s v="C0946"/>
        <s v="C0986"/>
        <s v="C0987"/>
        <s v="C1014"/>
        <s v="C0870"/>
        <s v="C0784"/>
        <s v="C1015"/>
        <s v="C1016"/>
        <s v="C1017"/>
        <s v="C1019"/>
        <s v="C1020"/>
        <s v="C1021"/>
        <s v="C1022"/>
        <s v="C1023"/>
        <s v="C1024"/>
        <s v="C1025"/>
        <s v="C1026"/>
        <s v="C1027"/>
        <s v="C0876"/>
        <s v="C1028"/>
        <s v="C1029"/>
        <s v="C1030"/>
        <s v="C1031"/>
        <s v="C1034"/>
        <s v="C0824"/>
        <s v="C1032"/>
        <s v="C0719"/>
        <s v="LB10018"/>
        <s v="R0005"/>
        <s v="R0006"/>
        <s v="C1010"/>
        <s v="C1011"/>
        <s v="C0725"/>
        <s v="C0724"/>
        <s v="C0846"/>
        <s v="C0812"/>
        <s v="C0826"/>
        <s v="C0810"/>
        <s v="C0717"/>
        <s v="C0715"/>
        <s v="C0988"/>
        <s v="C0890"/>
        <s v="R0001"/>
        <s v="R0004"/>
        <s v="C0783"/>
        <s v="C0771"/>
        <s v="C0850"/>
        <s v="R0002"/>
        <s v="C0703"/>
        <s v="C0837"/>
        <s v="M0033"/>
        <s v="M0034"/>
        <s v="M0035"/>
        <s v="M0042"/>
        <s v="M0052"/>
        <s v="M0057"/>
        <s v="M0060"/>
        <s v="M0065"/>
        <s v="M0002"/>
        <s v="M0005"/>
        <s v="M0054"/>
        <s v="M0072"/>
        <s v="M0070"/>
        <s v="M0067"/>
        <s v="M0010"/>
        <s v="M0025"/>
        <s v="M0055"/>
        <s v="M0020"/>
        <s v="M0069"/>
        <s v="M0071"/>
        <s v="M0044"/>
        <s v="M0014"/>
        <s v="M0074"/>
        <s v="M0073"/>
        <s v="M0001"/>
        <s v="M0013"/>
        <s v="M0017"/>
        <s v="M0075"/>
        <s v="M0018"/>
        <s v="M0043"/>
        <s v="M0068"/>
        <s v="B0006"/>
        <s v="B0011"/>
        <s v="B0057"/>
        <s v="B0063"/>
        <s v="B0002"/>
        <s v="B0036"/>
        <s v="B0072"/>
        <s v="B0056"/>
        <s v="B0001"/>
        <s v="B0069"/>
        <s v="B0041"/>
        <s v="B0030"/>
        <s v="B0028"/>
        <s v="B0035"/>
        <s v="B0034"/>
        <s v="B0093"/>
        <s v="B0092"/>
        <s v="B0086"/>
        <s v="B0017"/>
        <s v="B0003"/>
        <s v="B0005"/>
        <s v="B0025"/>
        <s v="B0076"/>
        <s v="B0040"/>
        <s v="B0014"/>
        <s v="B0100"/>
        <s v="B0013"/>
        <s v="B0012"/>
        <s v="H0004"/>
        <s v="B0051"/>
        <s v="B0010"/>
        <s v="H0002"/>
        <s v="B0021"/>
        <s v="B0016"/>
        <s v="H0007"/>
        <s v="B0052"/>
        <s v="B0059"/>
        <s v="B0090"/>
        <s v="B0081"/>
        <s v="C0805"/>
        <s v="H0005"/>
        <s v="B0026"/>
        <s v="B0027"/>
        <s v="B0050"/>
        <s v="B0061"/>
        <s v="B0070"/>
        <s v="B0038"/>
        <s v="B0104"/>
        <s v="B0075"/>
        <s v="B0066"/>
        <s v="B0004"/>
        <s v="H0003"/>
        <s v="B0060"/>
        <s v="B0099"/>
        <s v="B0042"/>
        <s v="B0044"/>
        <s v="B0029"/>
        <s v="B0015"/>
        <s v="B0009"/>
        <s v="B0095"/>
        <s v="B0101"/>
        <s v="B0079"/>
        <s v="B0039"/>
        <s v="H0001"/>
        <s v="B0096"/>
        <s v="B0046"/>
        <s v="B0105"/>
        <s v="B0019"/>
        <s v="B0018"/>
        <s v="B0098"/>
        <s v="B0088"/>
        <s v="B0089"/>
        <s v="B0087"/>
        <s v="B0033"/>
        <s v="B0091"/>
        <s v="B0102"/>
        <s v="B0047"/>
        <s v="B0049"/>
        <s v="B0062"/>
        <s v="B0094"/>
        <s v="B0058"/>
        <s v="B0097"/>
        <s v="B0103"/>
        <s v="B0067"/>
        <s v="H0006"/>
        <s v="B0007"/>
        <s v="B0008"/>
        <s v="B0106"/>
        <s v="B0064"/>
        <s v="B0085"/>
        <s v="T0001"/>
        <s v="B0084"/>
        <s v="B0080"/>
        <s v="B0071"/>
        <s v="B0082"/>
        <s v="B0078"/>
        <s v="B0077"/>
        <s v="G0026"/>
        <s v="B0074"/>
        <s v="B0073"/>
        <s v="B0083"/>
        <s v="B0045"/>
        <s v="B0037"/>
        <s v="B0068"/>
        <s v="B0020"/>
        <s v="B0043"/>
        <s v="B0048"/>
        <s v="G0047"/>
        <s v="G0004"/>
        <s v="G0034"/>
        <s v="G0001"/>
        <s v="G0012"/>
        <s v="G0021"/>
        <s v="G0027"/>
        <s v="G0038"/>
        <s v="G0045"/>
        <s v="G0003"/>
        <s v="G0043"/>
        <s v="G0035"/>
        <s v="G0037"/>
        <s v="G0061"/>
        <s v="G0020"/>
        <s v="G0036"/>
        <s v="G0060"/>
        <s v="G0067"/>
        <s v="G0006"/>
        <s v="G0019"/>
        <s v="G0039"/>
        <s v="G0076"/>
        <s v="G0005"/>
        <s v="G0029"/>
        <s v="G0030"/>
        <s v="G0071"/>
        <s v="G0002"/>
        <s v="G0072"/>
        <s v="G0069"/>
        <s v="G0022"/>
        <s v="G0011"/>
        <s v="G0049"/>
        <s v="G0010"/>
        <s v="G0024"/>
        <s v="G0040"/>
        <s v="G0028"/>
        <s v="G0033"/>
        <s v="G0068"/>
        <s v="G0031"/>
        <s v="G0073"/>
        <s v="G0023"/>
        <s v="G0015"/>
        <s v="G0018"/>
        <s v="G0050"/>
        <s v="G0016"/>
        <s v="G0051"/>
        <s v="G0053"/>
        <s v="G0041"/>
        <s v="G0054"/>
        <s v="G0044"/>
        <s v="G0048"/>
        <s v="G0056"/>
        <s v="G0055"/>
        <s v="G0057"/>
        <s v="G0063"/>
        <s v="G0064"/>
        <s v="G0042"/>
        <s v="G0065"/>
        <s v="G0066"/>
        <s v="G0014"/>
        <s v="G0017"/>
        <s v="N0007"/>
        <s v="N0016"/>
        <s v="N0014"/>
        <s v="N0010"/>
        <s v="N0005"/>
        <s v="N0011"/>
        <s v="N0003"/>
        <s v="N0008"/>
        <s v="N0012"/>
        <s v="N0013"/>
        <s v="N0004"/>
        <s v="N0009"/>
        <s v="N0006"/>
        <s v="N0002"/>
        <s v="N0015"/>
        <s v="N0001"/>
        <s v="C0788"/>
        <s v="C0789"/>
        <s v="C0780"/>
        <s v="C0775"/>
        <s v="C0807"/>
        <s v="C0811"/>
        <s v="C0816"/>
        <s v="C0802"/>
        <s v="C0779"/>
        <s v="C0881"/>
        <s v="C0712"/>
        <s v="C0945"/>
        <s v="C0726"/>
        <s v="C0822"/>
        <s v="L0006"/>
        <s v="L0005"/>
        <s v="C0803"/>
        <s v="L0002"/>
        <s v="C1018"/>
        <s v="C0787"/>
        <s v="C0720"/>
        <s v="C0704"/>
        <s v="C0901"/>
        <s v="C1033"/>
        <s v="L0007"/>
        <s v="L0008"/>
        <s v="L0009"/>
        <s v="L0001"/>
        <s v="C0746"/>
        <s v="L0004"/>
        <s v="C1013"/>
        <s v="C0948"/>
        <s v="C0814"/>
        <s v="L0003"/>
        <s v="C0852"/>
        <s v="C0776"/>
        <s v="C0809"/>
        <s v="C0942"/>
        <s v="R0003"/>
        <s v="D0069"/>
        <s v="K0001"/>
        <s v="K0002"/>
        <s v="K0003"/>
        <s v="K0004"/>
        <s v="K0005"/>
        <s v="K0006"/>
        <s v="K0007"/>
        <s v="K0008"/>
        <s v="K0009"/>
        <s v="K0010"/>
        <s v="K0011"/>
        <s v="K0012"/>
        <s v="K0013"/>
        <s v="K0014"/>
        <s v="K0015"/>
        <s v="K0016"/>
        <s v="k0018"/>
        <s v="K0019"/>
        <s v="K0020"/>
        <s v="K0021"/>
        <s v="K0022"/>
        <s v="K0023"/>
        <s v="K0024"/>
        <s v="K0025"/>
        <s v="K0026"/>
        <s v="K0027"/>
        <s v="K0028"/>
        <s v="LB70023"/>
        <s v="S0001"/>
        <s v="K0017"/>
        <s v="G0032"/>
        <s v="G0013"/>
        <s v="G0062"/>
        <s v="G0059"/>
        <s v="G0007"/>
        <s v="G0009"/>
        <s v="LB2H016"/>
        <s v="G0070"/>
        <s v="G0025"/>
        <s v="G0077"/>
        <s v="LB2H023"/>
        <s v="G0046"/>
        <s v="G0078"/>
        <s v="G0008"/>
        <s v="G0074"/>
        <s v="LB2H018"/>
        <s v="G0075"/>
        <s v="G0052"/>
        <s v="LB2H022"/>
        <s v="G0058"/>
        <s v="LB2H021"/>
        <s v="LB2H003"/>
        <s v="LB20008"/>
        <s v="LB2T001"/>
        <s v="LB2K001"/>
        <s v="C0875"/>
        <s v="K0029"/>
        <s v="C1035"/>
        <s v="B0107"/>
        <s v="R0007"/>
        <s v="D0102"/>
        <s v="B0108"/>
        <s v="G0079"/>
        <s v="B0109"/>
        <s v="D0103"/>
        <s v="C0730"/>
        <s v="G0080"/>
        <m u="1"/>
      </sharedItems>
    </cacheField>
    <cacheField name="اسم شريك الأعمال" numFmtId="0">
      <sharedItems containsBlank="1" count="623">
        <s v="مؤسسة فوزية سعد حماد البقعاوي النجوم"/>
        <s v="احمد محمد الخميس حي الضاحي"/>
        <s v="شركة البهو التجارية"/>
        <s v="مؤسسة انوار الملكة التجارية"/>
        <s v="مؤسسة انوار رياض الخبراء التجارية"/>
        <s v="مؤسسة الكريديس للكهرباء -نقدى"/>
        <s v="مؤسسة عبدالرحمن الحربي رياض الخبراء-نقدى"/>
        <s v="شركة ناف التنفيذ المحدودة"/>
        <s v="مؤسسة مصباح الجودة -نقدى"/>
        <s v="مؤسسة ذهول الانارة للادوات الكهربائية-نقدى"/>
        <s v="محل ابوحازم - الاسياح-نقدى"/>
        <s v="مؤسسة طيبة للكهرباء - نقدى"/>
        <s v="مؤسسة المبارك حائل -نقدى"/>
        <s v="مؤسسة تاج الفارس-نقدى"/>
        <s v="مؤسسة الحسيني عنيزة -نقدى"/>
        <s v="مؤسسة بناء البدائع - نقدي"/>
        <s v="مؤسسة الجربوع للكهرباء والسباكة-نقدى"/>
        <s v="جولدن توليب القصيم -اتقان الضيافة -نقدى"/>
        <s v="مؤسسة المشيقح للكهرباء-نقدى"/>
        <s v="محل تسويق البناء - المجمعة"/>
        <s v="محل الهدير للكهرباء والسباكة-نقدى"/>
        <s v="محل النور للسباكة والكهرباء -نقدى"/>
        <s v="مؤسسة حمد عبدالكريم البدر -نقدى"/>
        <s v="محل الانارة - المذنب - نقدي"/>
        <s v="محل الاستاذ للكهرباء والسباكة - نقدى"/>
        <s v="محل كنز الاضواء - الدوامي"/>
        <s v="اضواء ساجر (نقدي)"/>
        <s v="شركة السيف - ساجر - نقدى"/>
        <s v="مؤسسة تسويق البناء - شقراء"/>
        <s v="محل فانوس عنيزة للتجارة"/>
        <s v="مؤسسة سطوع للتجارة"/>
        <s v="تناء الانارة - المجمعة"/>
        <s v="مؤسسة دار سجوف التجارية"/>
        <s v="شركة دنيا الخلاطات التجارية"/>
        <s v="شركة حسن عبدالله المهناء وشريكه"/>
        <s v="مؤسسة محمد عبدالله الصقعوب التجارية"/>
        <s v="شركة الفهد للتجارة والصناعة والمقاولات-عنيزة-الخزامي-شارع الملك عبدالعزيز"/>
        <s v="شركة المصباح للتجارة والمقاولات المحدودة"/>
        <s v="مؤسسة محمد عثمان المزيرعي-نقدي"/>
        <s v="مؤسسة عبدالعزيز حسن المقبل التجارية - المذنب"/>
        <s v="مؤسسة كهرباء الجمش التجارية"/>
        <s v="مؤسسة محيط المنزل التجارية"/>
        <s v="مؤسسة مملكة الكهرباء للتجارة"/>
        <s v="مؤسسة اضواء العيد للتجارة والمقاولات"/>
        <s v="مؤسسة عبدالله ابراهيم الشويمان التجارية"/>
        <s v="مؤسسة خالد محمد الخليفي التجارية"/>
        <s v="مؤسسة انوار الملكة التجارية - نقدى"/>
        <s v="مؤسسة بيت الضاحي"/>
        <s v="مؤسسة متعب محمد الحسيني للمقاولات"/>
        <s v="مؤسسة المنهل-نقدى"/>
        <s v="محل ثريات الاصالة للتجارة"/>
        <s v="مؤسسة عبد الرحمن محمد المقحم التجارية -نقدي"/>
        <s v="مؤسسة عبدالعزيز عبدالله صالح العبيد"/>
        <s v="مؤسسة مملكة الانوار - الزلفي"/>
        <s v="مؤسسة الشرق شاه-نقدي"/>
        <s v="مؤسسة المشعان التجارية"/>
        <s v="مؤسسة حماد العمري للتجارة"/>
        <s v="محل النهضة العمرانية لمواد البناء"/>
        <s v="مؤسسة البليهي"/>
        <s v="محل العجلان"/>
        <s v="مؤسسة عمر مرزوق الحارثي للمقاولات"/>
        <s v="تطوير البناء لمواد البناء"/>
        <s v="شركة ربيع عنيزة الهزازي - نقدي"/>
        <s v="مؤسسة تناسق الاضواء التجارية - نقدي"/>
        <s v="العمران والري  شقراء"/>
        <s v="مؤسسة افاق سدير للتجارة"/>
        <s v="مؤسسة فهد محمد المدوخ(البنيه)"/>
        <s v="مؤسسة دنيا السباكة -العمري سابقا"/>
        <s v="فانوس عنيزة-نقدي"/>
        <s v="مؤسسة العجيمي"/>
        <s v="مؤسسة جود البناء للمقاولات المعمارية"/>
        <s v="محل مدينة السراب للتجارة"/>
        <s v="محل سعد ابراهيم محمد العبود للتجارة"/>
        <s v="محل فيصل فهد المشعلي للادوات الكهربائية"/>
        <s v="مؤسسة رسمة طيبة التجارية-النقدي"/>
        <s v="محل محمد حميدي الثنيان للتجارة"/>
        <s v="مؤسسة كود الاضاءة للتجارة"/>
        <s v="مؤسسة ماجد غزاي الشمري التجارية)ابوسلطان"/>
        <s v="فرع مؤسسة عبدالله سالم الضبعان التجارية"/>
        <s v="شركة ركيزة النماء - عنيزة"/>
        <s v="شركة اصناف البناء للتجارة"/>
        <s v="مؤسسة خالد محمد مهل الحربي للتجارة"/>
        <s v="محل محمد احمد الخميس لادوات الكهربائية قرطبة 1"/>
        <s v="مؤسسة عبدالله العتيق - حائل"/>
        <s v="شركة أبناء ناصر بن عبدالله البرادي للتجارة"/>
        <s v="شركة خبراء الكهرباء التجارية"/>
        <s v="مؤسسة ابراهيم عبد الله ناصر السعوي للتجارة- نقدي"/>
        <s v="شركة انوار المنازل التجارية"/>
        <s v="شركة نجم الهزاز التجارية نقدي"/>
        <s v="شركة الاسم الألمع التجارية"/>
        <s v="عميل بضمان المندوب CS01"/>
        <s v="مؤسسة محيط التعمير - نقدي"/>
        <s v="مؤسسة اضاءات الشمال كهرباء وسباكة - نقدي"/>
        <s v="مؤسسة روى الوطنية - نقدي"/>
        <s v="مؤسسة زوايا البيت التجارية - نقدي"/>
        <s v="مؤسسة شما بنت عبدالله علي الوهيبي لمواد البناء - نقدي"/>
        <s v="مؤسسة صالح علي الحماد للسباكة والكهرباء -نقدي"/>
        <s v="شركة ركن اريج التجارية - نقدي"/>
        <s v="شركة نجمة الهزاز التجارية-نقدي"/>
        <s v="مؤسسة محمد حمد عبدالله الثويني - نقدي"/>
        <s v="شركة توكيلات النجمة للكهرباء والانارة- نقدي"/>
        <s v="مؤسسة بيت البناء (الكروم) - الرس(عبدالله علي عثمان المزيني)"/>
        <s v="مؤسسة البشر- نقدي"/>
        <s v="مؤسسة ابو مشاري للكهرباء عبدالله الغفيلي-نقدى"/>
        <s v="محل الملزمة - نقدي"/>
        <s v="محل حلوة رمضان الشمري للتجارة-نقدي"/>
        <s v="مؤسسة برق الاضاءة التجارية  - نقدي"/>
        <s v="مؤسسة ناصر مشاري عبدالعزيز المشاري للادوات الكهربائية - نقدي"/>
        <s v="مؤسسة شموع الاضاءة التجارية نقدي"/>
        <s v="محل العويد للكهرباء والسباكة(نقدي)"/>
        <s v="مؤسسة نجم السهيل للمقاولات"/>
        <s v="مؤسسة بيوت التميز التجارية - نقدي"/>
        <s v="مؤسسة سليمان محمد بن عبدالله المحيميد - نقدي"/>
        <s v="مؤسسة احمد سليمان الطيار للتجارة - نقدي"/>
        <s v="مؤسسة شمس عنيزة - نقدي"/>
        <s v="بسام عبدالعزيز عبدالله الغفيلي- الرس - نقدي"/>
        <s v="مؤسسة استقرار الطاقة للتجارة -نقدي"/>
        <s v="محل شريفة سليمان محمد الدخيل للتجارة  - نقدي"/>
        <s v="شركة العبودي للاجهزة المنزلية والالكترونية-نقدي"/>
        <s v="شركة التاج المضيئ للمقاولات - نقدي"/>
        <s v="شركة زعيم الانارة للتجارة"/>
        <s v="مؤسسة بيت الاناره للتجارة"/>
        <s v="مؤسسة انوار العاصمة للتجارة"/>
        <s v="شركة أعمال المرسلات التجارية-حي العارض"/>
        <s v="شركة النظم الثلاثية للتجارة"/>
        <s v="مؤسسة متاجر ذوق للتجارة"/>
        <s v="شركة لؤلؤه الاقتصاد للتجارة شركة شخص واحد"/>
        <s v="مؤسسة محمد ناصر السيد للتجارة الفرع الرئيسئ"/>
        <s v="مؤسسة محمد ناصر السيد للتجارة فرع الاصالة"/>
        <s v="مؤسسة حمد محمد الموسي"/>
        <s v="مؤسسة صفوة البراق للتجارة-نقدي"/>
        <s v="مؤسسة فن الترف للمقاولات - نقدي"/>
        <s v="شركة الكهرباء المشعة للتجارة فرع 1"/>
        <s v="مؤسسة سيول الانارة التجارية-نقدي"/>
        <s v="شركة انارة الصحافة للادوات الكهربائية"/>
        <s v="شركة الكهرباء المشعة للتجارة الفرع الرئيسي"/>
        <s v="شركة الحاتمي للتجارة -نقدي"/>
        <s v="مؤسسة الضوء النقي للتجارة"/>
        <s v="مؤسسة دار البناء للتجارة - نقدي"/>
        <s v="مؤسسة دار جريف للتجارة"/>
        <s v="شركة روافد الكهرباء للتجارة"/>
        <s v="مؤسسة اصول الانارة للتجارة"/>
        <s v="مؤسسة الاضاءة السريعة/الروضة"/>
        <s v="التوريد الفوري فرع الصحافة"/>
        <s v="عميل بضمان المندوب CS03"/>
        <s v="مؤسسة طلال خالد السقاف (المرسلات)"/>
        <s v="مؤسسة طلال خالد السقاف (الصحافة)"/>
        <s v="مؤسسة طلال خالد السقاف"/>
        <s v="مؤسسة ابلاج للتجارة"/>
        <s v="مؤسسة البابطين للانارة-نقدي"/>
        <s v="مؤسسة عبدالعزيز حمد البريثن التجارية ( سبوت لابت )"/>
        <s v="مؤسسة جوهرة قرطبة للتجارة"/>
        <s v="مؤسسة اول اعمار للتجارة/ الصحافة)"/>
        <s v="شركة مساعد محمد بن عجلان للتجارة"/>
        <s v="شركة قمة المرسلات للتجارة"/>
        <s v="مؤسسة سلطان تركي العسبلي للتجارة"/>
        <s v="شركة لمعة الاضاءة للتجارة"/>
        <s v="مؤسسة ارجاء الدار للتجارة"/>
        <s v="مؤسسة مدى المحيط للتجارة"/>
        <s v="مؤسسة موسى ناصر حمد الموسي للتجارة-نقدي"/>
        <s v="مؤسسة دار قرطاجة للتجارة"/>
        <s v="مؤسسة دار قرطاجة للتجارة فرع الصحافة"/>
        <s v="مؤسسة عشاق التميز للتجارة الفرع الرئيسي"/>
        <s v="مؤسسة عشاق التميز للتجارة الفرع 1"/>
        <s v="شركة الوصلة العربية للتجارة والاجهزة الامنية - الملز"/>
        <s v="مؤسسة اجواء افاق للتجارة"/>
        <s v="شركة مخططات الشمال للمقاولات"/>
        <s v="شركة الفا المتخصصة - نقدي"/>
        <s v="مؤسسة هندا لايت للتجارة"/>
        <s v="شركة ابداع المعاجم للادوات الصحية - نقدى"/>
        <s v="مؤسسة اعمار السلام للتجارة"/>
        <s v="مؤسسة جذور الانارة التجارية-نقدي"/>
        <s v="مؤسسة طلال مازن ايوب للتجارة (يارا للانارة)  -نقدي"/>
        <s v="كهرباء الجوارالمميز(نقدي)"/>
        <s v="شركة الجوف الكهربائية للتجارة -نقدي"/>
        <s v="مؤسسة انار الحياة للتجارة -نقدي"/>
        <s v="مؤسسة ربوة الاعمار للتجارة"/>
        <s v="مؤسسة عدنان محمد حمد الضبيعي للتجارة-نقدي"/>
        <s v="شركة الركن المشيد التجارية - نقدى"/>
        <s v="مؤسسة جوهرة ابلاج للتجارة"/>
        <s v="مؤسسة نور الديار للتجارة- نقدي"/>
        <s v="مؤسسة موارد الشمال للتجارة"/>
        <s v="شركة انوار الجاهزية للتجارة"/>
        <s v="مؤسسة محمد سليمان عبدالله الشماسى للمقاولات - نقدى"/>
        <s v="مؤسسة عيظه كرامه بن محفوظ النهدى للتجارة - نقدى"/>
        <s v="شركة علي خلف العنزي وشركاه - فرع النسيم"/>
        <s v="مؤسسة افنان الحجاز للمقاولات - نقدي"/>
        <s v="شركة أعمال المرسلات التجارية - فرع المرسلات"/>
        <s v="شركة أعمال المرسلات التجارية - فرع الصحافة"/>
        <s v="شركة شيخ الانارة للتجارة و المقاولات- الفرع الرئيسي"/>
        <s v="مؤسسة مشكاة الجزيرة للتجارة -نقدي"/>
        <s v="مؤسسة اضاءات للادوات الكهربائية -نقدي"/>
        <s v="مؤسسةازارا للاضاءت للتجارة -نقدي"/>
        <s v="شركة هديب للتجارة"/>
        <s v="مؤسسة ضوء نصف القمر-نقدي"/>
        <s v="مجموعة سليمان الربيعه الدوليه للتجارة-الملز"/>
        <s v="شركة نوارة التميز-نقدي"/>
        <s v="شركة فروع البناء لمواد البناء"/>
        <s v="شركة نايف حسن جباري للتجارة والمقاولات-نقدي"/>
        <s v="شركة ركن هدوء الانارة التجارية-نقدي"/>
        <s v="مؤسسة هدوء الانارة للتجارة-نقدي"/>
        <s v="شركة جوهر الباديه للمقاولات -نقدي"/>
        <s v="مؤسسة محمد عبدالله النهام للتجارة - نقدي"/>
        <s v="مؤسسة علي حسن الحبجر التجارية-نقدي"/>
        <s v="مؤسسة رياض نجد للمقاولات-نقدي"/>
        <s v="مؤسسة تصاميم الغد التجارية-نقدي"/>
        <s v="مؤسسة روافد الاضاءة للتجارة - نقدي"/>
        <s v="مؤسسة نيرفا التجارية -نقدي"/>
        <s v="شركة انوار الخليج المتحدة للادوات الكهربائية-نقدي"/>
        <s v="مؤسسة راكان علي هادي اليامي للتجارة - نقدي"/>
        <s v="مؤسسة راجح سفر العصيمي للتجارة - نقدي"/>
        <s v="محل محمد احمد سعيد باجنيد للادوات الصحية  - نقدي"/>
        <s v="شركة الانارة الاولي للتجارة"/>
        <s v="شركة شموس الدولية للطاقة - نقدي"/>
        <s v="مؤسسة مكعب الاضاءة التجارية -نقدي"/>
        <s v="مؤسسة قمة كنوز للتجارة - نقدي"/>
        <s v="مؤسسة رقم الف للادوات الكهربائية  -نقدي"/>
        <s v="شركة نسما الدولية للتجارة - نقدي"/>
        <s v="محل العنقي - نقدى"/>
        <s v="صالة فلاح الشمري الرياضية - نقدى"/>
        <s v="محل النخبة - الذيبية - نقدى"/>
        <s v="محل ابو خالد المطيري - نقدى"/>
        <s v="التويجري للمستلزمات الرجالية -حفر الباطن- نقدى"/>
        <s v="محل القرية العليا للسباكة والكهرباء- نقدى"/>
        <s v="الرشدان للتجارة والمقاولات - نقدى"/>
        <s v="محل شرق الستين - نقدى"/>
        <s v="محل الدوار - نقدى"/>
        <s v="مستشفى الدكتورر محمد نور خان- نقدى"/>
        <s v="شركة الثلاجة العالمية - نقدى"/>
        <s v="مؤسسة عبدالحميد عبدالرزاق الونيس - نقدي"/>
        <s v="عميل بضمان المندوب CS04"/>
        <s v="محل المفلح"/>
        <s v="محل البيت الاول"/>
        <s v="مؤسسة محمد علي الشعري للتجارة"/>
        <s v="مؤسسة انوار المدينة الخفجي"/>
        <s v="محل ابو عبدالله الحفر - نقدي"/>
        <s v="عبر الاماكن لمواد البناء"/>
        <s v="محل الصالح لمواد البناء لصاحبته شمة مفرح ثواب الحربي"/>
        <s v="مؤسسة مسلم كرامه الصيعري  لمواد البناء -نقدي"/>
        <s v="محل شعلة الحفر"/>
        <s v="مؤسسة الماسي لمواد البناء"/>
        <s v="شركة مدائن الشمال التجارية"/>
        <s v="محل الدرع"/>
        <s v="محل الغيداني - نقدى"/>
        <s v="محل جود المملكة - نقدى"/>
        <s v="مؤسسة اللجين المعمارية للمقاولات - نقدي"/>
        <s v="محل ابو عمر - نقدى"/>
        <s v="مؤسسة عبدالرحمن الهاجري / الخافجي - نقدى"/>
        <s v="مؤسسة درة الخشرم - نقدى"/>
        <s v="مؤسسة عبدالله محمد عبدالله اليحى للادوات الصحية - نقدي"/>
        <s v="مؤسسة مشاريع الخبر للتجارة - نقدي"/>
        <s v="مؤسسة محمد حمد طاهر النمر للادوات الصحية - نقدي"/>
        <s v="مؤسسة البناء الدائم التجارية - نقدي"/>
        <s v="مؤسسة زكريا عبدالعزيز الدبيخي التجارية - نقدي"/>
        <s v="سفر للخدمات الصناعية- نقدي"/>
        <s v="مؤسسة احمد حمود الزهراني التجارية - نقدي"/>
        <s v="مؤسسة المحيط الهادي للادوات الكهربائية - نقدي"/>
        <s v="مؤسسة جوهرة الانارة التجارية - نقدي"/>
        <s v="مؤسسة كهرباء العاصمه للادوات الكهربائية - نقدي"/>
        <s v="مؤسسة شافي عبد الهادي الدوسري التجارية - نقدي"/>
        <s v="مؤسسة سكب الدانة للادوات الصحية- نقدي"/>
        <s v="مؤسسة محمد راشد البوعينين التجارية - نقدي"/>
        <s v="مؤسسة انوار الشروق للتجارة- نقدي"/>
        <s v="فرع مؤسسة محمد مفرح العجمي التجارية- نقدي"/>
        <s v="مؤسسة المنزل المثالي التجارية-نقدي"/>
        <s v="مؤسسة حبر الشرقية التجارية - نقدي"/>
        <s v="محل الصقر الابيض التجارية -نقدي"/>
        <s v="مؤسسة منة الانارة الحديثة التجارية-نقدي"/>
        <s v="مؤسسة مجال الاختصاص للتجارة"/>
        <s v="مؤسسة النجم المرتفع التجارية"/>
        <s v="مؤسسة جعفر علي مرار للتجارة"/>
        <s v="مؤسسة فؤاد محمدعبدالمحسن اللويمي"/>
        <s v="مؤسسة عبر النور التجارية"/>
        <s v="مؤسسة إنارة التجارية"/>
        <s v="مؤسسة احمد بن عايش بن محمد النمر للتجارة -نقدي"/>
        <s v="مؤسسة السهدي التجارية - نقدي"/>
        <s v="مؤسسة ماجد عبدالمحسن الرماح للمقاولات"/>
        <s v="شركة احمد محمد بن عودان واخواته - نقدى"/>
        <s v="مؤسسة اصول الخليج التجارية"/>
        <s v="مؤسسة اتحاد الوسطاء التجارية"/>
        <s v="مؤسسة عيسى يوسف الفهيد للانارة - نقدي"/>
        <s v="مؤسسة اصداف الخليج للادوات الصحية-نقدي"/>
        <s v="مؤسسة حسين عبدالحميد المرهون لمواد البناء"/>
        <s v="مؤسسة حسين محمد البوعلي للتجارة - نقدى"/>
        <s v="شركة الاعمال والتجارة المحدودة-وداكو"/>
        <s v="شركة عبدالعزيز حسن حسن الدهان وشركاه"/>
        <s v="مؤسسة جمال المذهله التجارية"/>
        <s v="مؤسسة لبيد نجيب المانع للتجارة-نقدي"/>
        <s v="مؤسسة معالم الحرقان التجارية"/>
        <s v="مؤسسة ريكنج التجارية - نقدى"/>
        <s v="مؤسسة البيت العامر للادوات الصحية"/>
        <s v="شركة فهد سعد المنقور وشركاه للتجارة"/>
        <s v="معرض باهمام التجارية"/>
        <s v="مؤسسة فاضل بن حبيب محمد فندم التجارية"/>
        <s v="مؤسسة عبدالعزيز راشد البوعينين للادوات الكهربائية"/>
        <s v="مؤسسة عالم البناء الراقي التجارية- نقدي"/>
        <s v="مؤسسة محمود سعود المروحن التجارية - نقدي"/>
        <s v="مؤسسة الكهرباء الامنة التجاريه"/>
        <s v="مؤسسة انارة المشكاة للتجارة"/>
        <s v="مؤسسة الانارة الجديدة التجارية"/>
        <s v="مؤسسة الفناء للكهرباء - نقدى"/>
        <s v="مؤسسة مبارك عبدالله فهاد الدوسري التجارية - نقدي"/>
        <s v="مؤسسة اقطاب العاصمة التجارية -نقدي"/>
        <s v="مؤسسة الليالي المضيئة للأجهزة المنزلية"/>
        <s v="مؤسسة معالم الاصدار للمقاولات"/>
        <s v="مؤسسة عبدالعزيز عبدالله عمر التجارية"/>
        <s v="مؤسسة اضواء وطن التجارية-نقدي"/>
        <s v="مؤسسة سحر الشمعة المتخصصة التجارية"/>
        <s v="مؤسسة ادال للتجارة -نقدي"/>
        <s v="مؤسسة هلال حسن آل شطى للتجارة - نقدى"/>
        <s v="شركة واجهة الخبر للتجارة والمقاولات العامة"/>
        <s v="شركة منار للتجارة والمقاولات - نقدي"/>
        <s v="مؤسسة اسامه عبدالله الموسي التجارية-نقدي"/>
        <s v="مؤسسة اسرار الانارة التجارية"/>
        <s v="مؤسسة لوازم الفنيين التجارية - نقدي"/>
        <s v="مؤسسة تميز ذكوان التجارية - نقدي"/>
        <s v="شركة بريق الانارة للتجارة"/>
        <s v="مؤسسة طاهر حمد النمر التجارية"/>
        <s v="مؤسسة التطوير الشرقي للتجارة -نقدي"/>
        <s v="مؤسسة مساكب الشرقية التجارية -نقدي"/>
        <s v="مؤسسة اسيا محمد ناصر عجيمان التجارية"/>
        <s v="مؤسسة ديم ستور التجارية -نقدي"/>
        <s v="مؤسسة فكرة ضوء التجارية- نقدي"/>
        <s v="مؤسسة عبدالعزيز توفيق سليمان العودة التجارية"/>
        <s v="مؤسسة السور الذهبي للتجارة - نقدى"/>
        <s v="مؤسسة نور الشمس الشرق الاوسط التجارية"/>
        <s v="مؤسسة أصول الاضاءة التجارية - نقدي"/>
        <s v="مؤسسة تلال العزيزية التجارية - نقدي"/>
        <s v="شركة نورسين التجارية - نقدي"/>
        <s v="مؤسسة انارة و اكثر للتجارة  - نقدي"/>
        <s v="مؤسسة الإتجاه الحديث التجارية"/>
        <s v="شركة ايما الذكية التجارية - نقدى"/>
        <s v="شركة مسار التعمير التجارية شركة شخص واحد - نقدى"/>
        <s v="مؤسسة روائع التوريد لمواد البناء - نقدي"/>
        <s v="شركة الاضاءة المتقدمة للكهرباء شركة شخص واحد"/>
        <s v="شركة دوحة الانارة التجارية (ش الملك عبدالعزيز ) - نقدي"/>
        <s v="مؤسسة المساكن الذكية للتشغيل و الصيانة - نقدى"/>
        <s v="مؤسسة الساحل الشرقي لمواد البناء  - نقدي"/>
        <s v="محل نهر الانارة للتجارة - نقدي"/>
        <s v="عميل بضمان المندوب CS05"/>
        <s v="مؤسسة منصور ابراهيم الحلال التجارية -نقدي"/>
        <s v="شركة مدي الشرقية للتطوير العقاري-نقدي"/>
        <s v="مؤسسة مزيال التجارية-نقدي"/>
        <s v="بنشر ركن الصدارة لخدمات السيارات-نقدي"/>
        <s v="مؤسسة القوة التعاونية"/>
        <s v="مؤسسة نماء الابداع التجارية -نقدي"/>
        <s v="شركة رضاكم المتحدة للتجارة - نقدي"/>
        <s v="مؤسسة البيت المتكامل التجارية -نقدي"/>
        <s v="شركة عبدالله سليمان الشارخ للتجارة والمقاولات-نقدي"/>
        <s v="مؤسسة تفاصيل الاضاءة للتجارة -نقدي"/>
        <s v="مؤسسة مشكاة الشرقية - نقدي"/>
        <s v="مؤسسة الاتجاهات الشرقية للتجارة- نقدي"/>
        <s v="مؤسسة نقطة الانارة التجارية  - نقدي"/>
        <s v="شركة الخبير العربي التجارية  - نقدي"/>
        <s v="مؤسسة رمز الاداء للتجارة- نقدي"/>
        <s v="مؤسسة روبي البداية لمواد البناء - نقدي"/>
        <s v="شركة دائرة الشرق للتجارة -جدة"/>
        <s v="مؤسسة اضاءة الارياف التجارية - نقدي"/>
        <s v="شركة الاطوار المتعددة للتجارة - نقدي"/>
        <s v="شركة المكتب الفني للاعمال الدولية - نقدي"/>
        <s v="مؤسسة طارق خليل التجارية - نقدي"/>
        <s v="مؤسسة انوار الياسمين التجارية- نقدي"/>
        <s v="مؤسسة المناخ للتجارة - نقدي"/>
        <s v="مؤسسة مريم سالم عمر الخنبشي التجارية  - نقدي"/>
        <s v="مؤسسة عبدالله علي سالم باجبع للادوات الكهربائية   - نقدي"/>
        <s v="مؤسسة الكورنيش المميز للتجارة - نقدي"/>
        <s v="مؤسسة المسامير المميزة الفاخرة للتجارة  - نقدي"/>
        <s v="مؤسسة إنارة النجم التجارية - نقدي"/>
        <s v="مؤسسة شروق الانارة للتجارة  - نقدي"/>
        <s v="مؤسسة ريسون التجارية -نقدي"/>
        <s v="مؤسسة بندر خالد عبدالله بن رباع للتجارة - نقدي"/>
        <s v="محل ذوق الانارة للتجارة - نقدي"/>
        <s v="شركة نخبة الشرق التجارية-نقدي"/>
        <s v="شركة القمة المضيئة التجارية-نقدي"/>
        <s v="شركة روعة الانارة للادوات الكهربائية -نقدي"/>
        <s v="شركة جوهرة جدة للانارة و الكهرباء - نقدي"/>
        <s v="فرع مؤسسة علي احمد عبدالله يحي (الانارة الذهبية)  - نقدي"/>
        <s v="شركة رواد الاضاءة الحديثة للكهرباء -نقدي"/>
        <s v="فرع مؤسسة علي احمد غروي التجارية"/>
        <s v="شركة المهندسون العرب الدولية للخدمات الصناعة والكهربائية"/>
        <s v="مؤسسة زود المتكاملة"/>
        <s v="مؤسسة خالد عمر عبيد باوزير للتجارة -نقدي"/>
        <s v="مؤسسة اضاءة الخليج للتجارة - نقدي"/>
        <s v="مؤسسة المؤيد الجديد للتجارة -نقدي"/>
        <s v="مؤسسة الكابلات الحديثة للإنارة"/>
        <s v="شركة ساك الخليجية للتجارة"/>
        <s v="مؤسسة الاداء المحترف التجارية"/>
        <s v="مؤسسة هشام زين احمد صالح التجارية-نقدي"/>
        <s v="مؤسسة ثامر عبدالله محمد الغامدي التجارية - نقدي"/>
        <s v="مؤسسة اعالي الابداع للتجارة - نقدي"/>
        <s v="شركة عاصمة الكهرباء للتجارة"/>
        <s v="شركة نقطة جسر الخليج التجارية"/>
        <s v="مؤسسة لمسة القصورالتجارية - نقدي"/>
        <s v="مؤسسة القصور المضيئة التجارية-نقدي"/>
        <s v="مؤسسة توهج الاضاءة التجارية - نقدي"/>
        <s v="شركة القناعة الحديثة التجارية -نقدي"/>
        <s v="مؤسسة ميسان العربية للتجارة - نقدي"/>
        <s v="مؤسسة روافد الطاقة التجارية - نقدي"/>
        <s v="عميل بضمان المندوب CS06"/>
        <s v="مؤسسة الراقية انارة التجارية-نقدي"/>
        <s v="مؤسسة مخازن الطاقة للتجارة - نقدي"/>
        <s v="مؤسسة ديار القمة التجارية-نقدي"/>
        <s v="مؤسسة تقنية الانارة الحديثة التجارية-نقدي"/>
        <s v="مؤسسة شروق للإنارة التجارية - نقدي"/>
        <s v="مؤسسةخالد قويدر الحسن عبدالحق للتجلرة-نقدي"/>
        <s v="مؤسسة مها بنت جعفر ابن كرامة العامري   - نقدي"/>
        <s v="مؤسسة سليماء علي سعدالقرني-نقدي"/>
        <s v="مؤسسةمشاري الحسين الشريف التجارية-نقدي"/>
        <s v="مؤسسةحسن عبدالله محسن العطاس للتجارة-نقدي"/>
        <s v="مؤسسة ريفان لتنظيم المعارض والمؤتمرات-نقدي"/>
        <s v="مؤسسة انارة لوما التجارية-نقدي"/>
        <s v="مؤسسة جسر الكهرباء التجارية -نقدي"/>
        <s v="مؤسسة ابيات المميزة للتجارة - نقدي"/>
        <s v="شركة منارة الشاهين للتجارة -نقدي"/>
        <s v="مؤسسة سليمان عطاالله اللقماني الحربي التجاري-نقدي"/>
        <s v="مؤسسة التقنية العملاقة التجارية - نقدي"/>
        <s v="مؤسسة لمعة البرق للتجارة - نقدي"/>
        <s v="شركة معارض السلام العالمية للكهرباء المحدودة -نقدي"/>
        <s v="مؤسسة رضى على محمد حسن التجارية - نقدى"/>
        <s v="محل خالد مسلم المهرى للتجارة - نقدى"/>
        <s v="مؤسسة اعماق الانارة للتجارة - نقدي"/>
        <s v="مؤسسة محمد عبد اللطيف بن دخيل الله الحربي التجارية"/>
        <s v="مؤسسة الابراج الحديديه لمواد البناء - نقدي"/>
        <s v="فندق السدرة العالية الذهبي للايواء السياحي- نقدي"/>
        <s v="مؤسسة حمزة سعدالله مر غلانى التجارية"/>
        <s v="محل اضواء الإنارة للادوات الكهربائية"/>
        <s v="مؤسسة اضواء الفال التجارية"/>
        <s v="محل سما الكهرباء للتجارة -نقدى"/>
        <s v="مؤسسة إضاءات طيبة للكهرباء"/>
        <s v="شركة برج الإنارة التجارية"/>
        <s v="مؤسسة اضواء الشرق للتجارة-نقدي"/>
        <s v="مؤسسة اضواء الرائد التجارية - نقدى"/>
        <s v="عميل بضمان المندوب -CS08"/>
        <s v="التوريد الفوري فرع المرسلات"/>
        <s v="التوريد الفوري فرع النرجس"/>
        <s v="مؤسسة اول اعمار للتجارة/الروضة"/>
        <s v="شركة ركن الدائرة للتجارة"/>
        <s v="شركة الفياض للإنارة والكهرباء"/>
        <s v="شركة الفياض للإنارة والكهرباء-الملز"/>
        <s v="شركة الفياض للإنارة والكهرباء-التخصصي"/>
        <s v="مؤسسة الاضاءة السريعة/ المرسلات"/>
        <s v="شركة علي خلف العنزي وشركاه - فرع النظيم"/>
        <s v="شركة الوصلة العربية للتجارة - الروضة"/>
        <s v="شركة دائرة الشرق للتجارة"/>
        <s v="شركة لومي الكهربائية للتجارة"/>
        <s v="مؤسسة الاحتراف العربي للتجارة"/>
        <s v="فرع مؤسسة اركان الشروق للتجارة"/>
        <s v="مؤسسة أبشربي للتجارة"/>
        <s v="شركة الاصول الاستثمارية - نقدى"/>
        <s v="مؤسسة عبدالله بن براهيم بن جربوع للتجارة"/>
        <s v="مؤسسة رؤية المسكن للتجارة"/>
        <s v="شركة ركن العزائم للتجارة - نقدى"/>
        <s v="شركة اضافة البصمة التجارية"/>
        <s v="شركة مصدر الاضاءة للتجارة - الغرابي"/>
        <s v="شركة نوافذ الحضارة للتجارة"/>
        <s v="شركة قصر الثريا للادوات الكهربائية"/>
        <s v="مؤسسة الاتقان للتجارة -نقدي"/>
        <s v="مؤسسة انماء الانارة للتجارة - نقدي"/>
        <s v="مؤسسة حياة الانارة التجارية - نقدي"/>
        <s v="شركة استحقاق العرب للتجارة"/>
        <s v="عميل بضمان المندوب -CS09"/>
        <s v="شركة المنازل المضيئة للتجارة"/>
        <s v="شركة علي المديني العنزي للتجارة-نقدي"/>
        <s v="شركة أنوار ناسا التجارية فرع الروضة-نقدي"/>
        <s v="مؤسسة اللمس التجارية - نقدي"/>
        <s v="مؤسسة فنون الصخر التجارية-نقدي"/>
        <s v="مؤسسة فينا للادوات الصحية - نقدي"/>
        <s v="مؤسسة اثير الرياض للتجارة - نقدي"/>
        <s v="مؤسسة سعيد حمد النهدي للتجارة - نقدي"/>
        <s v="مؤسسة اضواء الشبكة للتجارة-نقدي"/>
        <s v="شركة دائرة البيان للتجارة -نقدي"/>
        <s v="شركة الاصول الاستثمارية  - نقدي  مكرر لايستخدم"/>
        <s v="عميل بضمان المندوب CS02"/>
        <s v="مؤسسة رواد المكان التجارية"/>
        <s v="مؤسسة ابراهيم سعيد المدعث التجارية- نقدي"/>
        <s v="مؤسسة عبد الله سالم باعبيد للتجارة"/>
        <s v="مؤسسة محمد ناصر السيد للتجارة-جنوب"/>
        <s v="مؤسسة شعلان محمد شعلان القرنى للتجارة"/>
        <s v="مؤسسة علي مهدي ال ذيبان التجارية"/>
        <s v="شركة انارة نجف التجارية - نقدى"/>
        <s v="شركة لمسات الاضاءة التجارية - نقدى"/>
        <s v="مؤسسة انوار محمد ال عطشان التجارية"/>
        <s v="شركة انارة العميد للتجارة - نقدى"/>
        <s v="شركة ركن الشرق الاوسط للمقاولات -نقدي"/>
        <s v="شركة جملة الدرب الحديث التجارية"/>
        <s v="مؤسسة حمود محمد احمد عواجى للتجارة"/>
        <s v="شركة محفوظ المميز الرئيسي للتجارة"/>
        <s v="مؤسسة حصن الاعمار للتجارة - نقدى"/>
        <s v="مؤسسة الدقة العمرانية لمواد البناء"/>
        <s v="شركة تخصص الاعمار للتجارة"/>
        <s v="مؤسسة سعيد محمد حنبوط القحطانى لمواد البناء - نقدى"/>
        <s v="مؤسسة محمد سالم بن سعد المهري للتجارة - نقدى"/>
        <s v="مؤسسة اجيال العود التجارية - نقدى"/>
        <s v="مؤسسة ركن وضوح البيان للأدوات الكهربائية - نقدى"/>
        <s v="شركة ضوء الأندلس التجارية - نقدي"/>
        <s v="شركة التوريد الفوري فرع الجيزان"/>
        <s v="شركة اركان الموسى للتجارة - نقدى"/>
        <s v="مؤسسة التسهيلات الحديثة التجارية - نقدى"/>
        <s v="محل نجم الكهرباء لمواد البناء - نقدى"/>
        <s v="مؤسسة عبدالعزيز يوسف بن عبده حزام للتجارة"/>
        <s v="مؤسسة قيمنا التجارية- نقدي"/>
        <s v="عميل بضمان المندوب -CS13"/>
        <s v="CS14 - عمبل بضمان المندوب"/>
        <s v="مؤسسة جمعة حسين ابوالحسن التجارية-نقدي"/>
        <s v="مؤسسة عمار عبدالظاهر للتجارة  - نقدي"/>
        <s v="مؤسسة اثير الجزيره للمقاولات العامة-نقدي"/>
        <s v="مؤسسة سعدية سعيد معروف للتجارة - نقدي"/>
        <s v="مؤسسة احمد مرضي صويلح الزهراني"/>
        <s v="مؤسسة بن سليمان التجارية"/>
        <s v="مؤسسة حمادي معلا المحمادي للتجارة- نقدي"/>
        <s v="مؤسسة الباسل للقرطاسية -نقدي"/>
        <s v="فرع مؤسسة اساليب الحلول"/>
        <s v="مؤسسة درع الطاقة التجارية - نقدى"/>
        <s v="مؤسسة التخصصية الاولي التجارية - نقدي"/>
        <s v="مؤسسة احمد محمد احمد الهندي لمواد البناء"/>
        <s v="مؤسسة محمد على عبده الفقيه للتجارة - نقدى"/>
        <s v="مؤسسة نجاة سعيد احمد العمودي التجارية"/>
        <s v="شركة محمد عبدالرحمن فرحات للمقاولات -نقدي"/>
        <s v="شركة المبارك للتجارة-فرع خليص- نقدي"/>
        <s v="مؤسسة سعد جمعان حامد الحربى للتجارة - نقدى"/>
        <s v="مؤسسةعبدالرحمن بن عطيه بن رازن الصحفي للتجارة"/>
        <s v="شركة مركز الجملة الجنوبية التجارية"/>
        <s v="مؤسسة هناء زين محمد علي التجارية"/>
        <s v="شركة المستورة الحديثة التجارية"/>
        <s v="مؤسسة البنيان المتكامل الماسية لمواد البناء - نقدي"/>
        <s v="عميل بضمان المندوب LB07"/>
        <s v="عميل بضمان المندوب LB08"/>
        <s v="عميل بضمان المندوب -LB09"/>
        <s v="عميل بضمان المشرف"/>
        <s v="مؤسسة زهراء علي احمد القاضي التجارية - نقدي"/>
        <s v="شركة شيخ الانارة للتجارة و المقاولات- فرع طويق"/>
        <s v="مؤسسة رقي الاعمار للتجارة - نقدى"/>
        <s v="مؤسسة منصة الانوار للتجارة - نقدي"/>
        <s v="مؤسسة ماسة سمحة التجارية -نقدي"/>
        <s v="مؤسسة سهم الدر التجارية - نقدي"/>
        <s v="محل تصميم الكهف للتجارة - نقدى"/>
        <s v="مؤسسة موسي الصفار التجارية - نقدي"/>
        <s v="مؤسسة سليمان بن عبدالله بن عبدالعزيز البهيجي للادوات الصحية -نقدي"/>
        <s v="شركة مصدر الاضاءة للتجارة - الصحافة"/>
        <s v="مؤسسة اتقان الانمائية التجارية"/>
        <s v="مؤسسة الليالي المضيئة للأجهزة المنزلية - نقدي" u="1"/>
        <s v="شركة مصدر الاضاءة للتجارة" u="1"/>
        <e v="#N/A" u="1"/>
        <m u="1"/>
        <s v="الرشدان للتجارة والمقاولات" u="1"/>
        <s v="مؤسسة محمد حمد عبدالله الثويني - نقدا" u="1"/>
        <s v="مؤسسة ذهول الانارة للادوات الكهربائية" u="1"/>
        <s v="محل النخبة - الذيبية" u="1"/>
        <s v="مؤسسة الحسيني  - عنيزة" u="1"/>
        <s v="مؤسسة المبارك حائل" u="1"/>
        <s v="مؤسسة شموع الاضاءة التجارية نقدا" u="1"/>
        <s v="مؤسسة اثير الرياض للتجارة" u="1"/>
        <s v="محل الهدير للكهرباء والسباكة" u="1"/>
        <s v="مؤسسة المشيقح للكهرباء" u="1"/>
        <s v="شركة الثلاجة العالمية" u="1"/>
        <s v="شركة السيف - ساجر" u="1"/>
        <s v="شركة شيخ الانارة للتجارة و المقاولات" u="1"/>
        <s v="مؤسسة المنهل" u="1"/>
        <s v="محل الغيداني" u="1"/>
        <s v="مؤسسة تناسق الاضواء التجارية" u="1"/>
        <s v="محل العنقي" u="1"/>
        <s v="مؤسسة اضواء وطن التجارية" u="1"/>
        <s v="مؤسسة فاضل بن حبيب محمد فندم التجارية  - نقدي" u="1"/>
        <s v="مؤسسة نجم السهيل للمقاولات - نقدي" u="1"/>
        <s v="مؤسسة ابو مشاري للكهرباء عبدالله الغفيلي" u="1"/>
        <s v="محل ابو عبدالله الحفر" u="1"/>
        <s v="مؤسسة حسن عبدالله المهناء للتجارة" u="1"/>
        <s v="مؤسسة اول اعمار للتجارة/الروضة)" u="1"/>
        <s v="مؤسسة مصباح الجودة" u="1"/>
        <s v="محل الاستاذ للكهرباء والسباكة" u="1"/>
        <s v="مؤسسة بناء البدائع" u="1"/>
        <s v="محل القرية العليا للسباكة والكهرباء" u="1"/>
        <s v="محل جود المملكة" u="1"/>
        <s v="محل سما الكهرباء للتجارة" u="1"/>
        <s v="مؤسسة محمد عبدالرحمن علوي السقاف التجارية - نقدي" u="1"/>
        <s v="مؤسسة تاج الفارس" u="1"/>
        <s v="مؤسسة قصر الثريا للادوات الكهربائية نقدي" u="1"/>
        <s v="شركة روافد الكهرباء للتجارة - نقدى" u="1"/>
        <s v="محل الملزمة نقدا" u="1"/>
        <s v="مؤسسة انوار العاصمة للتجارة  -نقدي" u="1"/>
        <s v="مؤسسة حمد عبدالكريم البدر" u="1"/>
        <s v="مؤسسة عبدالرحمن الحربي- رياض الخبراء" u="1"/>
        <s v="محل النور للسباكة والكهرباء" u="1"/>
        <s v="محل شرق الستين" u="1"/>
        <s v="مؤسسة حبر الشرقية التجارية" u="1"/>
        <s v="مؤسسة ركن الدائرة للتجارة" u="1"/>
        <s v="معرض باهمام التجارية - نقدي" u="1"/>
        <s v="فرع مؤسسة بندر خالد عبدالله رباع للانارة- نقدي" u="1"/>
        <s v="شركة مركز الجملة الجنوبية التجارية " u="1"/>
        <s v="شركة أعمال المرسلات التجارية-نقدي" u="1"/>
        <s v="شركة علي خلف العنزي وشركاه - نقدي" u="1"/>
        <s v="شركة توكيلات النجمة للكهرباء والانارة" u="1"/>
        <s v="محل ابو خالد المطيري" u="1"/>
        <s v="جولدن توليب القصيم -اتقان الضيافة" u="1"/>
        <s v="مؤسسة مسار التعمير التجارية  - نقدي" u="1"/>
        <s v="فندق السدرة العالية الذهبي للايواء السياحي" u="1"/>
        <s v="مؤسسة علي احمد عبدالله للادوات الكهربائية" u="1"/>
        <s v="مؤسسة طيبة للكهرباء" u="1"/>
        <s v="محل العلي" u="1"/>
        <s v="محل ابو عمر" u="1"/>
        <s v="مستشفى الدكتورر محمد نور خان" u="1"/>
        <s v="مؤسسة المبارك للتجارة- نقدي" u="1"/>
        <s v="شركة استحقاق العرب للتجارة - اجل" u="1"/>
        <s v="مؤسسة روافد الكهرباء للتجارة" u="1"/>
        <s v="صالة فلاح الشمري الرياضية" u="1"/>
        <s v="مؤسسة الجربوع للكهرباء والسباكة" u="1"/>
        <s v="مؤسسة عبدالعزيز حسن المقبل للتجارة - المذنب" u="1"/>
        <s v="شركة الاصول الاستثمارية  - نقدي" u="1"/>
        <s v="شركة لؤلؤه الاقتصاد للتجارة شركة شخص واحد  -نقدي" u="1"/>
        <s v="مؤسسة عبدالرحمن الهاجري / الخافجي" u="1"/>
        <s v="مؤسسة نورسين التجارية-نقدي" u="1"/>
        <s v="بسام عبدالعزيز عبدالله الغفيلي- الرس" u="1"/>
        <s v="مؤسسة الكريديس للكهرباء" u="1"/>
        <s v="شركة ابداع المعاجم للادوات الصحية" u="1"/>
        <s v="التويجري للمستلزمات الرجالية -حفر الباطن" u="1"/>
        <s v="مؤسسةريفان لتنظيم المعارض والمؤتمرات-نقدي" u="1"/>
        <s v="مؤسسة انوار الملكة التجارية - مغلق" u="1"/>
        <s v="مؤسسة سعدية سعيد معروف للتجارة نقدي" u="1"/>
        <s v="محل الدوار" u="1"/>
        <s v="مؤسسة البشر" u="1"/>
        <s v="محل ابوحازم - الاسياح" u="1"/>
        <s v="مؤسسة تطبيق الانارةللتجارة-نقدي" u="1"/>
        <s v="مؤسسة درة الخشرم" u="1"/>
      </sharedItems>
    </cacheField>
    <cacheField name="نوع العميل" numFmtId="0">
      <sharedItems/>
    </cacheField>
    <cacheField name="اسم المالك" numFmtId="0">
      <sharedItems containsBlank="1"/>
    </cacheField>
    <cacheField name="الكيان القانونى" numFmtId="0">
      <sharedItems containsBlank="1"/>
    </cacheField>
    <cacheField name="طلب فتح حساب مصدق" numFmtId="0">
      <sharedItems containsBlank="1" count="6">
        <s v="موجود"/>
        <s v="غير موجود"/>
        <s v="غير مصدق"/>
        <m/>
        <s v="مستثنى"/>
        <s v="موجود " u="1"/>
      </sharedItems>
    </cacheField>
    <cacheField name="حالة طلب فتح الحساب" numFmtId="0">
      <sharedItems/>
    </cacheField>
    <cacheField name="السجل التجارى" numFmtId="0">
      <sharedItems containsBlank="1" count="3">
        <s v="موجود"/>
        <s v="غير موجود"/>
        <m/>
      </sharedItems>
    </cacheField>
    <cacheField name="تاريخ انتهاء السجل التجارى" numFmtId="0">
      <sharedItems containsNonDate="0" containsDate="1" containsString="0" containsBlank="1" minDate="2018-07-30T00:00:00" maxDate="2028-05-06T00:00:00"/>
    </cacheField>
    <cacheField name="مطابقة اسم العميل بالاسم بالسجل التجارى" numFmtId="0">
      <sharedItems containsBlank="1"/>
    </cacheField>
    <cacheField name="حالة السجل التجارى" numFmtId="0">
      <sharedItems count="2">
        <s v="يجب اعادة طلبه"/>
        <s v="سارى"/>
      </sharedItems>
    </cacheField>
    <cacheField name="البطاقة الضريبية" numFmtId="0">
      <sharedItems containsBlank="1" count="3">
        <s v="غير موجود"/>
        <s v="موجود"/>
        <m/>
      </sharedItems>
    </cacheField>
    <cacheField name="معرف الضريبة الحكومية" numFmtId="1">
      <sharedItems containsMixedTypes="1" containsNumber="1" containsInteger="1" minValue="0" maxValue="300521457200003"/>
    </cacheField>
    <cacheField name="حالة البطاقة الضريبية" numFmtId="0">
      <sharedItems count="3">
        <s v="يجب اعادة طلبه"/>
        <s v="سارى"/>
        <e v="#N/A" u="1"/>
      </sharedItems>
    </cacheField>
    <cacheField name="رخصة النشاط التجارى" numFmtId="0">
      <sharedItems containsBlank="1" count="3">
        <s v="غير موجود"/>
        <s v="موجود"/>
        <m/>
      </sharedItems>
    </cacheField>
    <cacheField name="تاريخ انتهاء رخصة النشاط التجارى" numFmtId="165">
      <sharedItems containsNonDate="0" containsDate="1" containsString="0" containsBlank="1" minDate="2018-09-28T00:00:00" maxDate="2028-04-19T00:00:00"/>
    </cacheField>
    <cacheField name="حالة رخصة النشاط التجارى" numFmtId="0">
      <sharedItems count="2">
        <s v="يجب اعادة طلبه"/>
        <s v="سارى"/>
      </sharedItems>
    </cacheField>
    <cacheField name="سند الامر" numFmtId="0">
      <sharedItems/>
    </cacheField>
    <cacheField name="قيمة سند الامر او الاستثناء" numFmtId="0">
      <sharedItems containsString="0" containsBlank="1" containsNumber="1" containsInteger="1" minValue="5000" maxValue="600000"/>
    </cacheField>
    <cacheField name="تاريخ انشاء سند الامر او الاستثناء" numFmtId="0">
      <sharedItems containsNonDate="0" containsDate="1" containsString="0" containsBlank="1" minDate="2019-05-21T00:00:00" maxDate="2023-12-14T00:00:00"/>
    </cacheField>
    <cacheField name="تاريخ انتهاء سند الامر او الاستثناء" numFmtId="0">
      <sharedItems containsSemiMixedTypes="0" containsDate="1" containsString="0" containsMixedTypes="1" minDate="1899-12-31T00:00:00" maxDate="2026-12-13T00:00:00"/>
    </cacheField>
    <cacheField name="قيمة سند الامر المضبوطة" numFmtId="0">
      <sharedItems containsSemiMixedTypes="0" containsString="0" containsNumber="1" containsInteger="1" minValue="0" maxValue="480000"/>
    </cacheField>
    <cacheField name="حد الائتمان على SAP" numFmtId="0">
      <sharedItems containsSemiMixedTypes="0" containsString="0" containsNumber="1" containsInteger="1" minValue="0" maxValue="300000"/>
    </cacheField>
    <cacheField name="مطابقة الحد الائتمانى" numFmtId="0">
      <sharedItems/>
    </cacheField>
    <cacheField name="مطابقة رقم السجل التجارى بسند الامر" numFmtId="0">
      <sharedItems containsBlank="1"/>
    </cacheField>
    <cacheField name="حالة سند الامر" numFmtId="0">
      <sharedItems/>
    </cacheField>
    <cacheField name=" صورة عن هوية المالك" numFmtId="0">
      <sharedItems containsBlank="1"/>
    </cacheField>
    <cacheField name="تاريخ انتهاء هوية المالك" numFmtId="0">
      <sharedItems containsDate="1" containsString="0" containsBlank="1" containsMixedTypes="1" minDate="2022-06-16T00:00:00" maxDate="2031-05-24T00:00:00"/>
    </cacheField>
    <cacheField name="حالة هوية المالك" numFmtId="0">
      <sharedItems/>
    </cacheField>
    <cacheField name=" صورة عن هوية الضامن الاحتياطي في السند لأمر" numFmtId="0">
      <sharedItems containsBlank="1"/>
    </cacheField>
    <cacheField name="تاريخ انتهاء صورة عن هوية الضامن الاحتياطي في السند لأمر" numFmtId="0">
      <sharedItems containsDate="1" containsString="0" containsBlank="1" containsMixedTypes="1" minDate="1942-04-09T00:00:00" maxDate="2025-10-23T00:00:00"/>
    </cacheField>
    <cacheField name="حالة  صورة عن هوية الضامن الاحتياطي في السند لأمر" numFmtId="0">
      <sharedItems/>
    </cacheField>
    <cacheField name=" صورة عن هوية الشاهد الاول في السند الامر" numFmtId="0">
      <sharedItems containsBlank="1"/>
    </cacheField>
    <cacheField name=" تاريخ انتهاء هوية الشاهد الاول في السند الامر" numFmtId="0">
      <sharedItems containsNonDate="0" containsDate="1" containsString="0" containsBlank="1" minDate="2022-04-15T00:00:00" maxDate="2022-04-16T00:00:00"/>
    </cacheField>
    <cacheField name=" حالة هوية الشاهد الاول في السند الامر" numFmtId="0">
      <sharedItems/>
    </cacheField>
    <cacheField name=" صورة عن هوية الشاهد الثانى في السند الامر" numFmtId="0">
      <sharedItems containsBlank="1"/>
    </cacheField>
    <cacheField name=" تاريخ انتهاء هوية الشاهد الثانى في السند الامر" numFmtId="0">
      <sharedItems containsNonDate="0" containsDate="1" containsString="0" containsBlank="1" minDate="2020-06-29T00:00:00" maxDate="2027-09-18T00:00:00"/>
    </cacheField>
    <cacheField name=" حالة هوية الشاهد الثانى في السند الامر" numFmtId="0">
      <sharedItems/>
    </cacheField>
    <cacheField name=" صورة عن العنوان الوطني للمؤسسة" numFmtId="0">
      <sharedItems containsBlank="1"/>
    </cacheField>
    <cacheField name="تاريخ انتهاء العنوان الوطنى للمؤسسة" numFmtId="0">
      <sharedItems containsNonDate="0" containsDate="1" containsString="0" containsBlank="1" minDate="2017-01-26T00:00:00" maxDate="2024-01-03T00:00:00"/>
    </cacheField>
    <cacheField name="حالة العنوان الوطنى للمؤسسة" numFmtId="0">
      <sharedItems/>
    </cacheField>
    <cacheField name=" صورة عن العنوان الوطني للضامن الاحتياطي في سند الامر" numFmtId="0">
      <sharedItems containsBlank="1"/>
    </cacheField>
    <cacheField name="تاريخ انتهاء العنوان الوطني للضامن الاحتياطي في سند الامر" numFmtId="0">
      <sharedItems containsNonDate="0" containsString="0" containsBlank="1"/>
    </cacheField>
    <cacheField name="حالة  العنوان الوطني للضامن الاحتياطي في سند الامر" numFmtId="0">
      <sharedItems/>
    </cacheField>
    <cacheField name="تاريخ الإنشاء" numFmtId="14">
      <sharedItems containsSemiMixedTypes="0" containsNonDate="0" containsDate="1" containsString="0" minDate="2019-04-26T00:00:00" maxDate="2023-09-06T00:00:00"/>
    </cacheField>
    <cacheField name="لوكيشن العميل" numFmtId="0">
      <sharedItems containsBlank="1"/>
    </cacheField>
    <cacheField name="الملاحظات" numFmtId="0">
      <sharedItems containsBlank="1"/>
    </cacheField>
    <cacheField name="الفروع" numFmtId="0">
      <sharedItems containsBlank="1"/>
    </cacheField>
    <cacheField name="قيمة سند الامر او الاستثناء لفروع العميل" numFmtId="0">
      <sharedItems containsString="0" containsBlank="1" containsNumber="1" containsInteger="1" minValue="80000" maxValue="2500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0">
  <r>
    <s v="CS01"/>
    <x v="0"/>
    <x v="0"/>
    <s v="آجل"/>
    <s v="فوزية سعد حماد البقعاوى"/>
    <s v="مؤسسة"/>
    <x v="0"/>
    <s v="سارى"/>
    <x v="0"/>
    <d v="2021-10-20T00:00:00"/>
    <s v="غير مطابق"/>
    <x v="0"/>
    <x v="0"/>
    <n v="0"/>
    <x v="0"/>
    <x v="0"/>
    <m/>
    <x v="0"/>
    <s v="موجود"/>
    <n v="50000"/>
    <m/>
    <n v="0"/>
    <n v="40000"/>
    <n v="56000"/>
    <s v="السند اصغ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1-22T00:00:00"/>
    <m/>
    <s v="الاسم غير مطابق للاسم بالسجل التجارى + الحد الائتمانى على SAP متجاوز قيمة سند الامر + العميل ليس لديه رقم ضريبى على SAP"/>
    <s v="فردى"/>
    <m/>
  </r>
  <r>
    <s v="CS01"/>
    <x v="1"/>
    <x v="1"/>
    <s v="آجل"/>
    <s v="احمد محمد حمود الخميس"/>
    <s v="مؤسسة"/>
    <x v="0"/>
    <s v="سارى"/>
    <x v="0"/>
    <d v="2018-07-30T00:00:00"/>
    <s v="غير مطابق"/>
    <x v="0"/>
    <x v="0"/>
    <n v="0"/>
    <x v="0"/>
    <x v="0"/>
    <m/>
    <x v="0"/>
    <s v="موجود"/>
    <n v="20000"/>
    <m/>
    <n v="0"/>
    <n v="16000"/>
    <n v="16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4-26T00:00:00"/>
    <m/>
    <s v="الاسم غير مطابق للاسم بالسجل التجارى"/>
    <s v="فردى"/>
    <m/>
  </r>
  <r>
    <s v="CS01"/>
    <x v="2"/>
    <x v="2"/>
    <s v="آجل"/>
    <m/>
    <s v="ذات مسئولية محدودة"/>
    <x v="0"/>
    <s v="سارى"/>
    <x v="0"/>
    <d v="2021-03-12T00:00:00"/>
    <s v="غير مطابق"/>
    <x v="0"/>
    <x v="0"/>
    <n v="0"/>
    <x v="0"/>
    <x v="0"/>
    <m/>
    <x v="0"/>
    <s v="موجود"/>
    <n v="15000"/>
    <m/>
    <n v="0"/>
    <n v="12000"/>
    <n v="12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1-25T00:00:00"/>
    <m/>
    <s v="الاسم به اختلافات عن الاسم بالسجل التجارى"/>
    <s v="فردى"/>
    <m/>
  </r>
  <r>
    <s v="CS01"/>
    <x v="3"/>
    <x v="3"/>
    <s v="آجل"/>
    <s v="عبدالله صالح جرير الحربى"/>
    <s v="مؤسسة"/>
    <x v="0"/>
    <s v="سارى"/>
    <x v="0"/>
    <d v="2025-07-02T00:00:00"/>
    <s v="مطابق"/>
    <x v="1"/>
    <x v="1"/>
    <s v="300927566200003"/>
    <x v="1"/>
    <x v="1"/>
    <d v="2024-12-15T00:00:00"/>
    <x v="1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5-20T00:00:00"/>
    <m/>
    <s v="الاسم غير مطابق للاسم بالسجل التجارى تم تعديله لانوار المملكة"/>
    <s v="فرع"/>
    <m/>
  </r>
  <r>
    <s v="CS01"/>
    <x v="4"/>
    <x v="4"/>
    <s v="آجل"/>
    <s v="عبدالله ابراهيم عبدالله العقيل"/>
    <s v="مؤسسة"/>
    <x v="0"/>
    <s v="سارى"/>
    <x v="0"/>
    <d v="2020-05-23T00:00:00"/>
    <s v="مطابق"/>
    <x v="0"/>
    <x v="1"/>
    <s v="301231966300003"/>
    <x v="1"/>
    <x v="0"/>
    <m/>
    <x v="0"/>
    <s v="موجود"/>
    <n v="30000"/>
    <d v="2019-08-20T00:00:00"/>
    <d v="2022-08-19T00:00:00"/>
    <n v="24000"/>
    <n v="2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5-04T00:00:00"/>
    <m/>
    <m/>
    <s v="فرع"/>
    <m/>
  </r>
  <r>
    <s v="CS01"/>
    <x v="5"/>
    <x v="5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6-19T00:00:00"/>
    <m/>
    <m/>
    <s v="فردى"/>
    <m/>
  </r>
  <r>
    <s v="CS01"/>
    <x v="6"/>
    <x v="6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7"/>
    <x v="7"/>
    <s v="آجل"/>
    <m/>
    <s v="ذات مسئولية محدودة"/>
    <x v="0"/>
    <s v="سارى"/>
    <x v="0"/>
    <d v="2021-12-30T00:00:00"/>
    <s v="مطابق"/>
    <x v="0"/>
    <x v="0"/>
    <s v="310201528400003"/>
    <x v="0"/>
    <x v="0"/>
    <m/>
    <x v="0"/>
    <s v="موجود"/>
    <n v="200000"/>
    <m/>
    <n v="0"/>
    <n v="160000"/>
    <n v="16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08-17T00:00:00"/>
    <m/>
    <s v="الرقم الضريبي للعميل لا يظهر علي الموقع والعميل لم يزودنا بالبطاقة الضريبية"/>
    <s v="فرع"/>
    <m/>
  </r>
  <r>
    <s v="CS01"/>
    <x v="8"/>
    <x v="8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9"/>
    <x v="9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0"/>
    <x v="10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1"/>
    <x v="11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2"/>
    <x v="12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3"/>
    <x v="13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4"/>
    <x v="14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5-04T00:00:00"/>
    <m/>
    <m/>
    <s v="فردى"/>
    <m/>
  </r>
  <r>
    <s v="CS01"/>
    <x v="15"/>
    <x v="15"/>
    <s v="نقدى"/>
    <s v="احمدعلى حجاج الثنيان"/>
    <s v="مؤسسة"/>
    <x v="0"/>
    <s v="سارى"/>
    <x v="0"/>
    <d v="2022-05-27T00:00:00"/>
    <s v="مطابق"/>
    <x v="0"/>
    <x v="0"/>
    <s v="310201528400003"/>
    <x v="0"/>
    <x v="0"/>
    <m/>
    <x v="0"/>
    <s v="موجود"/>
    <n v="100000"/>
    <m/>
    <n v="0"/>
    <n v="80000"/>
    <n v="0"/>
    <s v="السند اكب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s v="الاسم غير مطابق للاسم بالسجل التجاري + العميل لديه سند امر و ليس لديه حد ائتمانى على SAP و غير نشط"/>
    <s v="فرع"/>
    <m/>
  </r>
  <r>
    <s v="CS01"/>
    <x v="16"/>
    <x v="16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7"/>
    <x v="17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8"/>
    <x v="18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9"/>
    <x v="19"/>
    <s v="آجل"/>
    <m/>
    <s v="ذات مسئولية محدودة"/>
    <x v="0"/>
    <s v="سارى"/>
    <x v="0"/>
    <d v="2022-05-12T00:00:00"/>
    <s v="غير مطابق"/>
    <x v="0"/>
    <x v="1"/>
    <s v="310306606400003"/>
    <x v="1"/>
    <x v="0"/>
    <m/>
    <x v="0"/>
    <s v="مستثنى"/>
    <n v="10000"/>
    <m/>
    <n v="0"/>
    <n v="10000"/>
    <n v="10000"/>
    <s v="مطابق"/>
    <m/>
    <s v="سارى"/>
    <s v="موجود"/>
    <d v="2031-12-10T00:00:00"/>
    <s v="سارى"/>
    <s v="غير موجود"/>
    <m/>
    <s v="يجب اعادة طلبه"/>
    <s v="غير موجود"/>
    <m/>
    <s v="يجب اعادة طلبه"/>
    <m/>
    <m/>
    <s v="يجب اعادة طلبه"/>
    <s v="موجود"/>
    <m/>
    <s v="يجب اعادة طلبه"/>
    <s v="غير موجود"/>
    <m/>
    <s v="يجب اعادة طلبه"/>
    <d v="2019-05-04T00:00:00"/>
    <m/>
    <m/>
    <s v="فرع"/>
    <m/>
  </r>
  <r>
    <s v="CS01"/>
    <x v="20"/>
    <x v="20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21"/>
    <x v="21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22"/>
    <x v="22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23"/>
    <x v="23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5-04T00:00:00"/>
    <m/>
    <m/>
    <s v="فردى"/>
    <m/>
  </r>
  <r>
    <s v="CS01"/>
    <x v="24"/>
    <x v="24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25"/>
    <x v="25"/>
    <s v="آجل"/>
    <m/>
    <s v=""/>
    <x v="1"/>
    <s v="يجب اعادة طلبه"/>
    <x v="1"/>
    <m/>
    <m/>
    <x v="0"/>
    <x v="0"/>
    <n v="0"/>
    <x v="0"/>
    <x v="0"/>
    <m/>
    <x v="0"/>
    <s v="موجود"/>
    <n v="50000"/>
    <m/>
    <n v="0"/>
    <n v="40000"/>
    <n v="50000"/>
    <s v="السند اصغر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5-02T00:00:00"/>
    <m/>
    <s v="يوجد سند امر يخص الجوعى بالاضافة ان الحد الائتماني اعلي من القيمة المضبوطة"/>
    <s v="فردى"/>
    <m/>
  </r>
  <r>
    <s v="CS01"/>
    <x v="26"/>
    <x v="26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6-27T00:00:00"/>
    <m/>
    <m/>
    <s v="فردى"/>
    <m/>
  </r>
  <r>
    <s v="CS01"/>
    <x v="27"/>
    <x v="27"/>
    <s v="نقدى"/>
    <m/>
    <s v=""/>
    <x v="1"/>
    <s v="يجب اعادة طلبه"/>
    <x v="1"/>
    <m/>
    <m/>
    <x v="0"/>
    <x v="0"/>
    <n v="0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6-27T00:00:00"/>
    <m/>
    <m/>
    <s v="فردى"/>
    <m/>
  </r>
  <r>
    <s v="CS01"/>
    <x v="28"/>
    <x v="28"/>
    <s v="آجل"/>
    <m/>
    <s v="ذات مسئولية محدودة"/>
    <x v="0"/>
    <s v="سارى"/>
    <x v="0"/>
    <d v="2022-05-12T00:00:00"/>
    <s v="غير مطابق"/>
    <x v="0"/>
    <x v="1"/>
    <s v="310306606400003"/>
    <x v="1"/>
    <x v="0"/>
    <m/>
    <x v="0"/>
    <s v="مستثنى"/>
    <n v="10000"/>
    <m/>
    <n v="0"/>
    <n v="10000"/>
    <n v="1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5-04T00:00:00"/>
    <m/>
    <m/>
    <s v="فرع"/>
    <m/>
  </r>
  <r>
    <s v="CS01"/>
    <x v="29"/>
    <x v="29"/>
    <s v="آجل"/>
    <s v="عبدالحميد حمد عبدالعزيز الخويطر"/>
    <s v="مؤسسة"/>
    <x v="0"/>
    <s v="سارى"/>
    <x v="0"/>
    <d v="2020-04-04T00:00:00"/>
    <s v="مطابق"/>
    <x v="0"/>
    <x v="0"/>
    <s v="310538648800003"/>
    <x v="0"/>
    <x v="0"/>
    <m/>
    <x v="0"/>
    <s v="مستثنى"/>
    <n v="10000"/>
    <m/>
    <n v="0"/>
    <n v="10000"/>
    <n v="1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3-26T00:00:00"/>
    <m/>
    <s v="العميل له حد ائتمانى على SAP بدون سند امر او استثناء"/>
    <s v="فرع"/>
    <m/>
  </r>
  <r>
    <s v="CS01"/>
    <x v="30"/>
    <x v="30"/>
    <s v="آجل"/>
    <m/>
    <s v=""/>
    <x v="0"/>
    <s v="سارى"/>
    <x v="1"/>
    <m/>
    <m/>
    <x v="0"/>
    <x v="0"/>
    <s v=""/>
    <x v="0"/>
    <x v="1"/>
    <d v="2022-01-07T00:00:00"/>
    <x v="0"/>
    <s v="غير موجود"/>
    <m/>
    <m/>
    <n v="0"/>
    <n v="0"/>
    <n v="4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2-13T00:00:00"/>
    <m/>
    <s v="العميل له حد ائتمانى على SAP بدون سند امر او استثناء"/>
    <s v="فردى"/>
    <m/>
  </r>
  <r>
    <s v="CS01"/>
    <x v="31"/>
    <x v="31"/>
    <s v="آجل"/>
    <s v="محمد صالح محمد العبودي"/>
    <s v="مؤسسة"/>
    <x v="0"/>
    <s v="سارى"/>
    <x v="0"/>
    <d v="2019-07-16T00:00:00"/>
    <s v="غير مطابق"/>
    <x v="0"/>
    <x v="0"/>
    <s v="300063564200003"/>
    <x v="0"/>
    <x v="0"/>
    <m/>
    <x v="0"/>
    <s v="موجود"/>
    <n v="35000"/>
    <m/>
    <n v="0"/>
    <n v="28000"/>
    <n v="28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5-04T00:00:00"/>
    <m/>
    <s v="الاسم غير مطابق للاسم بالسجل التجارى"/>
    <s v="فردى"/>
    <m/>
  </r>
  <r>
    <s v="CS01"/>
    <x v="32"/>
    <x v="32"/>
    <s v="آجل"/>
    <m/>
    <s v=""/>
    <x v="0"/>
    <s v="سارى"/>
    <x v="1"/>
    <m/>
    <m/>
    <x v="0"/>
    <x v="0"/>
    <s v="300425967400003"/>
    <x v="0"/>
    <x v="0"/>
    <m/>
    <x v="0"/>
    <s v="موجود"/>
    <n v="20000"/>
    <m/>
    <n v="0"/>
    <n v="16000"/>
    <n v="16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3-01T00:00:00"/>
    <m/>
    <m/>
    <s v="فردى"/>
    <m/>
  </r>
  <r>
    <s v="CS01"/>
    <x v="33"/>
    <x v="33"/>
    <s v="آجل"/>
    <m/>
    <s v="ذات مسئولية محدودة"/>
    <x v="0"/>
    <s v="سارى"/>
    <x v="0"/>
    <d v="2024-01-23T00:00:00"/>
    <s v="مطابق"/>
    <x v="1"/>
    <x v="0"/>
    <s v="300426503100003"/>
    <x v="0"/>
    <x v="0"/>
    <m/>
    <x v="0"/>
    <s v="موجود"/>
    <n v="50000"/>
    <d v="2020-09-13T00:00:00"/>
    <d v="2023-09-13T00:00:0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9-14T00:00:00"/>
    <m/>
    <m/>
    <s v="فردى"/>
    <m/>
  </r>
  <r>
    <s v="CS01"/>
    <x v="34"/>
    <x v="34"/>
    <s v="آجل"/>
    <m/>
    <s v="توصية بسيطة"/>
    <x v="1"/>
    <s v="يجب اعادة طلبه"/>
    <x v="0"/>
    <d v="2023-02-02T00:00:00"/>
    <s v="مطابق"/>
    <x v="0"/>
    <x v="1"/>
    <s v="311221420300003"/>
    <x v="1"/>
    <x v="1"/>
    <d v="2025-08-16T00:00:00"/>
    <x v="1"/>
    <s v="مستثنى"/>
    <n v="50000"/>
    <d v="2019-10-09T00:00:00"/>
    <d v="2022-10-08T00:00:0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0-09T00:00:00"/>
    <m/>
    <s v="تم تحديث كيان المؤسسة الي شركة"/>
    <s v="فردى"/>
    <m/>
  </r>
  <r>
    <s v="CS01"/>
    <x v="35"/>
    <x v="35"/>
    <s v="آجل"/>
    <s v="محمد عبدالله صالح الصقعوب"/>
    <s v="مؤسسة"/>
    <x v="0"/>
    <s v="سارى"/>
    <x v="0"/>
    <d v="2020-01-09T00:00:00"/>
    <s v="مطابق"/>
    <x v="0"/>
    <x v="0"/>
    <s v="300451104700003"/>
    <x v="0"/>
    <x v="0"/>
    <m/>
    <x v="0"/>
    <s v="غير موجود"/>
    <m/>
    <m/>
    <n v="0"/>
    <n v="0"/>
    <n v="10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1-13T00:00:00"/>
    <m/>
    <s v="العميل له حد ائتمانى على SAP بدون سند امر او استثناء"/>
    <s v="فردى"/>
    <m/>
  </r>
  <r>
    <s v="CS01"/>
    <x v="36"/>
    <x v="36"/>
    <s v="آجل"/>
    <m/>
    <s v="مساهمة مقفلة"/>
    <x v="0"/>
    <s v="سارى"/>
    <x v="0"/>
    <d v="2022-12-24T00:00:00"/>
    <s v="مطابق"/>
    <x v="0"/>
    <x v="1"/>
    <s v="300500233800003"/>
    <x v="1"/>
    <x v="0"/>
    <m/>
    <x v="0"/>
    <s v="مستثنى"/>
    <n v="100000"/>
    <d v="2019-08-24T00:00:00"/>
    <d v="2022-08-23T00:00:00"/>
    <n v="100000"/>
    <n v="10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5-04T00:00:00"/>
    <m/>
    <m/>
    <s v="فردى"/>
    <m/>
  </r>
  <r>
    <s v="CS01"/>
    <x v="37"/>
    <x v="37"/>
    <s v="آجل"/>
    <m/>
    <s v=""/>
    <x v="0"/>
    <s v="سارى"/>
    <x v="1"/>
    <m/>
    <m/>
    <x v="0"/>
    <x v="1"/>
    <s v="300537789500003"/>
    <x v="1"/>
    <x v="0"/>
    <m/>
    <x v="0"/>
    <s v="غير موجود"/>
    <m/>
    <m/>
    <n v="0"/>
    <n v="0"/>
    <n v="3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0-09T00:00:00"/>
    <m/>
    <s v="العميل له حد ائتمانى على SAP بدون سند امر او استثناء"/>
    <s v="فردى"/>
    <m/>
  </r>
  <r>
    <s v="CS01"/>
    <x v="38"/>
    <x v="38"/>
    <s v="نقدى"/>
    <s v="محمد عثمان محمد المزيرعى"/>
    <s v="مؤسسة"/>
    <x v="0"/>
    <s v="سارى"/>
    <x v="0"/>
    <d v="2025-09-25T00:00:00"/>
    <s v="مطابق"/>
    <x v="1"/>
    <x v="0"/>
    <s v="300550364200003"/>
    <x v="0"/>
    <x v="0"/>
    <m/>
    <x v="0"/>
    <s v="موجود"/>
    <n v="50000"/>
    <m/>
    <n v="0"/>
    <n v="40000"/>
    <n v="0"/>
    <s v="السند اكب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0-06T00:00:00"/>
    <m/>
    <s v="العميل لديه سند امر و ليس له حد ائتمانى على ساب"/>
    <s v="فردى"/>
    <m/>
  </r>
  <r>
    <s v="CS01"/>
    <x v="39"/>
    <x v="39"/>
    <s v="آجل"/>
    <s v="عبدلعزيز بن حسن بن محمد المقبل "/>
    <s v="مؤسسة"/>
    <x v="1"/>
    <s v="يجب اعادة طلبه"/>
    <x v="0"/>
    <d v="2024-12-07T00:00:00"/>
    <s v="مطابق"/>
    <x v="1"/>
    <x v="1"/>
    <s v="300580958400003"/>
    <x v="1"/>
    <x v="1"/>
    <d v="2026-09-26T00:00:00"/>
    <x v="1"/>
    <s v="موجود"/>
    <n v="50000"/>
    <m/>
    <n v="0"/>
    <n v="40000"/>
    <n v="40000"/>
    <s v="مطابق"/>
    <s v="مطابق"/>
    <s v="يجب اعادة طلبه"/>
    <s v="موجود"/>
    <d v="2038-04-03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19-05-04T00:00:00"/>
    <m/>
    <s v="سند الامر مختوم بختم الغرفة التجارية (هل ينوب عن طلب فتح الحساب؟) + سند الامر بدون ضامن احتياطى"/>
    <s v="فردى"/>
    <m/>
  </r>
  <r>
    <s v="CS01"/>
    <x v="40"/>
    <x v="40"/>
    <s v="آجل"/>
    <s v="جبريل بن على بن سلمان غزوالى"/>
    <s v="مؤسسة"/>
    <x v="0"/>
    <s v="سارى"/>
    <x v="0"/>
    <d v="2021-09-29T00:00:00"/>
    <s v="مطابق"/>
    <x v="0"/>
    <x v="0"/>
    <s v="300709279400003"/>
    <x v="0"/>
    <x v="0"/>
    <m/>
    <x v="0"/>
    <s v="مستثنى"/>
    <n v="30000"/>
    <d v="2019-08-24T00:00:00"/>
    <d v="2022-08-23T00:00:00"/>
    <n v="30000"/>
    <n v="3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3-21T00:00:00"/>
    <m/>
    <m/>
    <s v="فردى"/>
    <m/>
  </r>
  <r>
    <s v="CS01"/>
    <x v="41"/>
    <x v="41"/>
    <s v="آجل"/>
    <s v="صالحة يحيى احمد عسيرى"/>
    <s v="مؤسسة"/>
    <x v="0"/>
    <s v="سارى"/>
    <x v="0"/>
    <d v="2021-08-29T00:00:00"/>
    <s v="مطابق"/>
    <x v="0"/>
    <x v="1"/>
    <s v="300757877200003"/>
    <x v="1"/>
    <x v="0"/>
    <m/>
    <x v="0"/>
    <s v="موجود"/>
    <n v="20000"/>
    <m/>
    <n v="0"/>
    <n v="16000"/>
    <n v="16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3-08T00:00:00"/>
    <m/>
    <m/>
    <s v="فردى"/>
    <m/>
  </r>
  <r>
    <s v="CS01"/>
    <x v="42"/>
    <x v="42"/>
    <s v="آجل"/>
    <s v="عمشاء عبدالله الحمد السحيم"/>
    <s v="مؤسسة"/>
    <x v="0"/>
    <s v="سارى"/>
    <x v="0"/>
    <d v="2022-07-03T00:00:00"/>
    <s v="مطابق"/>
    <x v="0"/>
    <x v="0"/>
    <s v="300813308200003"/>
    <x v="0"/>
    <x v="0"/>
    <m/>
    <x v="0"/>
    <s v="موجود"/>
    <n v="10000"/>
    <m/>
    <n v="0"/>
    <n v="8000"/>
    <n v="8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1-21T00:00:00"/>
    <m/>
    <m/>
    <s v="فردى"/>
    <m/>
  </r>
  <r>
    <s v="CS01"/>
    <x v="43"/>
    <x v="43"/>
    <s v="آجل"/>
    <s v="نوره جزاع رجاء الوسيدي"/>
    <s v="مؤسسة"/>
    <x v="0"/>
    <s v="سارى"/>
    <x v="0"/>
    <d v="2020-04-28T00:00:00"/>
    <s v="مطابق"/>
    <x v="0"/>
    <x v="1"/>
    <s v="300816192400003"/>
    <x v="1"/>
    <x v="0"/>
    <m/>
    <x v="0"/>
    <s v="موجود"/>
    <n v="20000"/>
    <m/>
    <n v="0"/>
    <n v="16000"/>
    <n v="18000"/>
    <s v="السند اصغ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1-23T00:00:00"/>
    <m/>
    <s v="الاسم به اختلافات عن الاسم بالسجل التجارى +الحد الائتماني علي ساب ازيد من الحد الصحيح"/>
    <s v="فردى"/>
    <m/>
  </r>
  <r>
    <s v="CS01"/>
    <x v="44"/>
    <x v="44"/>
    <s v="آجل"/>
    <s v="عبدالله ابراهيم عبدالله الشويمان"/>
    <s v="مؤسسة"/>
    <x v="0"/>
    <s v="سارى"/>
    <x v="0"/>
    <d v="2022-07-27T00:00:00"/>
    <s v="مطابق"/>
    <x v="0"/>
    <x v="1"/>
    <s v="300841688700003"/>
    <x v="1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06T00:00:00"/>
    <m/>
    <s v="سند الامر بدون بند الشاهدين والضامن الاحطياطي "/>
    <s v="فردى"/>
    <m/>
  </r>
  <r>
    <s v="CS01"/>
    <x v="45"/>
    <x v="45"/>
    <s v="آجل"/>
    <s v="خالد محمد صالح الخليفى"/>
    <s v="مؤسسة"/>
    <x v="0"/>
    <s v="سارى"/>
    <x v="0"/>
    <d v="2022-01-29T00:00:00"/>
    <s v="مطابق"/>
    <x v="0"/>
    <x v="1"/>
    <s v="300916381500003"/>
    <x v="1"/>
    <x v="0"/>
    <m/>
    <x v="0"/>
    <s v="مستثنى"/>
    <n v="75000"/>
    <d v="2019-08-24T00:00:00"/>
    <d v="2022-08-23T00:00:00"/>
    <n v="75000"/>
    <n v="75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9-14T00:00:00"/>
    <m/>
    <m/>
    <s v="فردى"/>
    <m/>
  </r>
  <r>
    <s v="CS01"/>
    <x v="46"/>
    <x v="46"/>
    <s v="نقدى"/>
    <m/>
    <s v=""/>
    <x v="1"/>
    <s v="يجب اعادة طلبه"/>
    <x v="1"/>
    <m/>
    <m/>
    <x v="0"/>
    <x v="1"/>
    <s v="300927566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6-18T00:00:00"/>
    <m/>
    <m/>
    <s v="فرع"/>
    <m/>
  </r>
  <r>
    <s v="CS01"/>
    <x v="47"/>
    <x v="47"/>
    <s v="آجل"/>
    <m/>
    <s v=""/>
    <x v="0"/>
    <s v="سارى"/>
    <x v="1"/>
    <m/>
    <m/>
    <x v="0"/>
    <x v="0"/>
    <s v="300919886800003"/>
    <x v="0"/>
    <x v="0"/>
    <m/>
    <x v="0"/>
    <s v="موجود"/>
    <n v="15000"/>
    <d v="2019-10-14T00:00:00"/>
    <d v="2022-10-13T00:00:00"/>
    <n v="12000"/>
    <n v="12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48"/>
    <x v="48"/>
    <s v="آجل"/>
    <s v="متعب محمد ناصر الحسينى"/>
    <s v="مؤسسة"/>
    <x v="0"/>
    <s v="سارى"/>
    <x v="0"/>
    <d v="2024-05-19T00:00:00"/>
    <s v="مطابق"/>
    <x v="1"/>
    <x v="1"/>
    <s v="300970392100003"/>
    <x v="1"/>
    <x v="1"/>
    <d v="2024-10-13T00:00:00"/>
    <x v="1"/>
    <s v="موجود"/>
    <n v="200000"/>
    <m/>
    <n v="0"/>
    <n v="160000"/>
    <n v="16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7-24T00:00:00"/>
    <s v="يجب اعادة طلبه"/>
    <s v="غير موجود"/>
    <m/>
    <s v="يجب اعادة طلبه"/>
    <d v="2019-05-04T00:00:00"/>
    <m/>
    <s v="الاسم غير مطابق للاسم بالسجل التجارى"/>
    <s v="فردى"/>
    <m/>
  </r>
  <r>
    <s v="CS01"/>
    <x v="49"/>
    <x v="49"/>
    <s v="نقدى"/>
    <m/>
    <s v=""/>
    <x v="1"/>
    <s v="يجب اعادة طلبه"/>
    <x v="1"/>
    <m/>
    <m/>
    <x v="0"/>
    <x v="1"/>
    <s v="3010411577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ع"/>
    <m/>
  </r>
  <r>
    <s v="CS01"/>
    <x v="50"/>
    <x v="50"/>
    <s v="آجل"/>
    <s v="صالح عبدالله حمد الدليلان"/>
    <s v="مؤسسة"/>
    <x v="0"/>
    <s v="سارى"/>
    <x v="0"/>
    <d v="2021-11-04T00:00:00"/>
    <s v="مطابق"/>
    <x v="0"/>
    <x v="0"/>
    <s v="300979768200003"/>
    <x v="0"/>
    <x v="0"/>
    <m/>
    <x v="0"/>
    <s v="موجود"/>
    <n v="20000"/>
    <d v="2020-12-24T00:00:00"/>
    <d v="2023-12-24T00:00:00"/>
    <n v="16000"/>
    <n v="18000"/>
    <s v="السند اصغ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2-30T00:00:00"/>
    <m/>
    <s v="الحد الائتمانى متجاوز قيمة سند الامر"/>
    <s v="فردى"/>
    <m/>
  </r>
  <r>
    <s v="CS01"/>
    <x v="51"/>
    <x v="51"/>
    <s v="نقدى"/>
    <m/>
    <m/>
    <x v="1"/>
    <s v="يجب اعادة طلبه"/>
    <x v="1"/>
    <m/>
    <m/>
    <x v="0"/>
    <x v="1"/>
    <s v="300986868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3-04T00:00:00"/>
    <m/>
    <s v="تم تغير كيان العميل من شركة الي مؤسسة"/>
    <s v="فردى"/>
    <m/>
  </r>
  <r>
    <s v="CS01"/>
    <x v="52"/>
    <x v="52"/>
    <s v="آجل"/>
    <s v="عبدالله عبدالعزيز عبدالله العبيد"/>
    <s v="مؤسسة"/>
    <x v="0"/>
    <s v="سارى"/>
    <x v="0"/>
    <d v="2021-01-19T00:00:00"/>
    <s v="غير مطابق"/>
    <x v="0"/>
    <x v="0"/>
    <s v="300995077900003"/>
    <x v="0"/>
    <x v="0"/>
    <m/>
    <x v="0"/>
    <s v="موجود"/>
    <n v="80000"/>
    <d v="2019-07-17T00:00:00"/>
    <d v="2022-07-16T00:00:00"/>
    <n v="64000"/>
    <n v="64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7-20T00:00:00"/>
    <m/>
    <s v="الاسم غير مطابق للاسم بالسجل التجاري (الاسم الاول و الثانى معكوسين) رقم السجل التجاري في سند الامر فارغ"/>
    <s v="فردى"/>
    <m/>
  </r>
  <r>
    <s v="CS01"/>
    <x v="53"/>
    <x v="53"/>
    <s v="آجل"/>
    <s v="عبدالرحمن سليمان ناصر الطيار"/>
    <s v="مؤسسة"/>
    <x v="0"/>
    <s v="سارى"/>
    <x v="0"/>
    <d v="2023-04-30T00:00:00"/>
    <s v="مطابق"/>
    <x v="0"/>
    <x v="1"/>
    <s v="301003771500003"/>
    <x v="1"/>
    <x v="0"/>
    <m/>
    <x v="0"/>
    <s v="مستثنى"/>
    <n v="30000"/>
    <d v="2019-08-24T00:00:00"/>
    <d v="2022-08-23T00:00:00"/>
    <n v="30000"/>
    <n v="20000"/>
    <s v="السند اكبر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5-04T00:00:00"/>
    <m/>
    <m/>
    <s v="فردى"/>
    <m/>
  </r>
  <r>
    <s v="CS01"/>
    <x v="54"/>
    <x v="54"/>
    <s v="نقدى"/>
    <m/>
    <s v=""/>
    <x v="1"/>
    <s v="يجب اعادة طلبه"/>
    <x v="1"/>
    <m/>
    <m/>
    <x v="0"/>
    <x v="1"/>
    <s v="3012319663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5-04T00:00:00"/>
    <m/>
    <m/>
    <s v="فرع"/>
    <m/>
  </r>
  <r>
    <s v="CS01"/>
    <x v="55"/>
    <x v="55"/>
    <s v="آجل"/>
    <s v="سعود مشعان مناحى الدخيل"/>
    <s v="مؤسسة"/>
    <x v="0"/>
    <s v="سارى"/>
    <x v="0"/>
    <d v="2025-10-10T00:00:00"/>
    <s v="مطابق"/>
    <x v="1"/>
    <x v="1"/>
    <s v="301009371500003"/>
    <x v="1"/>
    <x v="0"/>
    <m/>
    <x v="0"/>
    <s v="موجود"/>
    <n v="50000"/>
    <m/>
    <n v="0"/>
    <n v="40000"/>
    <n v="40000"/>
    <s v="مطابق"/>
    <s v="مطابق"/>
    <s v="يجب اعادة طلبه"/>
    <s v="موجود"/>
    <d v="2039-04-04T00:00:00"/>
    <s v="سارى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03-17T00:00:00"/>
    <m/>
    <m/>
    <s v="فردى"/>
    <m/>
  </r>
  <r>
    <s v="CS01"/>
    <x v="56"/>
    <x v="56"/>
    <s v="آجل"/>
    <s v="حماد احمد محمد العمرى السفيانى"/>
    <s v="مؤسسة"/>
    <x v="0"/>
    <s v="سارى"/>
    <x v="0"/>
    <d v="2021-03-14T00:00:00"/>
    <s v="مطابق"/>
    <x v="0"/>
    <x v="1"/>
    <s v="301022477500003"/>
    <x v="1"/>
    <x v="0"/>
    <m/>
    <x v="0"/>
    <s v="موجود"/>
    <n v="30000"/>
    <m/>
    <n v="0"/>
    <n v="24000"/>
    <n v="2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1-08T00:00:00"/>
    <m/>
    <m/>
    <s v="فردى"/>
    <m/>
  </r>
  <r>
    <s v="CS01"/>
    <x v="57"/>
    <x v="57"/>
    <s v="آجل"/>
    <m/>
    <s v=""/>
    <x v="0"/>
    <s v="سارى"/>
    <x v="1"/>
    <m/>
    <m/>
    <x v="0"/>
    <x v="0"/>
    <s v="301025573500003"/>
    <x v="0"/>
    <x v="0"/>
    <m/>
    <x v="0"/>
    <s v="موجود"/>
    <n v="50000"/>
    <m/>
    <n v="0"/>
    <n v="40000"/>
    <n v="4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1-18T00:00:00"/>
    <m/>
    <m/>
    <s v="فردى"/>
    <m/>
  </r>
  <r>
    <s v="CS01"/>
    <x v="58"/>
    <x v="58"/>
    <s v="آجل"/>
    <m/>
    <s v=""/>
    <x v="0"/>
    <s v="سارى"/>
    <x v="1"/>
    <m/>
    <m/>
    <x v="0"/>
    <x v="0"/>
    <s v="301029683900003"/>
    <x v="0"/>
    <x v="0"/>
    <m/>
    <x v="0"/>
    <s v="موجود"/>
    <n v="50000"/>
    <m/>
    <n v="0"/>
    <n v="40000"/>
    <n v="4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59"/>
    <x v="59"/>
    <s v="آجل"/>
    <m/>
    <s v=""/>
    <x v="0"/>
    <s v="سارى"/>
    <x v="1"/>
    <m/>
    <m/>
    <x v="0"/>
    <x v="0"/>
    <s v="301065568900003"/>
    <x v="0"/>
    <x v="0"/>
    <m/>
    <x v="0"/>
    <s v="موجود"/>
    <n v="30000"/>
    <m/>
    <n v="0"/>
    <n v="24000"/>
    <n v="24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60"/>
    <x v="60"/>
    <s v="آجل"/>
    <s v="عمر مرزوق شلواح الجياشى الحارثى"/>
    <s v="مؤسسة"/>
    <x v="0"/>
    <s v="سارى"/>
    <x v="0"/>
    <d v="2021-03-23T00:00:00"/>
    <s v="مطابق"/>
    <x v="0"/>
    <x v="0"/>
    <s v="301118976900003"/>
    <x v="0"/>
    <x v="0"/>
    <m/>
    <x v="0"/>
    <s v="مستثنى"/>
    <n v="40000"/>
    <d v="2019-08-24T00:00:00"/>
    <d v="2022-08-23T00:00:00"/>
    <n v="40000"/>
    <n v="4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0-12T00:00:00"/>
    <m/>
    <m/>
    <s v="فردى"/>
    <m/>
  </r>
  <r>
    <s v="CS01"/>
    <x v="61"/>
    <x v="61"/>
    <s v="آجل"/>
    <m/>
    <s v=""/>
    <x v="1"/>
    <s v="يجب اعادة طلبه"/>
    <x v="1"/>
    <m/>
    <m/>
    <x v="0"/>
    <x v="1"/>
    <s v="301119776300003"/>
    <x v="1"/>
    <x v="0"/>
    <m/>
    <x v="0"/>
    <s v="غير موجود"/>
    <m/>
    <m/>
    <n v="0"/>
    <n v="0"/>
    <n v="4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6-01T00:00:00"/>
    <m/>
    <s v="العميل له حد ائتمانى على SAP بدون سند امر او استثناء"/>
    <s v="فردى"/>
    <m/>
  </r>
  <r>
    <s v="CS01"/>
    <x v="62"/>
    <x v="62"/>
    <s v="نقدى"/>
    <m/>
    <s v=""/>
    <x v="1"/>
    <s v="يجب اعادة طلبه"/>
    <x v="1"/>
    <m/>
    <m/>
    <x v="0"/>
    <x v="1"/>
    <s v="3101418791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7-04T00:00:00"/>
    <m/>
    <m/>
    <s v="فرع"/>
    <m/>
  </r>
  <r>
    <s v="CS01"/>
    <x v="63"/>
    <x v="63"/>
    <s v="نقدى"/>
    <m/>
    <s v=""/>
    <x v="1"/>
    <s v="يجب اعادة طلبه"/>
    <x v="1"/>
    <m/>
    <m/>
    <x v="0"/>
    <x v="1"/>
    <s v="3008389029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1-01T00:00:00"/>
    <m/>
    <m/>
    <s v="فردى"/>
    <m/>
  </r>
  <r>
    <s v="CS01"/>
    <x v="64"/>
    <x v="64"/>
    <s v="آجل"/>
    <s v="منيرة عبدالله محمد الخراشى"/>
    <s v="مؤسسة"/>
    <x v="0"/>
    <s v="سارى"/>
    <x v="0"/>
    <d v="2019-07-15T00:00:00"/>
    <s v="غير مطابق"/>
    <x v="0"/>
    <x v="0"/>
    <s v="301129059200003"/>
    <x v="0"/>
    <x v="0"/>
    <m/>
    <x v="0"/>
    <s v="موجود"/>
    <n v="50000"/>
    <d v="2019-06-11T00:00:00"/>
    <d v="2022-06-10T00:00:0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7-10T00:00:00"/>
    <m/>
    <s v="الاسم غير مطابق للاسم فى السجل التجارى"/>
    <s v="فردى"/>
    <m/>
  </r>
  <r>
    <s v="CS01"/>
    <x v="65"/>
    <x v="65"/>
    <s v="آجل"/>
    <s v="احمد بن محمد بن عثمان الربيعه"/>
    <s v="مؤسسة"/>
    <x v="0"/>
    <s v="سارى"/>
    <x v="0"/>
    <d v="2026-05-07T00:00:00"/>
    <s v="مطابق"/>
    <x v="1"/>
    <x v="1"/>
    <s v="301182074900003"/>
    <x v="1"/>
    <x v="0"/>
    <m/>
    <x v="0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6-15T00:00:00"/>
    <m/>
    <m/>
    <s v="فردى"/>
    <m/>
  </r>
  <r>
    <s v="CS01"/>
    <x v="66"/>
    <x v="66"/>
    <s v="آجل"/>
    <m/>
    <s v=""/>
    <x v="0"/>
    <s v="سارى"/>
    <x v="1"/>
    <m/>
    <m/>
    <x v="0"/>
    <x v="0"/>
    <s v="301200964300003"/>
    <x v="0"/>
    <x v="0"/>
    <m/>
    <x v="0"/>
    <s v="غير موجود"/>
    <m/>
    <m/>
    <n v="0"/>
    <n v="0"/>
    <n v="3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2-22T00:00:00"/>
    <m/>
    <s v="العميل له حد ائتمانى على SAP بدون سند امر او استثناء"/>
    <s v="فردى"/>
    <m/>
  </r>
  <r>
    <s v="CS01"/>
    <x v="67"/>
    <x v="67"/>
    <s v="آجل"/>
    <s v="ناصر محمد ناصر الحربى"/>
    <s v="مؤسسة"/>
    <x v="0"/>
    <s v="سارى"/>
    <x v="0"/>
    <d v="2019-01-24T00:00:00"/>
    <s v="مطابق"/>
    <x v="0"/>
    <x v="0"/>
    <s v="301235474900003"/>
    <x v="0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s v="الاسم غير مطابق للاسم بالسجل التجاري"/>
    <s v="فردى"/>
    <m/>
  </r>
  <r>
    <s v="CS01"/>
    <x v="68"/>
    <x v="68"/>
    <s v="نقدى"/>
    <m/>
    <s v=""/>
    <x v="1"/>
    <s v="يجب اعادة طلبه"/>
    <x v="1"/>
    <m/>
    <m/>
    <x v="0"/>
    <x v="1"/>
    <s v="310538648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ع"/>
    <m/>
  </r>
  <r>
    <s v="CS01"/>
    <x v="69"/>
    <x v="69"/>
    <s v="آجل"/>
    <s v="خالد عبدالرحمن عبدالكريم الخطيب"/>
    <s v="مؤسسة"/>
    <x v="0"/>
    <s v="سارى"/>
    <x v="0"/>
    <d v="2023-02-25T00:00:00"/>
    <s v="مطابق"/>
    <x v="0"/>
    <x v="1"/>
    <s v="301251666500003"/>
    <x v="1"/>
    <x v="0"/>
    <m/>
    <x v="0"/>
    <s v="موجود"/>
    <n v="50000"/>
    <d v="2019-07-06T00:00:00"/>
    <d v="2022-07-05T00:00:0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s v="الاسم غير مطابق للاسم بالسجل التجاري"/>
    <s v="فردى"/>
    <m/>
  </r>
  <r>
    <s v="CS01"/>
    <x v="70"/>
    <x v="70"/>
    <s v="آجل"/>
    <s v="عبدالله ابراهيم بن محمد المخيمر"/>
    <s v="مؤسسة"/>
    <x v="0"/>
    <s v="سارى"/>
    <x v="0"/>
    <d v="2020-08-22T00:00:00"/>
    <s v="مطابق"/>
    <x v="0"/>
    <x v="0"/>
    <s v="301305968200003"/>
    <x v="0"/>
    <x v="0"/>
    <m/>
    <x v="0"/>
    <s v="موجود"/>
    <n v="10000"/>
    <m/>
    <n v="0"/>
    <n v="8000"/>
    <n v="10000"/>
    <s v="السند اصغ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12T00:00:00"/>
    <m/>
    <s v="الحد الائتمانى متجاوز قيمة سند الامر"/>
    <s v="فردى"/>
    <m/>
  </r>
  <r>
    <s v="CS01"/>
    <x v="71"/>
    <x v="71"/>
    <s v="آجل"/>
    <s v="عبدالله فهد جريد الضبيب"/>
    <s v="مؤسسة"/>
    <x v="0"/>
    <s v="سارى"/>
    <x v="0"/>
    <d v="2020-12-22T00:00:00"/>
    <s v="مطابق"/>
    <x v="0"/>
    <x v="1"/>
    <s v="301313389600003"/>
    <x v="1"/>
    <x v="0"/>
    <m/>
    <x v="0"/>
    <s v="موجود"/>
    <n v="15000"/>
    <m/>
    <n v="0"/>
    <n v="12000"/>
    <n v="12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1-21T00:00:00"/>
    <m/>
    <m/>
    <s v="فردى"/>
    <m/>
  </r>
  <r>
    <s v="CS01"/>
    <x v="72"/>
    <x v="72"/>
    <s v="آجل"/>
    <s v="سعد محمد ابراهيم العبود"/>
    <s v="مؤسسة"/>
    <x v="0"/>
    <s v="سارى"/>
    <x v="0"/>
    <d v="2019-01-07T00:00:00"/>
    <s v="غير مطابق"/>
    <x v="0"/>
    <x v="0"/>
    <s v="301316959800003"/>
    <x v="0"/>
    <x v="0"/>
    <m/>
    <x v="0"/>
    <s v="موجود"/>
    <n v="30000"/>
    <m/>
    <n v="0"/>
    <n v="24000"/>
    <n v="2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0-27T00:00:00"/>
    <m/>
    <s v="الاسم غير مطابق للاسم بالسجل التجارى (الكيان مكتوب في السجل التجاري مؤسسة لماذا تم تسجيلة محل ؟)"/>
    <s v="فردى"/>
    <m/>
  </r>
  <r>
    <s v="CS01"/>
    <x v="73"/>
    <x v="73"/>
    <s v="آجل"/>
    <m/>
    <s v=""/>
    <x v="0"/>
    <s v="سارى"/>
    <x v="1"/>
    <m/>
    <m/>
    <x v="0"/>
    <x v="0"/>
    <s v="302203820400003"/>
    <x v="0"/>
    <x v="0"/>
    <m/>
    <x v="0"/>
    <s v="موجود"/>
    <n v="50000"/>
    <m/>
    <n v="0"/>
    <n v="40000"/>
    <n v="4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8-21T00:00:00"/>
    <m/>
    <m/>
    <s v="فردى"/>
    <m/>
  </r>
  <r>
    <s v="CS01"/>
    <x v="74"/>
    <x v="74"/>
    <s v="نقدى"/>
    <m/>
    <s v=""/>
    <x v="1"/>
    <s v="يجب اعادة طلبه"/>
    <x v="1"/>
    <m/>
    <m/>
    <x v="0"/>
    <x v="1"/>
    <s v="302206839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3-23T00:00:00"/>
    <m/>
    <m/>
    <s v="فردى"/>
    <m/>
  </r>
  <r>
    <s v="CS01"/>
    <x v="75"/>
    <x v="75"/>
    <s v="آجل"/>
    <s v="محمد حميدى محمد الثنيان"/>
    <s v="مؤسسة"/>
    <x v="0"/>
    <s v="سارى"/>
    <x v="0"/>
    <d v="2020-10-23T00:00:00"/>
    <s v="مطابق"/>
    <x v="0"/>
    <x v="0"/>
    <s v="310001196300003"/>
    <x v="0"/>
    <x v="0"/>
    <m/>
    <x v="0"/>
    <s v="موجود"/>
    <n v="20000"/>
    <m/>
    <n v="0"/>
    <n v="16000"/>
    <n v="18000"/>
    <s v="السند اصغ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3-05T00:00:00"/>
    <m/>
    <s v="الحد الائتمانى متجاوز قيمة سند الامر"/>
    <s v="فردى"/>
    <m/>
  </r>
  <r>
    <s v="CS01"/>
    <x v="76"/>
    <x v="76"/>
    <s v="آجل"/>
    <s v="فراس صالح سعود الحصينى"/>
    <s v="مؤسسة"/>
    <x v="0"/>
    <s v="سارى"/>
    <x v="0"/>
    <d v="2020-05-30T00:00:00"/>
    <s v="مطابق"/>
    <x v="0"/>
    <x v="1"/>
    <s v="310022165200003"/>
    <x v="1"/>
    <x v="0"/>
    <m/>
    <x v="0"/>
    <s v="موجود"/>
    <n v="30000"/>
    <m/>
    <n v="0"/>
    <n v="24000"/>
    <n v="2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1-26T00:00:00"/>
    <m/>
    <m/>
    <s v="فردى"/>
    <m/>
  </r>
  <r>
    <s v="CS01"/>
    <x v="77"/>
    <x v="77"/>
    <s v="آجل"/>
    <s v="ماجد غزاى سعيد الشمرى"/>
    <s v="مؤسسة"/>
    <x v="0"/>
    <s v="سارى"/>
    <x v="0"/>
    <d v="2021-02-25T00:00:00"/>
    <s v="مطابق"/>
    <x v="0"/>
    <x v="0"/>
    <s v="310029730600003"/>
    <x v="0"/>
    <x v="0"/>
    <m/>
    <x v="0"/>
    <s v="موجود"/>
    <m/>
    <m/>
    <n v="0"/>
    <n v="0"/>
    <n v="40000"/>
    <s v="السند غير موجود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2-24T00:00:00"/>
    <m/>
    <s v="الاسم غير مطابق للاسم بالسجل التجارى + العميل لديه حد ائتمانى على SAP و المبلغ غير مكتوب بسند الامر"/>
    <s v="فردى"/>
    <m/>
  </r>
  <r>
    <s v="CS01"/>
    <x v="78"/>
    <x v="78"/>
    <s v="آجل"/>
    <s v="عبدالله سالم عبدالله الضبعان"/>
    <s v="مؤسسة"/>
    <x v="0"/>
    <s v="سارى"/>
    <x v="0"/>
    <d v="2025-04-20T00:00:00"/>
    <s v="مطابق"/>
    <x v="1"/>
    <x v="1"/>
    <s v="310059676600003"/>
    <x v="1"/>
    <x v="1"/>
    <d v="2026-02-02T00:00:00"/>
    <x v="1"/>
    <s v="موجود"/>
    <n v="90000"/>
    <m/>
    <n v="0"/>
    <n v="72000"/>
    <n v="72000"/>
    <s v="مطابق"/>
    <s v="مطابق"/>
    <s v="يجب اعادة طلبه"/>
    <s v="غير موجود"/>
    <d v="2029-01-09T00:00:00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4-01-02T00:00:00"/>
    <s v="سارى"/>
    <s v="غير موجود"/>
    <m/>
    <s v="يجب اعادة طلبه"/>
    <d v="2019-11-23T00:00:00"/>
    <m/>
    <s v="الاسم به اختلافات عن الاسم بالسجل التجارى"/>
    <s v="فردى"/>
    <m/>
  </r>
  <r>
    <s v="CS01"/>
    <x v="79"/>
    <x v="79"/>
    <s v="آجل"/>
    <s v="عبدالحميد حمد عبدالعزيز الخويطر"/>
    <s v="مؤسسة"/>
    <x v="0"/>
    <s v="سارى"/>
    <x v="0"/>
    <d v="2025-09-23T00:00:00"/>
    <s v="مطابق"/>
    <x v="1"/>
    <x v="1"/>
    <s v="310069573600003"/>
    <x v="1"/>
    <x v="1"/>
    <d v="2024-08-06T00:00:00"/>
    <x v="1"/>
    <s v="موجود"/>
    <n v="100000"/>
    <d v="2020-06-11T00:00:00"/>
    <d v="2023-06-11T00:00:0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1-09-25T00:00:00"/>
    <s v="يجب اعادة طلبه"/>
    <s v="غير موجود"/>
    <m/>
    <s v="يجب اعادة طلبه"/>
    <d v="2019-04-26T00:00:00"/>
    <m/>
    <s v="الاسم غير مطابق للاسم بالسجل التجاري"/>
    <s v="فردى"/>
    <m/>
  </r>
  <r>
    <s v="CS01"/>
    <x v="80"/>
    <x v="80"/>
    <s v="آجل"/>
    <m/>
    <s v="ذات مسئولية محدودة"/>
    <x v="2"/>
    <s v="يجب اعادة طلبه"/>
    <x v="0"/>
    <d v="2027-01-16T00:00:00"/>
    <s v="مطابق"/>
    <x v="1"/>
    <x v="1"/>
    <s v="310166127900003"/>
    <x v="1"/>
    <x v="1"/>
    <d v="2026-03-07T00:00:00"/>
    <x v="1"/>
    <s v="مستثنى"/>
    <n v="50000"/>
    <d v="2019-08-24T00:00:00"/>
    <d v="2022-08-23T00:00:0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3-06T00:00:00"/>
    <s v="يجب اعادة طلبه"/>
    <s v="غير موجود"/>
    <m/>
    <s v="يجب اعادة طلبه"/>
    <d v="2019-07-04T00:00:00"/>
    <m/>
    <m/>
    <s v="فردى"/>
    <m/>
  </r>
  <r>
    <s v="CS01"/>
    <x v="81"/>
    <x v="81"/>
    <s v="آجل"/>
    <m/>
    <s v=""/>
    <x v="0"/>
    <s v="سارى"/>
    <x v="1"/>
    <m/>
    <m/>
    <x v="0"/>
    <x v="0"/>
    <s v="310209010200003"/>
    <x v="0"/>
    <x v="0"/>
    <m/>
    <x v="0"/>
    <s v="موجود"/>
    <n v="50000"/>
    <m/>
    <n v="0"/>
    <n v="40000"/>
    <n v="4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82"/>
    <x v="82"/>
    <s v="آجل"/>
    <s v="محمد احمد محمد الخميس"/>
    <s v="مؤسسة"/>
    <x v="0"/>
    <s v="سارى"/>
    <x v="0"/>
    <d v="2019-09-19T00:00:00"/>
    <s v="مطابق"/>
    <x v="0"/>
    <x v="0"/>
    <s v="310239628900003"/>
    <x v="0"/>
    <x v="0"/>
    <m/>
    <x v="0"/>
    <s v="موجود"/>
    <n v="50000"/>
    <m/>
    <n v="0"/>
    <n v="40000"/>
    <n v="25000"/>
    <s v="السند اكب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83"/>
    <x v="83"/>
    <s v="آجل"/>
    <m/>
    <s v=""/>
    <x v="0"/>
    <s v="سارى"/>
    <x v="1"/>
    <m/>
    <m/>
    <x v="0"/>
    <x v="0"/>
    <s v="310248497600003"/>
    <x v="0"/>
    <x v="0"/>
    <m/>
    <x v="0"/>
    <s v="موجود"/>
    <n v="25000"/>
    <d v="2021-03-04T00:00:00"/>
    <d v="2024-03-03T00:00:00"/>
    <n v="20000"/>
    <n v="2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1-30T00:00:00"/>
    <m/>
    <m/>
    <s v="فردى"/>
    <m/>
  </r>
  <r>
    <s v="CS01"/>
    <x v="84"/>
    <x v="84"/>
    <s v="آجل"/>
    <m/>
    <s v="ذات مسئولية محدودة"/>
    <x v="0"/>
    <s v="سارى"/>
    <x v="0"/>
    <d v="2023-03-21T00:00:00"/>
    <s v="مطابق"/>
    <x v="0"/>
    <x v="1"/>
    <s v="310309213400003"/>
    <x v="1"/>
    <x v="1"/>
    <d v="2023-04-30T00:00:00"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موجود"/>
    <d v="2040-03-05T00:00:00"/>
    <s v="سارى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1-07-05T00:00:00"/>
    <m/>
    <m/>
    <s v="فردى"/>
    <m/>
  </r>
  <r>
    <s v="CS01"/>
    <x v="85"/>
    <x v="85"/>
    <s v="آجل"/>
    <m/>
    <s v="ذات مسئولية محدودة"/>
    <x v="0"/>
    <s v="سارى"/>
    <x v="0"/>
    <d v="2024-08-15T00:00:00"/>
    <s v="مطابق"/>
    <x v="1"/>
    <x v="1"/>
    <s v="310556926800003"/>
    <x v="1"/>
    <x v="0"/>
    <m/>
    <x v="0"/>
    <s v="مستثنى"/>
    <n v="20000"/>
    <d v="2019-08-24T00:00:00"/>
    <d v="2022-08-23T00:00:00"/>
    <n v="20000"/>
    <n v="2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2-09T00:00:00"/>
    <m/>
    <m/>
    <s v="فردى"/>
    <m/>
  </r>
  <r>
    <s v="CS01"/>
    <x v="86"/>
    <x v="86"/>
    <s v="نقدى"/>
    <s v="إبراهيم عبدالله ناصر السعوى"/>
    <s v="مؤسسة"/>
    <x v="0"/>
    <s v="سارى"/>
    <x v="0"/>
    <d v="2024-03-05T00:00:00"/>
    <s v="مطابق"/>
    <x v="1"/>
    <x v="1"/>
    <s v="310909724400003"/>
    <x v="1"/>
    <x v="1"/>
    <d v="2024-07-22T00:00:00"/>
    <x v="1"/>
    <s v="نقدى"/>
    <m/>
    <m/>
    <n v="0"/>
    <n v="0"/>
    <n v="0"/>
    <s v="مطابق"/>
    <m/>
    <s v="سارى"/>
    <s v="موجود"/>
    <d v="2029-05-15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9-15T00:00:00"/>
    <m/>
    <m/>
    <s v="فردى"/>
    <m/>
  </r>
  <r>
    <s v="CS01"/>
    <x v="87"/>
    <x v="87"/>
    <s v="آجل"/>
    <m/>
    <s v="ذات مسئولية محدودة مختلطة"/>
    <x v="2"/>
    <s v="يجب اعادة طلبه"/>
    <x v="0"/>
    <d v="2023-01-16T00:00:00"/>
    <s v="مطابق"/>
    <x v="0"/>
    <x v="1"/>
    <s v="311185844400003"/>
    <x v="1"/>
    <x v="0"/>
    <m/>
    <x v="0"/>
    <s v="موجود"/>
    <n v="50000"/>
    <d v="2022-03-10T00:00:00"/>
    <d v="2025-03-09T00:00:00"/>
    <n v="40000"/>
    <n v="40000"/>
    <s v="مطابق"/>
    <s v="مطابق"/>
    <s v="سارى"/>
    <s v="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5-24T00:00:00"/>
    <m/>
    <m/>
    <s v="فردى"/>
    <m/>
  </r>
  <r>
    <s v="CS01"/>
    <x v="88"/>
    <x v="88"/>
    <s v="نقدى"/>
    <m/>
    <s v=""/>
    <x v="1"/>
    <s v="يجب اعادة طلبه"/>
    <x v="1"/>
    <m/>
    <m/>
    <x v="0"/>
    <x v="1"/>
    <s v="311274280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6-29T00:00:00"/>
    <m/>
    <m/>
    <s v="فردى"/>
    <m/>
  </r>
  <r>
    <s v="CS01"/>
    <x v="89"/>
    <x v="89"/>
    <s v="آجل"/>
    <m/>
    <s v="ذات مسئولية محدودة مختلطة"/>
    <x v="0"/>
    <s v="سارى"/>
    <x v="0"/>
    <d v="2023-03-20T00:00:00"/>
    <s v="مطابق"/>
    <x v="0"/>
    <x v="1"/>
    <s v="311325586400003"/>
    <x v="1"/>
    <x v="1"/>
    <d v="2023-05-27T00:00:00"/>
    <x v="0"/>
    <s v="مستثنى"/>
    <n v="50000"/>
    <d v="2019-08-24T00:00:00"/>
    <d v="2022-08-23T00:00:0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2-10-14T00:00:00"/>
    <s v="يجب اعادة طلبه"/>
    <s v="غير موجود"/>
    <m/>
    <s v="يجب اعادة طلبه"/>
    <d v="2019-04-26T00:00:00"/>
    <m/>
    <m/>
    <s v="فردى"/>
    <m/>
  </r>
  <r>
    <s v="CS01"/>
    <x v="90"/>
    <x v="90"/>
    <s v="نقدى"/>
    <m/>
    <m/>
    <x v="3"/>
    <s v="يجب اعادة طلبه"/>
    <x v="2"/>
    <m/>
    <s v=""/>
    <x v="0"/>
    <x v="2"/>
    <s v="محمود رمضان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8-03T00:00:00"/>
    <m/>
    <m/>
    <s v="فردى"/>
    <m/>
  </r>
  <r>
    <s v="CS01"/>
    <x v="91"/>
    <x v="91"/>
    <s v="نقدى"/>
    <m/>
    <s v=""/>
    <x v="1"/>
    <s v="يجب اعادة طلبه"/>
    <x v="1"/>
    <m/>
    <m/>
    <x v="0"/>
    <x v="0"/>
    <s v="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11-25T00:00:00"/>
    <m/>
    <m/>
    <s v="فردى"/>
    <m/>
  </r>
  <r>
    <s v="CS01"/>
    <x v="92"/>
    <x v="92"/>
    <s v="نقدى"/>
    <m/>
    <s v=""/>
    <x v="1"/>
    <s v="يجب اعادة طلبه"/>
    <x v="1"/>
    <m/>
    <m/>
    <x v="0"/>
    <x v="0"/>
    <s v="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11-30T00:00:00"/>
    <m/>
    <m/>
    <s v="فردى"/>
    <m/>
  </r>
  <r>
    <s v="CS01"/>
    <x v="93"/>
    <x v="93"/>
    <s v="نقدى"/>
    <m/>
    <s v=""/>
    <x v="1"/>
    <s v="يجب اعادة طلبه"/>
    <x v="1"/>
    <m/>
    <m/>
    <x v="0"/>
    <x v="1"/>
    <s v="300029616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12-22T00:00:00"/>
    <m/>
    <m/>
    <s v="فردى"/>
    <m/>
  </r>
  <r>
    <s v="CS01"/>
    <x v="94"/>
    <x v="94"/>
    <s v="نقدى"/>
    <s v="طارق عبدالله رباح الحربي"/>
    <s v="مؤسسة"/>
    <x v="1"/>
    <s v="يجب اعادة طلبه"/>
    <x v="0"/>
    <d v="2024-03-12T00:00:00"/>
    <s v="مطابق"/>
    <x v="1"/>
    <x v="1"/>
    <s v="310769162100003"/>
    <x v="1"/>
    <x v="1"/>
    <d v="2022-09-24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2-05T00:00:00"/>
    <m/>
    <m/>
    <s v="فردى"/>
    <m/>
  </r>
  <r>
    <s v="CS01"/>
    <x v="95"/>
    <x v="95"/>
    <s v="نقدى"/>
    <s v=" شما بنت عبدالله بنت علي الوهيبي"/>
    <s v="مؤسسة"/>
    <x v="1"/>
    <s v="يجب اعادة طلبه"/>
    <x v="0"/>
    <d v="2022-05-25T00:00:00"/>
    <s v="مطابق"/>
    <x v="0"/>
    <x v="1"/>
    <s v="310225546800003"/>
    <x v="1"/>
    <x v="1"/>
    <d v="2022-07-26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2-06T00:00:00"/>
    <m/>
    <m/>
    <s v="فردى"/>
    <m/>
  </r>
  <r>
    <s v="CS01"/>
    <x v="96"/>
    <x v="96"/>
    <s v="نقدى"/>
    <s v="صالح علي بن حماد الحماد"/>
    <s v="مؤسسة"/>
    <x v="1"/>
    <s v="يجب اعادة طلبه"/>
    <x v="0"/>
    <d v="2021-10-11T00:00:00"/>
    <s v="مطابق"/>
    <x v="0"/>
    <x v="1"/>
    <s v="310158411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5-10T00:00:00"/>
    <m/>
    <m/>
    <s v="فردى"/>
    <m/>
  </r>
  <r>
    <s v="CS01"/>
    <x v="97"/>
    <x v="97"/>
    <s v="نقدى"/>
    <m/>
    <s v=""/>
    <x v="1"/>
    <s v="يجب اعادة طلبه"/>
    <x v="1"/>
    <m/>
    <m/>
    <x v="0"/>
    <x v="1"/>
    <s v="310914676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7-03T00:00:00"/>
    <m/>
    <m/>
    <s v="فردى"/>
    <m/>
  </r>
  <r>
    <s v="CS01"/>
    <x v="98"/>
    <x v="98"/>
    <s v="نقدى"/>
    <m/>
    <s v=""/>
    <x v="1"/>
    <s v="يجب اعادة طلبه"/>
    <x v="1"/>
    <m/>
    <m/>
    <x v="0"/>
    <x v="1"/>
    <s v="3101418791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5-23T00:00:00"/>
    <m/>
    <m/>
    <s v="فرع"/>
    <m/>
  </r>
  <r>
    <s v="CS01"/>
    <x v="99"/>
    <x v="99"/>
    <s v="نقدى"/>
    <m/>
    <s v=""/>
    <x v="1"/>
    <s v="يجب اعادة طلبه"/>
    <x v="1"/>
    <m/>
    <m/>
    <x v="0"/>
    <x v="1"/>
    <s v="300421668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8-16T00:00:00"/>
    <m/>
    <m/>
    <s v="فردى"/>
    <m/>
  </r>
  <r>
    <s v="CS01"/>
    <x v="100"/>
    <x v="100"/>
    <s v="نقدى"/>
    <m/>
    <s v=""/>
    <x v="1"/>
    <s v="يجب اعادة طلبه"/>
    <x v="1"/>
    <m/>
    <m/>
    <x v="0"/>
    <x v="1"/>
    <s v="300455073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6-30T00:00:00"/>
    <m/>
    <m/>
    <s v="فردى"/>
    <m/>
  </r>
  <r>
    <s v="CS01"/>
    <x v="101"/>
    <x v="101"/>
    <s v="آجل"/>
    <s v="عبدالله علي عثمان المزيني"/>
    <s v="مؤسسة"/>
    <x v="1"/>
    <s v="يجب اعادة طلبه"/>
    <x v="0"/>
    <d v="2023-11-01T00:00:00"/>
    <s v="مطابق"/>
    <x v="1"/>
    <x v="1"/>
    <s v="300609557200003"/>
    <x v="1"/>
    <x v="1"/>
    <d v="2024-07-23T00:00:00"/>
    <x v="1"/>
    <s v="مستثنى"/>
    <n v="30000"/>
    <m/>
    <n v="0"/>
    <n v="30000"/>
    <n v="3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s v="العميل له حد ائتمانى على SAP بدون سند امر او استثناء"/>
    <s v="فردى"/>
    <m/>
  </r>
  <r>
    <s v="CS01"/>
    <x v="102"/>
    <x v="102"/>
    <s v="نقدى"/>
    <m/>
    <s v=""/>
    <x v="1"/>
    <s v="يجب اعادة طلبه"/>
    <x v="1"/>
    <m/>
    <m/>
    <x v="0"/>
    <x v="1"/>
    <s v="300927933200003"/>
    <x v="1"/>
    <x v="1"/>
    <d v="2023-04-01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03"/>
    <x v="103"/>
    <s v="نقدى"/>
    <m/>
    <s v=""/>
    <x v="1"/>
    <s v="يجب اعادة طلبه"/>
    <x v="1"/>
    <m/>
    <m/>
    <x v="0"/>
    <x v="1"/>
    <s v="301023981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04"/>
    <x v="104"/>
    <s v="نقدى"/>
    <m/>
    <s v=""/>
    <x v="1"/>
    <s v="يجب اعادة طلبه"/>
    <x v="1"/>
    <m/>
    <m/>
    <x v="0"/>
    <x v="1"/>
    <s v="3021413909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5-06T00:00:00"/>
    <m/>
    <m/>
    <s v="فردى"/>
    <m/>
  </r>
  <r>
    <s v="CS01"/>
    <x v="105"/>
    <x v="105"/>
    <s v="نقدى"/>
    <m/>
    <s v=""/>
    <x v="1"/>
    <s v="يجب اعادة طلبه"/>
    <x v="1"/>
    <m/>
    <m/>
    <x v="0"/>
    <x v="1"/>
    <s v="302191017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04-06T00:00:00"/>
    <m/>
    <m/>
    <s v="فردى"/>
    <m/>
  </r>
  <r>
    <s v="CS01"/>
    <x v="106"/>
    <x v="106"/>
    <s v="نقدى"/>
    <m/>
    <s v=""/>
    <x v="1"/>
    <s v="يجب اعادة طلبه"/>
    <x v="1"/>
    <m/>
    <m/>
    <x v="0"/>
    <x v="1"/>
    <s v="3022326613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2-19T00:00:00"/>
    <m/>
    <m/>
    <s v="فردى"/>
    <m/>
  </r>
  <r>
    <s v="CS01"/>
    <x v="107"/>
    <x v="107"/>
    <s v="نقدى"/>
    <m/>
    <s v=""/>
    <x v="1"/>
    <s v="يجب اعادة طلبه"/>
    <x v="1"/>
    <m/>
    <m/>
    <x v="0"/>
    <x v="1"/>
    <s v="3100930959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1-16T00:00:00"/>
    <m/>
    <m/>
    <s v="فردى"/>
    <m/>
  </r>
  <r>
    <s v="CS01"/>
    <x v="108"/>
    <x v="108"/>
    <s v="نقدى"/>
    <m/>
    <s v=""/>
    <x v="1"/>
    <s v="يجب اعادة طلبه"/>
    <x v="1"/>
    <m/>
    <m/>
    <x v="0"/>
    <x v="1"/>
    <s v="3101316369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09"/>
    <x v="109"/>
    <s v="نقدى"/>
    <m/>
    <s v=""/>
    <x v="1"/>
    <s v="يجب اعادة طلبه"/>
    <x v="1"/>
    <m/>
    <m/>
    <x v="0"/>
    <x v="1"/>
    <s v="3102167913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5-04T00:00:00"/>
    <m/>
    <m/>
    <s v="فردى"/>
    <m/>
  </r>
  <r>
    <s v="CS01"/>
    <x v="110"/>
    <x v="110"/>
    <s v="آجل"/>
    <m/>
    <s v=""/>
    <x v="1"/>
    <s v="يجب اعادة طلبه"/>
    <x v="1"/>
    <m/>
    <m/>
    <x v="0"/>
    <x v="0"/>
    <s v="310240160300003"/>
    <x v="0"/>
    <x v="0"/>
    <m/>
    <x v="0"/>
    <s v="غير موجود"/>
    <m/>
    <m/>
    <n v="0"/>
    <n v="0"/>
    <n v="10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8-11T00:00:00"/>
    <m/>
    <s v="العميل له حد ائتمانى على SAP بدون سند امر او استثناء"/>
    <s v="فردى"/>
    <m/>
  </r>
  <r>
    <s v="CS01"/>
    <x v="111"/>
    <x v="111"/>
    <s v="نقدى"/>
    <m/>
    <s v=""/>
    <x v="1"/>
    <s v="يجب اعادة طلبه"/>
    <x v="1"/>
    <m/>
    <m/>
    <x v="0"/>
    <x v="1"/>
    <s v="310257817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0-17T00:00:00"/>
    <m/>
    <m/>
    <s v="فردى"/>
    <m/>
  </r>
  <r>
    <s v="CS01"/>
    <x v="112"/>
    <x v="112"/>
    <s v="نقدى"/>
    <m/>
    <s v=""/>
    <x v="1"/>
    <s v="يجب اعادة طلبه"/>
    <x v="1"/>
    <m/>
    <m/>
    <x v="0"/>
    <x v="1"/>
    <s v="3103173304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2-06T00:00:00"/>
    <m/>
    <m/>
    <s v="فردى"/>
    <m/>
  </r>
  <r>
    <s v="CS01"/>
    <x v="113"/>
    <x v="113"/>
    <s v="نقدى"/>
    <m/>
    <s v=""/>
    <x v="1"/>
    <s v="يجب اعادة طلبه"/>
    <x v="1"/>
    <m/>
    <m/>
    <x v="0"/>
    <x v="1"/>
    <s v="310351083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8-11T00:00:00"/>
    <m/>
    <m/>
    <s v="فردى"/>
    <m/>
  </r>
  <r>
    <s v="CS01"/>
    <x v="114"/>
    <x v="114"/>
    <s v="نقدى"/>
    <m/>
    <s v=""/>
    <x v="1"/>
    <s v="يجب اعادة طلبه"/>
    <x v="1"/>
    <m/>
    <m/>
    <x v="0"/>
    <x v="1"/>
    <s v="310362524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10-11T00:00:00"/>
    <m/>
    <m/>
    <s v="فردى"/>
    <m/>
  </r>
  <r>
    <s v="CS01"/>
    <x v="115"/>
    <x v="115"/>
    <s v="نقدى"/>
    <m/>
    <s v=""/>
    <x v="1"/>
    <s v="يجب اعادة طلبه"/>
    <x v="1"/>
    <m/>
    <m/>
    <x v="0"/>
    <x v="1"/>
    <s v="310374488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1"/>
    <x v="116"/>
    <x v="116"/>
    <s v="نقدى"/>
    <m/>
    <s v=""/>
    <x v="1"/>
    <s v="يجب اعادة طلبه"/>
    <x v="1"/>
    <m/>
    <m/>
    <x v="0"/>
    <x v="1"/>
    <s v="310714536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04-12T00:00:00"/>
    <m/>
    <m/>
    <s v="فردى"/>
    <m/>
  </r>
  <r>
    <s v="CS01"/>
    <x v="117"/>
    <x v="117"/>
    <s v="نقدى"/>
    <m/>
    <s v=""/>
    <x v="1"/>
    <s v="يجب اعادة طلبه"/>
    <x v="1"/>
    <m/>
    <m/>
    <x v="0"/>
    <x v="1"/>
    <s v="310834631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2-01T00:00:00"/>
    <m/>
    <m/>
    <s v="فردى"/>
    <m/>
  </r>
  <r>
    <s v="CS01"/>
    <x v="118"/>
    <x v="118"/>
    <s v="نقدى"/>
    <m/>
    <s v=""/>
    <x v="1"/>
    <s v="يجب اعادة طلبه"/>
    <x v="1"/>
    <m/>
    <m/>
    <x v="0"/>
    <x v="1"/>
    <s v="310892909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2-20T00:00:00"/>
    <m/>
    <m/>
    <s v="فردى"/>
    <m/>
  </r>
  <r>
    <s v="CS01"/>
    <x v="119"/>
    <x v="119"/>
    <s v="نقدى"/>
    <m/>
    <s v=""/>
    <x v="1"/>
    <s v="يجب اعادة طلبه"/>
    <x v="1"/>
    <m/>
    <m/>
    <x v="0"/>
    <x v="1"/>
    <s v="311077626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8-11T00:00:00"/>
    <m/>
    <m/>
    <s v="فردى"/>
    <m/>
  </r>
  <r>
    <s v="CS03"/>
    <x v="120"/>
    <x v="120"/>
    <s v="آجل"/>
    <m/>
    <s v="ذات مسئولية محدودة مختلطة"/>
    <x v="0"/>
    <s v="سارى"/>
    <x v="0"/>
    <d v="2025-01-08T00:00:00"/>
    <s v="مطابق"/>
    <x v="1"/>
    <x v="1"/>
    <s v="311191051300003"/>
    <x v="1"/>
    <x v="1"/>
    <d v="2022-11-03T00:00:00"/>
    <x v="0"/>
    <s v="غير موجود"/>
    <m/>
    <m/>
    <n v="0"/>
    <n v="0"/>
    <n v="8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2-06-10T00:00:00"/>
    <s v="يجب اعادة طلبه"/>
    <s v="غير موجود"/>
    <m/>
    <s v="يجب اعادة طلبه"/>
    <d v="2021-03-09T00:00:00"/>
    <s v="https://maps.app.goo.gl/7x9ZzdCZuxC3tXuW7?g_st=it"/>
    <s v="العميل له حد ائتمانى على SAP بدون سند امر او استثناء"/>
    <s v="فرع"/>
    <m/>
  </r>
  <r>
    <s v="CS03"/>
    <x v="121"/>
    <x v="121"/>
    <s v="آجل"/>
    <s v="عبدالله حسين ابراهيم آل حدور"/>
    <s v="مؤسسة"/>
    <x v="0"/>
    <s v="سارى"/>
    <x v="0"/>
    <d v="2023-10-16T00:00:00"/>
    <s v="مطابق"/>
    <x v="1"/>
    <x v="1"/>
    <s v="311011876800003"/>
    <x v="1"/>
    <x v="1"/>
    <d v="2022-09-13T00:00:00"/>
    <x v="0"/>
    <s v="موجود"/>
    <n v="100000"/>
    <m/>
    <n v="0"/>
    <n v="80000"/>
    <n v="80000"/>
    <s v="مطابق"/>
    <s v="مطابق"/>
    <s v="يجب اعادة طلبه"/>
    <s v="موجود"/>
    <d v="2022-06-16T00:00:00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2-10-04T00:00:00"/>
    <m/>
    <m/>
    <s v="فردى"/>
    <m/>
  </r>
  <r>
    <s v="CS03"/>
    <x v="122"/>
    <x v="122"/>
    <s v="آجل"/>
    <s v="سالم كرامه بن حسن مول الدويله المنهالي"/>
    <s v="مؤسسة"/>
    <x v="0"/>
    <s v="سارى"/>
    <x v="0"/>
    <d v="2025-09-07T00:00:00"/>
    <s v="مطابق"/>
    <x v="1"/>
    <x v="1"/>
    <s v="300095531500003"/>
    <x v="1"/>
    <x v="1"/>
    <d v="2023-01-08T00:00:00"/>
    <x v="0"/>
    <s v="مستثنى"/>
    <n v="15000"/>
    <m/>
    <n v="0"/>
    <n v="15000"/>
    <n v="15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16T00:00:00"/>
    <m/>
    <m/>
    <s v="فردى"/>
    <m/>
  </r>
  <r>
    <s v="CS03"/>
    <x v="123"/>
    <x v="123"/>
    <s v="آجل"/>
    <m/>
    <s v="ذات مسئولية محدودة مختلطة"/>
    <x v="0"/>
    <s v="سارى"/>
    <x v="0"/>
    <d v="2023-05-25T00:00:00"/>
    <s v="مطابق"/>
    <x v="0"/>
    <x v="1"/>
    <s v="311078324700003"/>
    <x v="1"/>
    <x v="0"/>
    <m/>
    <x v="0"/>
    <s v="مستثنى"/>
    <n v="9000"/>
    <m/>
    <n v="0"/>
    <n v="9000"/>
    <n v="9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9-15T00:00:00"/>
    <m/>
    <m/>
    <s v="فرع"/>
    <m/>
  </r>
  <r>
    <s v="CS03"/>
    <x v="124"/>
    <x v="124"/>
    <s v="آجل"/>
    <m/>
    <s v="ذات مسئولية محدودة مختلطة"/>
    <x v="0"/>
    <s v="سارى"/>
    <x v="0"/>
    <d v="2023-03-10T00:00:00"/>
    <s v="مطابق"/>
    <x v="0"/>
    <x v="1"/>
    <s v="311302319900003"/>
    <x v="1"/>
    <x v="1"/>
    <d v="2025-04-09T00:00:00"/>
    <x v="1"/>
    <s v="موجود"/>
    <n v="20000"/>
    <m/>
    <n v="0"/>
    <n v="16000"/>
    <n v="16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0-08T00:00:00"/>
    <m/>
    <m/>
    <s v="فردى"/>
    <m/>
  </r>
  <r>
    <s v="CS03"/>
    <x v="125"/>
    <x v="125"/>
    <s v="آجل"/>
    <s v="عبدالله احمد عمر بايعقوب العمودي"/>
    <s v="مؤسسة"/>
    <x v="0"/>
    <s v="سارى"/>
    <x v="0"/>
    <d v="2023-08-22T00:00:00"/>
    <s v="مطابق"/>
    <x v="0"/>
    <x v="1"/>
    <s v="301314068200003"/>
    <x v="1"/>
    <x v="1"/>
    <d v="2024-01-26T00:00:00"/>
    <x v="1"/>
    <s v="موجود"/>
    <n v="20000"/>
    <m/>
    <n v="0"/>
    <n v="16000"/>
    <n v="16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2-10-11T00:00:00"/>
    <m/>
    <m/>
    <s v="فردى"/>
    <m/>
  </r>
  <r>
    <s v="CS03"/>
    <x v="126"/>
    <x v="126"/>
    <s v="آجل"/>
    <m/>
    <s v="محدودة اجنبية"/>
    <x v="0"/>
    <s v="سارى"/>
    <x v="0"/>
    <d v="2024-01-11T00:00:00"/>
    <s v="مطابق"/>
    <x v="1"/>
    <x v="1"/>
    <s v="311201838900003"/>
    <x v="1"/>
    <x v="1"/>
    <d v="2024-03-17T00:00:00"/>
    <x v="1"/>
    <s v="موجود"/>
    <n v="100000"/>
    <d v="2023-02-16T00:00:00"/>
    <d v="2026-02-15T00:00:00"/>
    <n v="80000"/>
    <n v="80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17-01-26T00:00:00"/>
    <s v="يجب اعادة طلبه"/>
    <s v="غير موجود"/>
    <m/>
    <s v="يجب اعادة طلبه"/>
    <d v="2021-12-15T00:00:00"/>
    <m/>
    <m/>
    <s v="فردى"/>
    <m/>
  </r>
  <r>
    <s v="CS03"/>
    <x v="127"/>
    <x v="127"/>
    <s v="آجل"/>
    <s v="محمد ناصر احمد السيد"/>
    <s v="مؤسسة"/>
    <x v="0"/>
    <s v="سارى"/>
    <x v="0"/>
    <d v="2023-09-15T00:00:00"/>
    <s v="مطابق"/>
    <x v="0"/>
    <x v="1"/>
    <s v="302178551700003"/>
    <x v="1"/>
    <x v="1"/>
    <d v="2018-09-28T00:00:00"/>
    <x v="0"/>
    <s v="موجود"/>
    <n v="37500"/>
    <m/>
    <n v="0"/>
    <n v="30000"/>
    <n v="3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0-11T00:00:00"/>
    <m/>
    <m/>
    <s v="فرع"/>
    <n v="100000"/>
  </r>
  <r>
    <s v="CS03"/>
    <x v="128"/>
    <x v="128"/>
    <s v="آجل"/>
    <s v="محمد ناصر احمد السيد "/>
    <s v="مؤسسة"/>
    <x v="0"/>
    <s v="سارى"/>
    <x v="0"/>
    <d v="2023-09-15T00:00:00"/>
    <s v="مطابق"/>
    <x v="0"/>
    <x v="1"/>
    <s v="302178551700003"/>
    <x v="1"/>
    <x v="0"/>
    <m/>
    <x v="0"/>
    <s v="موجود"/>
    <n v="37500"/>
    <m/>
    <n v="0"/>
    <n v="30000"/>
    <n v="3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0-11T00:00:00"/>
    <m/>
    <m/>
    <s v="فرع"/>
    <n v="100000"/>
  </r>
  <r>
    <s v="CS03"/>
    <x v="129"/>
    <x v="129"/>
    <s v="آجل"/>
    <s v="حمد بن محمد بن حمد الصقر الموسي"/>
    <s v="مؤسسة"/>
    <x v="1"/>
    <s v="يجب اعادة طلبه"/>
    <x v="0"/>
    <d v="2023-01-03T00:00:00"/>
    <s v="مطابق"/>
    <x v="0"/>
    <x v="1"/>
    <s v="300580757400003"/>
    <x v="1"/>
    <x v="1"/>
    <d v="2022-07-01T00:00:00"/>
    <x v="0"/>
    <s v="غير موجود"/>
    <m/>
    <m/>
    <n v="0"/>
    <n v="0"/>
    <n v="75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7-14T00:00:00"/>
    <s v="يجب اعادة طلبه"/>
    <s v="غير موجود"/>
    <m/>
    <s v="يجب اعادة طلبه"/>
    <d v="2022-01-03T00:00:00"/>
    <m/>
    <s v="العميل له حد ائتمانى على SAP بدون سند امر او استثناء"/>
    <s v="فردى"/>
    <m/>
  </r>
  <r>
    <s v="CS03"/>
    <x v="130"/>
    <x v="130"/>
    <s v="نقدى"/>
    <m/>
    <s v=""/>
    <x v="3"/>
    <s v="يجب اعادة طلبه"/>
    <x v="1"/>
    <m/>
    <m/>
    <x v="0"/>
    <x v="1"/>
    <s v="300009306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25T00:00:00"/>
    <m/>
    <m/>
    <s v="فردى"/>
    <m/>
  </r>
  <r>
    <s v="CS03"/>
    <x v="131"/>
    <x v="131"/>
    <s v="نقدى"/>
    <m/>
    <s v=""/>
    <x v="3"/>
    <s v="يجب اعادة طلبه"/>
    <x v="1"/>
    <m/>
    <m/>
    <x v="0"/>
    <x v="1"/>
    <s v="300015823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06-01T00:00:00"/>
    <m/>
    <m/>
    <s v="فردى"/>
    <m/>
  </r>
  <r>
    <s v="CS03"/>
    <x v="132"/>
    <x v="132"/>
    <s v="آجل"/>
    <m/>
    <s v=""/>
    <x v="0"/>
    <s v="سارى"/>
    <x v="1"/>
    <m/>
    <m/>
    <x v="0"/>
    <x v="1"/>
    <s v="311295104900003"/>
    <x v="1"/>
    <x v="0"/>
    <m/>
    <x v="0"/>
    <s v="موجود"/>
    <n v="100000"/>
    <m/>
    <n v="0"/>
    <n v="80000"/>
    <n v="8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8-10T00:00:00"/>
    <m/>
    <m/>
    <s v="فرع"/>
    <n v="200000"/>
  </r>
  <r>
    <s v="CS03"/>
    <x v="133"/>
    <x v="133"/>
    <s v="نقدى"/>
    <m/>
    <s v=""/>
    <x v="3"/>
    <s v="يجب اعادة طلبه"/>
    <x v="1"/>
    <m/>
    <m/>
    <x v="0"/>
    <x v="1"/>
    <s v="300026838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27T00:00:00"/>
    <m/>
    <m/>
    <s v="فردى"/>
    <m/>
  </r>
  <r>
    <s v="CS03"/>
    <x v="134"/>
    <x v="134"/>
    <s v="آجل"/>
    <m/>
    <s v=""/>
    <x v="0"/>
    <s v="سارى"/>
    <x v="1"/>
    <m/>
    <m/>
    <x v="0"/>
    <x v="1"/>
    <s v="311191051300003"/>
    <x v="1"/>
    <x v="1"/>
    <d v="2024-05-27T00:00:00"/>
    <x v="1"/>
    <s v="موجود"/>
    <n v="50000"/>
    <m/>
    <n v="0"/>
    <n v="40000"/>
    <n v="4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12-06T00:00:00"/>
    <s v="يجب اعادة طلبه"/>
    <s v="غير موجود"/>
    <m/>
    <s v="يجب اعادة طلبه"/>
    <d v="2022-10-11T00:00:00"/>
    <m/>
    <m/>
    <s v="فرع"/>
    <m/>
  </r>
  <r>
    <s v="CS03"/>
    <x v="135"/>
    <x v="135"/>
    <s v="آجل"/>
    <m/>
    <s v="ذات مسئولية محدودة مختلطة"/>
    <x v="0"/>
    <s v="سارى"/>
    <x v="0"/>
    <d v="2023-01-29T00:00:00"/>
    <s v="مطابق"/>
    <x v="0"/>
    <x v="1"/>
    <s v="311295104900003"/>
    <x v="1"/>
    <x v="1"/>
    <d v="2028-02-04T00:00:00"/>
    <x v="1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12-31T00:00:00"/>
    <s v="يجب اعادة طلبه"/>
    <s v="غير موجود"/>
    <m/>
    <s v="يجب اعادة طلبه"/>
    <d v="2022-10-24T00:00:00"/>
    <m/>
    <m/>
    <s v="فرع"/>
    <n v="200000"/>
  </r>
  <r>
    <s v="CS03"/>
    <x v="136"/>
    <x v="136"/>
    <s v="نقدى"/>
    <m/>
    <s v="محدودة اجنبية"/>
    <x v="1"/>
    <s v="يجب اعادة طلبه"/>
    <x v="0"/>
    <d v="2023-01-15T00:00:00"/>
    <s v="مطابق"/>
    <x v="0"/>
    <x v="1"/>
    <s v="311178726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1-08T00:00:00"/>
    <s v="يجب اعادة طلبه"/>
    <s v="غير موجود"/>
    <m/>
    <s v="يجب اعادة طلبه"/>
    <d v="2022-12-27T00:00:00"/>
    <m/>
    <m/>
    <s v="فردى"/>
    <m/>
  </r>
  <r>
    <s v="CS03"/>
    <x v="137"/>
    <x v="137"/>
    <s v="آجل"/>
    <s v="يوسف صالح سليمان الفوزان"/>
    <s v="مؤسسة"/>
    <x v="0"/>
    <s v="سارى"/>
    <x v="0"/>
    <d v="2023-01-29T00:00:00"/>
    <s v="مطابق"/>
    <x v="0"/>
    <x v="1"/>
    <s v="311332188800003"/>
    <x v="1"/>
    <x v="1"/>
    <d v="2023-07-10T00:00:00"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1-10-16T00:00:00"/>
    <m/>
    <m/>
    <s v="فردى"/>
    <m/>
  </r>
  <r>
    <s v="CS03"/>
    <x v="138"/>
    <x v="138"/>
    <s v="نقدى"/>
    <m/>
    <s v=""/>
    <x v="3"/>
    <s v="يجب اعادة طلبه"/>
    <x v="1"/>
    <m/>
    <m/>
    <x v="0"/>
    <x v="1"/>
    <s v="3000495884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08-29T00:00:00"/>
    <m/>
    <m/>
    <s v="فردى"/>
    <m/>
  </r>
  <r>
    <s v="CS03"/>
    <x v="139"/>
    <x v="139"/>
    <s v="آجل"/>
    <m/>
    <s v=""/>
    <x v="0"/>
    <s v="سارى"/>
    <x v="1"/>
    <m/>
    <m/>
    <x v="0"/>
    <x v="1"/>
    <s v="300032946900003"/>
    <x v="1"/>
    <x v="0"/>
    <m/>
    <x v="0"/>
    <s v="مستثنى"/>
    <n v="70000"/>
    <d v="2020-03-17T00:00:00"/>
    <d v="2023-03-17T00:00:00"/>
    <n v="70000"/>
    <n v="7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3-14T00:00:00"/>
    <m/>
    <m/>
    <s v="فردى"/>
    <m/>
  </r>
  <r>
    <s v="CS03"/>
    <x v="140"/>
    <x v="140"/>
    <s v="آجل"/>
    <m/>
    <s v="ذات مسئولية محدودة مختلطة"/>
    <x v="0"/>
    <s v="سارى"/>
    <x v="0"/>
    <d v="2023-06-05T00:00:00"/>
    <s v="مطابق"/>
    <x v="0"/>
    <x v="1"/>
    <s v="311097919300003"/>
    <x v="1"/>
    <x v="1"/>
    <d v="2023-11-19T00:00:00"/>
    <x v="1"/>
    <s v="موجود"/>
    <n v="100000"/>
    <d v="2023-05-30T00:00:00"/>
    <d v="2026-05-29T00:00:00"/>
    <n v="80000"/>
    <n v="80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5-31T00:00:00"/>
    <s v="يجب اعادة طلبه"/>
    <s v="غير موجود"/>
    <m/>
    <s v="يجب اعادة طلبه"/>
    <d v="2019-05-13T00:00:00"/>
    <s v="https://maps.app.goo.gl/PK7Yaksh73tWff489?g_st=it"/>
    <m/>
    <s v="فردى"/>
    <m/>
  </r>
  <r>
    <s v="CS03"/>
    <x v="141"/>
    <x v="141"/>
    <s v="آجل"/>
    <s v="عبدالله صالح هادي القبالى الحارثي"/>
    <s v="مؤسسة"/>
    <x v="0"/>
    <s v="سارى"/>
    <x v="0"/>
    <d v="2022-11-16T00:00:00"/>
    <s v="مطابق"/>
    <x v="0"/>
    <x v="1"/>
    <s v="302210974500003"/>
    <x v="1"/>
    <x v="0"/>
    <m/>
    <x v="0"/>
    <s v="موجود"/>
    <n v="250000"/>
    <d v="2019-05-21T00:00:00"/>
    <d v="2022-05-20T00:00:00"/>
    <n v="200000"/>
    <n v="20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19-05-14T00:00:00"/>
    <m/>
    <m/>
    <s v="فردى"/>
    <m/>
  </r>
  <r>
    <s v="CS03"/>
    <x v="142"/>
    <x v="142"/>
    <s v="آجل"/>
    <s v="شمسه علي حسين ناصر المصعبي"/>
    <s v="مؤسسة"/>
    <x v="0"/>
    <s v="سارى"/>
    <x v="0"/>
    <d v="2024-07-26T00:00:00"/>
    <s v="مطابق"/>
    <x v="1"/>
    <x v="1"/>
    <s v="310078680500003"/>
    <x v="1"/>
    <x v="1"/>
    <d v="2022-09-06T00:00:00"/>
    <x v="0"/>
    <s v="مستثنى"/>
    <n v="50000"/>
    <d v="2019-08-24T00:00:00"/>
    <d v="2022-08-23T00:00:0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7-13T00:00:00"/>
    <m/>
    <m/>
    <s v="فرع"/>
    <n v="100000"/>
  </r>
  <r>
    <s v="CS03"/>
    <x v="143"/>
    <x v="143"/>
    <s v="آجل"/>
    <s v="احمد عبدالله عبدالرحمن النصار"/>
    <s v="مؤسسة"/>
    <x v="0"/>
    <s v="سارى"/>
    <x v="0"/>
    <d v="2023-06-17T00:00:00"/>
    <s v="مطابق"/>
    <x v="0"/>
    <x v="1"/>
    <s v="300024635700003"/>
    <x v="1"/>
    <x v="1"/>
    <d v="2022-10-03T00:00:00"/>
    <x v="0"/>
    <s v="موجود"/>
    <n v="100000"/>
    <d v="2019-08-01T00:00:00"/>
    <d v="2022-07-31T00:00:0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19-07-28T00:00:00"/>
    <m/>
    <m/>
    <s v="فرع"/>
    <n v="240000"/>
  </r>
  <r>
    <s v="CS03"/>
    <x v="144"/>
    <x v="144"/>
    <s v="نقدى"/>
    <m/>
    <m/>
    <x v="3"/>
    <s v="يجب اعادة طلبه"/>
    <x v="2"/>
    <m/>
    <s v=""/>
    <x v="0"/>
    <x v="2"/>
    <s v="عمر الشرعبي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8-03T00:00:00"/>
    <m/>
    <m/>
    <s v="فردى"/>
    <m/>
  </r>
  <r>
    <s v="CS03"/>
    <x v="145"/>
    <x v="145"/>
    <s v="آجل"/>
    <s v="طالال خالد عبدالواسع السقاف"/>
    <s v="مؤسسة"/>
    <x v="0"/>
    <s v="سارى"/>
    <x v="0"/>
    <d v="2021-07-13T00:00:00"/>
    <s v="مطابق"/>
    <x v="0"/>
    <x v="1"/>
    <s v="300685483200003"/>
    <x v="1"/>
    <x v="0"/>
    <m/>
    <x v="0"/>
    <s v="موجود"/>
    <n v="60000"/>
    <m/>
    <n v="0"/>
    <n v="48000"/>
    <n v="40000"/>
    <s v="السند اكب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8-14T00:00:00"/>
    <m/>
    <m/>
    <s v="فرع"/>
    <n v="120000"/>
  </r>
  <r>
    <s v="CS03"/>
    <x v="146"/>
    <x v="146"/>
    <s v="آجل"/>
    <s v="طالال خالد عبدالواسع السقاف"/>
    <s v="مؤسسة"/>
    <x v="0"/>
    <s v="سارى"/>
    <x v="0"/>
    <d v="2021-07-13T00:00:00"/>
    <s v="مطابق"/>
    <x v="0"/>
    <x v="1"/>
    <s v="300685483200003"/>
    <x v="1"/>
    <x v="0"/>
    <m/>
    <x v="0"/>
    <s v="موجود"/>
    <n v="60000"/>
    <m/>
    <n v="0"/>
    <n v="48000"/>
    <n v="40000"/>
    <s v="السند اكب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8-14T00:00:00"/>
    <m/>
    <m/>
    <s v="فرع"/>
    <n v="120000"/>
  </r>
  <r>
    <s v="CS03"/>
    <x v="147"/>
    <x v="147"/>
    <s v="آجل"/>
    <m/>
    <s v=""/>
    <x v="1"/>
    <s v="يجب اعادة طلبه"/>
    <x v="1"/>
    <m/>
    <m/>
    <x v="0"/>
    <x v="1"/>
    <s v="300685483200003"/>
    <x v="1"/>
    <x v="0"/>
    <m/>
    <x v="0"/>
    <s v="غير موجود"/>
    <m/>
    <m/>
    <n v="0"/>
    <n v="0"/>
    <n v="16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8-14T00:00:00"/>
    <m/>
    <s v="العميل له حد ائتمانى على SAP بدون سند امر او استثناء"/>
    <s v="فرع"/>
    <n v="120000"/>
  </r>
  <r>
    <s v="CS03"/>
    <x v="148"/>
    <x v="148"/>
    <s v="آجل"/>
    <s v="محمد خالد مرزوق الرحيمي المطيري"/>
    <s v="مؤسسة"/>
    <x v="2"/>
    <s v="يجب اعادة طلبه"/>
    <x v="0"/>
    <d v="2025-07-07T00:00:00"/>
    <s v="مطابق"/>
    <x v="1"/>
    <x v="0"/>
    <s v="300399196500003"/>
    <x v="0"/>
    <x v="1"/>
    <d v="2023-09-15T00:00:00"/>
    <x v="0"/>
    <s v="مستثنى"/>
    <n v="300000"/>
    <m/>
    <n v="0"/>
    <n v="300000"/>
    <n v="30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9-09T00:00:00"/>
    <m/>
    <s v="ختم الغرفة التجارية باسم العميل القديم +تم رفع الحد الائتماني من خلال اجتماع مجلس ادارة الي 300 الف ريال ولا يوجد اوراق بالاستثناء الجديد (محادثة مع استاّذ محمود )"/>
    <s v="فردى"/>
    <m/>
  </r>
  <r>
    <s v="CS03"/>
    <x v="149"/>
    <x v="149"/>
    <s v="نقدى"/>
    <m/>
    <s v=""/>
    <x v="3"/>
    <s v="يجب اعادة طلبه"/>
    <x v="1"/>
    <m/>
    <m/>
    <x v="0"/>
    <x v="1"/>
    <s v="300135172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11-30T00:00:00"/>
    <m/>
    <m/>
    <s v="فردى"/>
    <m/>
  </r>
  <r>
    <s v="CS03"/>
    <x v="150"/>
    <x v="150"/>
    <s v="آجل"/>
    <s v="عبدالعزيز حمد بن محمد البريثن"/>
    <s v="مؤسسة"/>
    <x v="0"/>
    <s v="سارى"/>
    <x v="0"/>
    <d v="2021-12-08T00:00:00"/>
    <s v="مطابق"/>
    <x v="0"/>
    <x v="1"/>
    <s v="300951457900003"/>
    <x v="1"/>
    <x v="0"/>
    <m/>
    <x v="0"/>
    <s v="مستثنى"/>
    <n v="50000"/>
    <m/>
    <n v="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9-09T00:00:00"/>
    <m/>
    <m/>
    <s v="فردى"/>
    <m/>
  </r>
  <r>
    <s v="CS03"/>
    <x v="151"/>
    <x v="151"/>
    <s v="آجل"/>
    <s v="ناصر مطلق صلال العتيبي"/>
    <s v="مؤسسة"/>
    <x v="0"/>
    <s v="سارى"/>
    <x v="0"/>
    <d v="2020-02-27T00:00:00"/>
    <s v="مطابق"/>
    <x v="0"/>
    <x v="0"/>
    <n v="0"/>
    <x v="0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9-15T00:00:00"/>
    <m/>
    <m/>
    <s v="فردى"/>
    <m/>
  </r>
  <r>
    <s v="CS03"/>
    <x v="152"/>
    <x v="152"/>
    <s v="آجل"/>
    <s v="محمد عبدالعزيز محمد الرزيز العنقري"/>
    <s v="مؤسسة"/>
    <x v="2"/>
    <s v="يجب اعادة طلبه"/>
    <x v="0"/>
    <d v="2020-12-27T00:00:00"/>
    <s v="مطابق"/>
    <x v="0"/>
    <x v="1"/>
    <s v="300031767700003"/>
    <x v="1"/>
    <x v="0"/>
    <m/>
    <x v="0"/>
    <s v="مستثنى"/>
    <n v="35000"/>
    <d v="2019-08-24T00:00:00"/>
    <d v="2022-08-23T00:00:00"/>
    <n v="35000"/>
    <n v="35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9-28T00:00:00"/>
    <m/>
    <m/>
    <s v="فرع"/>
    <n v="100000"/>
  </r>
  <r>
    <s v="CS03"/>
    <x v="153"/>
    <x v="153"/>
    <s v="آجل"/>
    <m/>
    <s v=""/>
    <x v="1"/>
    <s v="يجب اعادة طلبه"/>
    <x v="1"/>
    <m/>
    <m/>
    <x v="0"/>
    <x v="1"/>
    <s v="310828791200003"/>
    <x v="1"/>
    <x v="1"/>
    <d v="2027-02-04T00:00:00"/>
    <x v="1"/>
    <s v="غير موجود"/>
    <m/>
    <m/>
    <n v="0"/>
    <n v="0"/>
    <n v="16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9-28T00:00:00"/>
    <m/>
    <s v="تم تغير كيان العميل والعميل بحاجة الي ارسال كافة اوراقة"/>
    <s v="فردى"/>
    <m/>
  </r>
  <r>
    <s v="CS03"/>
    <x v="154"/>
    <x v="154"/>
    <s v="آجل"/>
    <m/>
    <s v="ذات مسئولية محدودة مختلطة"/>
    <x v="1"/>
    <s v="يجب اعادة طلبه"/>
    <x v="0"/>
    <d v="2022-06-02T00:00:00"/>
    <s v="مطابق"/>
    <x v="0"/>
    <x v="1"/>
    <s v="311037610200003"/>
    <x v="1"/>
    <x v="1"/>
    <d v="2022-09-14T00:00:00"/>
    <x v="0"/>
    <s v="مستثنى"/>
    <n v="50000"/>
    <d v="2019-10-09T00:00:00"/>
    <d v="2022-10-08T00:00:0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19-10-07T00:00:00"/>
    <m/>
    <m/>
    <s v="فردى"/>
    <m/>
  </r>
  <r>
    <s v="CS03"/>
    <x v="155"/>
    <x v="155"/>
    <s v="آجل"/>
    <s v="سلطان تركي شاكر العسيبلي"/>
    <s v="مؤسسة"/>
    <x v="0"/>
    <s v="سارى"/>
    <x v="0"/>
    <d v="2021-05-24T00:00:00"/>
    <s v="مطابق"/>
    <x v="0"/>
    <x v="0"/>
    <s v="3000287268300003"/>
    <x v="0"/>
    <x v="0"/>
    <m/>
    <x v="0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0-09T00:00:00"/>
    <m/>
    <m/>
    <s v="فردى"/>
    <m/>
  </r>
  <r>
    <s v="CS03"/>
    <x v="156"/>
    <x v="156"/>
    <s v="آجل"/>
    <m/>
    <s v="ذات مسئولية محدودة مختلطة"/>
    <x v="1"/>
    <s v="يجب اعادة طلبه"/>
    <x v="0"/>
    <d v="2023-03-31T00:00:00"/>
    <s v="مطابق"/>
    <x v="0"/>
    <x v="1"/>
    <s v="311264427200003"/>
    <x v="1"/>
    <x v="0"/>
    <m/>
    <x v="0"/>
    <s v="غير موجود"/>
    <m/>
    <m/>
    <n v="0"/>
    <n v="0"/>
    <n v="8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0-28T00:00:00"/>
    <m/>
    <s v="تم تغير كيان العميل والعميل بحاجة الي ارسال كافة اوراقة"/>
    <s v="فردى"/>
    <m/>
  </r>
  <r>
    <s v="CS03"/>
    <x v="157"/>
    <x v="157"/>
    <s v="آجل"/>
    <s v="فيصل خالد مرزوق الرحيمي المطيري"/>
    <s v="مؤسسة"/>
    <x v="0"/>
    <s v="سارى"/>
    <x v="0"/>
    <d v="2023-01-23T00:00:00"/>
    <s v="مطابق"/>
    <x v="0"/>
    <x v="1"/>
    <s v="310117439300003"/>
    <x v="1"/>
    <x v="1"/>
    <d v="2022-03-06T00:00:00"/>
    <x v="0"/>
    <s v="مستثنى"/>
    <n v="50000"/>
    <d v="2022-01-17T00:00:00"/>
    <d v="2025-01-16T00:00:0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1-20T00:00:00"/>
    <m/>
    <m/>
    <s v="فردى"/>
    <m/>
  </r>
  <r>
    <s v="CS03"/>
    <x v="158"/>
    <x v="158"/>
    <s v="آجل"/>
    <s v="نهله مهناء محمد السبيعي"/>
    <s v="مؤسسة"/>
    <x v="0"/>
    <s v="سارى"/>
    <x v="0"/>
    <d v="2021-10-30T00:00:00"/>
    <s v="مطابق"/>
    <x v="0"/>
    <x v="1"/>
    <s v="300127804900003"/>
    <x v="1"/>
    <x v="0"/>
    <m/>
    <x v="0"/>
    <s v="موجود"/>
    <n v="100000"/>
    <m/>
    <n v="0"/>
    <n v="80000"/>
    <n v="80000"/>
    <s v="مطابق"/>
    <s v="مطابق"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3-05T00:00:00"/>
    <m/>
    <m/>
    <s v="فردى"/>
    <m/>
  </r>
  <r>
    <s v="CS03"/>
    <x v="159"/>
    <x v="159"/>
    <s v="نقدى"/>
    <s v="موسى ناصر حمد الموسي"/>
    <s v="مؤسسة"/>
    <x v="0"/>
    <s v="سارى"/>
    <x v="0"/>
    <d v="2024-03-09T00:00:00"/>
    <s v="مطابق"/>
    <x v="1"/>
    <x v="1"/>
    <s v="300062839500003"/>
    <x v="1"/>
    <x v="1"/>
    <d v="2025-05-20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3-20T00:00:00"/>
    <s v="https://maps.google.com/maps?q=24.657615389743583,46.744763342048955"/>
    <m/>
    <s v="فردى"/>
    <m/>
  </r>
  <r>
    <s v="CS03"/>
    <x v="160"/>
    <x v="160"/>
    <s v="آجل"/>
    <s v="نايف عوض سعود الذيابي"/>
    <s v="مؤسسة"/>
    <x v="0"/>
    <s v="سارى"/>
    <x v="0"/>
    <d v="2022-08-02T00:00:00"/>
    <s v="مطابق"/>
    <x v="0"/>
    <x v="1"/>
    <s v="300040685300003"/>
    <x v="1"/>
    <x v="0"/>
    <m/>
    <x v="0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0-20T00:00:00"/>
    <m/>
    <m/>
    <s v="فرع"/>
    <n v="250000"/>
  </r>
  <r>
    <s v="CS03"/>
    <x v="161"/>
    <x v="161"/>
    <s v="آجل"/>
    <s v="نايف عوض سعود الذيابي"/>
    <s v="مؤسسة"/>
    <x v="0"/>
    <s v="سارى"/>
    <x v="0"/>
    <d v="2022-08-02T00:00:00"/>
    <s v="غير مطابق"/>
    <x v="0"/>
    <x v="1"/>
    <s v="300040685300003"/>
    <x v="1"/>
    <x v="0"/>
    <m/>
    <x v="0"/>
    <s v="موجود"/>
    <n v="150000"/>
    <m/>
    <n v="0"/>
    <n v="120000"/>
    <n v="12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5-08T00:00:00"/>
    <m/>
    <m/>
    <s v="فرع"/>
    <n v="250000"/>
  </r>
  <r>
    <s v="CS03"/>
    <x v="162"/>
    <x v="162"/>
    <s v="آجل"/>
    <s v="سليمان محمد عبد الله الزومان"/>
    <s v="مؤسسة"/>
    <x v="0"/>
    <s v="سارى"/>
    <x v="0"/>
    <d v="2024-01-25T00:00:00"/>
    <s v="مطابق"/>
    <x v="1"/>
    <x v="1"/>
    <s v="300838149300003"/>
    <x v="1"/>
    <x v="1"/>
    <d v="2025-01-01T00:00:00"/>
    <x v="1"/>
    <s v="موجود"/>
    <n v="60000"/>
    <d v="2023-01-30T00:00:00"/>
    <d v="2026-01-29T00:00:00"/>
    <n v="48000"/>
    <n v="48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m/>
    <s v="يجب اعادة طلبه"/>
    <s v="غير موجود"/>
    <m/>
    <s v="يجب اعادة طلبه"/>
    <d v="2023-01-31T00:00:00"/>
    <m/>
    <m/>
    <s v="فرع"/>
    <n v="80000"/>
  </r>
  <r>
    <s v="CS03"/>
    <x v="163"/>
    <x v="163"/>
    <s v="آجل"/>
    <s v="سليمان محمد عبد الله الزومان"/>
    <s v="مؤسسة"/>
    <x v="0"/>
    <s v="سارى"/>
    <x v="1"/>
    <m/>
    <s v="غير مطابق"/>
    <x v="0"/>
    <x v="1"/>
    <s v="300838149300003"/>
    <x v="1"/>
    <x v="0"/>
    <m/>
    <x v="0"/>
    <s v="موجود"/>
    <n v="20000"/>
    <d v="2023-01-30T00:00:00"/>
    <d v="2026-01-29T00:00:00"/>
    <n v="16000"/>
    <n v="16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1-31T00:00:00"/>
    <m/>
    <m/>
    <s v="فرع"/>
    <n v="80000"/>
  </r>
  <r>
    <s v="CS03"/>
    <x v="164"/>
    <x v="164"/>
    <s v="آجل"/>
    <m/>
    <s v="ذات مسئولية محدودة"/>
    <x v="1"/>
    <s v="يجب اعادة طلبه"/>
    <x v="0"/>
    <d v="2023-01-12T00:00:00"/>
    <s v="مطابق"/>
    <x v="0"/>
    <x v="1"/>
    <s v="310882297900003"/>
    <x v="1"/>
    <x v="0"/>
    <m/>
    <x v="0"/>
    <s v="مستثنى"/>
    <n v="70000"/>
    <d v="2021-01-30T00:00:00"/>
    <d v="2024-01-30T00:00:00"/>
    <n v="70000"/>
    <n v="40000"/>
    <s v="السند اكبر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2-29T00:00:00"/>
    <m/>
    <s v="تم تغير كيان العميل من مؤسسة الي شركة"/>
    <s v="فرع"/>
    <n v="110000"/>
  </r>
  <r>
    <s v="CS03"/>
    <x v="165"/>
    <x v="165"/>
    <s v="آجل"/>
    <m/>
    <s v=""/>
    <x v="0"/>
    <s v="سارى"/>
    <x v="1"/>
    <m/>
    <m/>
    <x v="0"/>
    <x v="0"/>
    <s v=""/>
    <x v="0"/>
    <x v="0"/>
    <m/>
    <x v="0"/>
    <s v="موجود"/>
    <n v="100000"/>
    <d v="2021-05-30T00:00:00"/>
    <d v="2024-05-29T00:00:00"/>
    <n v="80000"/>
    <n v="8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5-30T00:00:00"/>
    <m/>
    <m/>
    <s v="فردى"/>
    <m/>
  </r>
  <r>
    <s v="CS03"/>
    <x v="166"/>
    <x v="166"/>
    <s v="آجل"/>
    <m/>
    <s v="ذات مسئولية محدودة مختلطة"/>
    <x v="0"/>
    <s v="سارى"/>
    <x v="0"/>
    <d v="2022-08-13T00:00:00"/>
    <s v="غير مطابق"/>
    <x v="0"/>
    <x v="1"/>
    <s v="311221192500003"/>
    <x v="1"/>
    <x v="0"/>
    <m/>
    <x v="0"/>
    <s v="موجود"/>
    <n v="50000"/>
    <m/>
    <n v="0"/>
    <n v="40000"/>
    <n v="40000"/>
    <s v="مطابق"/>
    <s v="مطابق"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10-10T00:00:00"/>
    <m/>
    <m/>
    <s v="فردى"/>
    <m/>
  </r>
  <r>
    <s v="CS03"/>
    <x v="167"/>
    <x v="167"/>
    <s v="نقدى"/>
    <m/>
    <s v=""/>
    <x v="3"/>
    <s v="يجب اعادة طلبه"/>
    <x v="1"/>
    <m/>
    <m/>
    <x v="0"/>
    <x v="1"/>
    <s v="300451903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1-13T00:00:00"/>
    <m/>
    <m/>
    <s v="فردى"/>
    <m/>
  </r>
  <r>
    <s v="CS03"/>
    <x v="168"/>
    <x v="168"/>
    <s v="آجل"/>
    <s v="كوضى هادي بن عايض القحطاني"/>
    <s v="مؤسسة"/>
    <x v="0"/>
    <s v="سارى"/>
    <x v="0"/>
    <d v="2021-01-20T00:00:00"/>
    <s v="مطابق"/>
    <x v="0"/>
    <x v="1"/>
    <s v="300023665500003"/>
    <x v="1"/>
    <x v="0"/>
    <m/>
    <x v="0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0-10T00:00:00"/>
    <m/>
    <m/>
    <s v="فردى"/>
    <m/>
  </r>
  <r>
    <s v="CS03"/>
    <x v="169"/>
    <x v="169"/>
    <s v="نقدى"/>
    <m/>
    <s v="ذات مسئولية محدودة مختلطة"/>
    <x v="1"/>
    <s v="يجب اعادة طلبه"/>
    <x v="0"/>
    <d v="2025-02-10T00:00:00"/>
    <s v="مطابق"/>
    <x v="1"/>
    <x v="1"/>
    <s v="311257882500003"/>
    <x v="1"/>
    <x v="1"/>
    <d v="2023-05-26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5-26T00:00:00"/>
    <s v="يجب اعادة طلبه"/>
    <s v="غير موجود"/>
    <m/>
    <s v="يجب اعادة طلبه"/>
    <d v="2020-12-30T00:00:00"/>
    <m/>
    <m/>
    <s v="فردى"/>
    <m/>
  </r>
  <r>
    <s v="CS03"/>
    <x v="170"/>
    <x v="170"/>
    <s v="آجل"/>
    <s v="محماس بن فلاح بن محماس الهلقمي"/>
    <s v="مؤسسة"/>
    <x v="0"/>
    <s v="سارى"/>
    <x v="0"/>
    <d v="2021-07-09T00:00:00"/>
    <s v="مطابق"/>
    <x v="0"/>
    <x v="1"/>
    <s v="310331681200003"/>
    <x v="1"/>
    <x v="0"/>
    <m/>
    <x v="0"/>
    <s v="موجود"/>
    <n v="150000"/>
    <m/>
    <n v="0"/>
    <n v="120000"/>
    <n v="12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2-30T00:00:00"/>
    <m/>
    <m/>
    <s v="فردى"/>
    <m/>
  </r>
  <r>
    <s v="CS03"/>
    <x v="171"/>
    <x v="171"/>
    <s v="نقدى"/>
    <s v="خليل إبراهيم حسن مداخلي"/>
    <s v="مؤسسة"/>
    <x v="1"/>
    <s v="يجب اعادة طلبه"/>
    <x v="0"/>
    <d v="2026-06-04T00:00:00"/>
    <s v="مطابق"/>
    <x v="1"/>
    <x v="1"/>
    <s v="302037995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m/>
    <m/>
    <s v="يجب اعادة طلبه"/>
    <d v="2022-09-08T00:00:00"/>
    <m/>
    <m/>
    <s v="فردى"/>
    <m/>
  </r>
  <r>
    <s v="CS03"/>
    <x v="172"/>
    <x v="172"/>
    <s v="نقدى"/>
    <m/>
    <s v=""/>
    <x v="3"/>
    <s v="يجب اعادة طلبه"/>
    <x v="1"/>
    <m/>
    <m/>
    <x v="0"/>
    <x v="1"/>
    <s v="300486394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2-08T00:00:00"/>
    <m/>
    <m/>
    <s v="فردى"/>
    <m/>
  </r>
  <r>
    <s v="CS03"/>
    <x v="173"/>
    <x v="173"/>
    <s v="نقدى"/>
    <m/>
    <s v=""/>
    <x v="3"/>
    <s v="يجب اعادة طلبه"/>
    <x v="1"/>
    <m/>
    <m/>
    <x v="0"/>
    <x v="1"/>
    <s v="3004868544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7-01T00:00:00"/>
    <m/>
    <m/>
    <s v="فردى"/>
    <m/>
  </r>
  <r>
    <s v="CS03"/>
    <x v="174"/>
    <x v="174"/>
    <s v="نقدى"/>
    <m/>
    <s v="محدودة اجنبية"/>
    <x v="1"/>
    <s v="يجب اعادة طلبه"/>
    <x v="0"/>
    <d v="2023-03-03T00:00:00"/>
    <s v="مطابق"/>
    <x v="0"/>
    <x v="1"/>
    <s v="311257519500003"/>
    <x v="1"/>
    <x v="1"/>
    <d v="2023-02-17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9-12T00:00:00"/>
    <m/>
    <m/>
    <s v="فردى"/>
    <m/>
  </r>
  <r>
    <s v="CS03"/>
    <x v="175"/>
    <x v="175"/>
    <s v="نقدى"/>
    <s v="معتز سعيد حسين الزهراني"/>
    <s v="مؤسسة"/>
    <x v="1"/>
    <s v="يجب اعادة طلبه"/>
    <x v="0"/>
    <d v="2022-11-28T00:00:00"/>
    <s v="مطابق"/>
    <x v="0"/>
    <x v="1"/>
    <s v="3104889903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9-13T00:00:00"/>
    <m/>
    <m/>
    <s v="فردى"/>
    <m/>
  </r>
  <r>
    <s v="CS03"/>
    <x v="176"/>
    <x v="176"/>
    <s v="آجل"/>
    <s v="محمد ابراهيم محمد العجلان"/>
    <s v="مؤسسة"/>
    <x v="0"/>
    <s v="سارى"/>
    <x v="0"/>
    <d v="2023-06-02T00:00:00"/>
    <s v="مطابق"/>
    <x v="0"/>
    <x v="1"/>
    <s v="310962418900003"/>
    <x v="1"/>
    <x v="1"/>
    <d v="2024-05-09T00:00:00"/>
    <x v="1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0-19T00:00:00"/>
    <m/>
    <m/>
    <s v="فردى"/>
    <m/>
  </r>
  <r>
    <s v="CS03"/>
    <x v="177"/>
    <x v="177"/>
    <s v="نقدى"/>
    <s v="عدنان محمد حمد الضبيعي"/>
    <s v="مؤسسة"/>
    <x v="1"/>
    <s v="يجب اعادة طلبه"/>
    <x v="0"/>
    <d v="2024-08-24T00:00:00"/>
    <s v="مطابق"/>
    <x v="1"/>
    <x v="1"/>
    <s v="302066667200003"/>
    <x v="1"/>
    <x v="1"/>
    <d v="2022-12-15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2-12T00:00:00"/>
    <m/>
    <m/>
    <s v="فردى"/>
    <m/>
  </r>
  <r>
    <s v="CS03"/>
    <x v="178"/>
    <x v="178"/>
    <s v="نقدى"/>
    <m/>
    <s v="ذات مسئولية محدودة"/>
    <x v="1"/>
    <s v="يجب اعادة طلبه"/>
    <x v="0"/>
    <d v="2025-12-11T00:00:00"/>
    <s v="مطابق"/>
    <x v="1"/>
    <x v="0"/>
    <s v="3022588899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2-18T00:00:00"/>
    <m/>
    <m/>
    <s v="فردى"/>
    <m/>
  </r>
  <r>
    <s v="CS03"/>
    <x v="179"/>
    <x v="179"/>
    <s v="آجل"/>
    <s v="الجوهره مبيريك غانم الحربى"/>
    <s v="مؤسسة"/>
    <x v="0"/>
    <s v="سارى"/>
    <x v="0"/>
    <d v="2023-05-13T00:00:00"/>
    <s v="مطابق"/>
    <x v="0"/>
    <x v="1"/>
    <s v="310262348300003"/>
    <x v="1"/>
    <x v="0"/>
    <m/>
    <x v="0"/>
    <s v="موجود"/>
    <n v="60000"/>
    <d v="2023-01-07T00:00:00"/>
    <d v="2026-01-06T00:00:00"/>
    <n v="48000"/>
    <n v="48000"/>
    <s v="مطابق"/>
    <s v="مطابق"/>
    <s v="سارى"/>
    <m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3-11-06T00:00:00"/>
    <s v="سارى"/>
    <s v="غير موجود"/>
    <m/>
    <s v="يجب اعادة طلبه"/>
    <d v="2023-01-07T00:00:00"/>
    <m/>
    <m/>
    <s v="فردى"/>
    <m/>
  </r>
  <r>
    <s v="CS03"/>
    <x v="180"/>
    <x v="180"/>
    <s v="نقدى"/>
    <s v="محمد عيظة بن جمعان المنهالى"/>
    <s v="مؤسسة"/>
    <x v="1"/>
    <s v="يجب اعادة طلبه"/>
    <x v="0"/>
    <d v="2023-07-17T00:00:00"/>
    <s v="مطابق"/>
    <x v="0"/>
    <x v="0"/>
    <s v="3104208303000003"/>
    <x v="0"/>
    <x v="0"/>
    <m/>
    <x v="0"/>
    <s v="نقدى"/>
    <m/>
    <m/>
    <n v="0"/>
    <n v="0"/>
    <n v="0"/>
    <s v="مطابق"/>
    <m/>
    <s v="سارى"/>
    <m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2-09T00:00:00"/>
    <m/>
    <m/>
    <s v="فردى"/>
    <m/>
  </r>
  <r>
    <s v="CS03"/>
    <x v="181"/>
    <x v="181"/>
    <s v="آجل"/>
    <s v="مطر محمد بن رزق الله الزهرانى"/>
    <s v="مؤسسة"/>
    <x v="0"/>
    <s v="سارى"/>
    <x v="0"/>
    <d v="2023-04-11T00:00:00"/>
    <s v="مطابق"/>
    <x v="0"/>
    <x v="1"/>
    <s v="302186681600003"/>
    <x v="1"/>
    <x v="1"/>
    <d v="2023-07-02T00:00:00"/>
    <x v="0"/>
    <s v="موجود"/>
    <n v="100000"/>
    <d v="2023-02-15T00:00:00"/>
    <d v="2026-02-14T00:00:00"/>
    <n v="80000"/>
    <n v="80000"/>
    <s v="مطابق"/>
    <s v="مطابق"/>
    <s v="سارى"/>
    <m/>
    <d v="2030-07-20T00:00:00"/>
    <s v="يجب اعادة طلبه"/>
    <s v="موجود"/>
    <d v="2030-07-20T00:00:00"/>
    <s v="سارى"/>
    <s v="غير موجود"/>
    <m/>
    <s v="يجب اعادة طلبه"/>
    <m/>
    <m/>
    <s v="يجب اعادة طلبه"/>
    <s v="موجود"/>
    <d v="2022-03-06T00:00:00"/>
    <s v="يجب اعادة طلبه"/>
    <s v="غير موجود"/>
    <m/>
    <s v="يجب اعادة طلبه"/>
    <d v="2023-02-19T00:00:00"/>
    <m/>
    <m/>
    <s v="فردى"/>
    <m/>
  </r>
  <r>
    <s v="CS03"/>
    <x v="182"/>
    <x v="182"/>
    <s v="آجل"/>
    <m/>
    <s v="ذات مسئولية محدودة مختلطة"/>
    <x v="0"/>
    <s v="سارى"/>
    <x v="0"/>
    <d v="2023-05-04T00:00:00"/>
    <s v="مطابق"/>
    <x v="0"/>
    <x v="1"/>
    <s v="311295720300003"/>
    <x v="1"/>
    <x v="1"/>
    <d v="2022-10-27T00:00:00"/>
    <x v="0"/>
    <s v="موجود"/>
    <n v="100000"/>
    <m/>
    <n v="0"/>
    <n v="80000"/>
    <n v="80000"/>
    <s v="مطابق"/>
    <s v="مطابق"/>
    <s v="يجب اعادة طلبه"/>
    <m/>
    <d v="2039-03-05T00:00:00"/>
    <s v="يجب اعادة طلبه"/>
    <s v="موجود"/>
    <d v="2039-03-05T00:00:00"/>
    <s v="سارى"/>
    <s v="غير موجود"/>
    <m/>
    <s v="يجب اعادة طلبه"/>
    <m/>
    <m/>
    <s v="يجب اعادة طلبه"/>
    <s v="موجود"/>
    <d v="2022-11-17T00:00:00"/>
    <s v="يجب اعادة طلبه"/>
    <s v="غير موجود"/>
    <m/>
    <s v="يجب اعادة طلبه"/>
    <d v="2023-02-20T00:00:00"/>
    <m/>
    <m/>
    <s v="فردى"/>
    <m/>
  </r>
  <r>
    <s v="CS03"/>
    <x v="183"/>
    <x v="183"/>
    <s v="نقدى"/>
    <s v="محمد سليمان عبدالله الشماسى"/>
    <s v="مؤسسة"/>
    <x v="1"/>
    <s v="يجب اعادة طلبه"/>
    <x v="0"/>
    <d v="2022-10-08T00:00:00"/>
    <s v="مطابق"/>
    <x v="0"/>
    <x v="1"/>
    <s v="300246624200003"/>
    <x v="1"/>
    <x v="1"/>
    <d v="2025-05-20T00:00:00"/>
    <x v="1"/>
    <s v="نقدى"/>
    <m/>
    <m/>
    <n v="0"/>
    <n v="0"/>
    <n v="0"/>
    <s v="مطابق"/>
    <m/>
    <s v="سارى"/>
    <m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2-25T00:00:00"/>
    <m/>
    <m/>
    <s v="فردى"/>
    <m/>
  </r>
  <r>
    <s v="CS03"/>
    <x v="184"/>
    <x v="184"/>
    <s v="نقدى"/>
    <s v="عيظه كرامه محفوظ ال نهيد النهدى"/>
    <s v="مؤسسة"/>
    <x v="1"/>
    <s v="يجب اعادة طلبه"/>
    <x v="0"/>
    <d v="2025-06-15T00:00:00"/>
    <s v="مطابق"/>
    <x v="1"/>
    <x v="1"/>
    <s v="300036893300003"/>
    <x v="1"/>
    <x v="1"/>
    <d v="2025-06-10T00:00:00"/>
    <x v="1"/>
    <s v="نقدى"/>
    <m/>
    <m/>
    <n v="0"/>
    <n v="0"/>
    <n v="0"/>
    <s v="مطابق"/>
    <m/>
    <s v="سارى"/>
    <m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2-25T00:00:00"/>
    <m/>
    <m/>
    <s v="فردى"/>
    <m/>
  </r>
  <r>
    <s v="CS03"/>
    <x v="185"/>
    <x v="185"/>
    <s v="آجل"/>
    <m/>
    <s v=""/>
    <x v="1"/>
    <s v="يجب اعادة طلبه"/>
    <x v="1"/>
    <m/>
    <m/>
    <x v="0"/>
    <x v="0"/>
    <s v="310088399300003"/>
    <x v="0"/>
    <x v="0"/>
    <m/>
    <x v="0"/>
    <s v="مستثنى"/>
    <n v="10000"/>
    <d v="2023-03-11T00:00:00"/>
    <d v="2026-03-10T00:00:00"/>
    <n v="10000"/>
    <n v="1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3-27T00:00:00"/>
    <m/>
    <m/>
    <s v="فرع"/>
    <m/>
  </r>
  <r>
    <s v="CS03"/>
    <x v="186"/>
    <x v="186"/>
    <s v="نقدى"/>
    <s v="سليمان عبدالله المسعري الدوسري"/>
    <s v="مؤسسة"/>
    <x v="1"/>
    <s v="يجب اعادة طلبه"/>
    <x v="0"/>
    <d v="2021-04-26T00:00:00"/>
    <s v="مطابق"/>
    <x v="0"/>
    <x v="1"/>
    <s v="300032532300003"/>
    <x v="1"/>
    <x v="1"/>
    <d v="2022-08-11T00:00:00"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6-29T00:00:00"/>
    <m/>
    <m/>
    <s v="فردى"/>
    <m/>
  </r>
  <r>
    <s v="CS03"/>
    <x v="187"/>
    <x v="187"/>
    <s v="آجل"/>
    <m/>
    <s v=""/>
    <x v="1"/>
    <s v="يجب اعادة طلبه"/>
    <x v="1"/>
    <m/>
    <m/>
    <x v="0"/>
    <x v="1"/>
    <s v="311078324700003"/>
    <x v="1"/>
    <x v="0"/>
    <m/>
    <x v="0"/>
    <s v="مستثنى"/>
    <n v="9000"/>
    <d v="2023-03-11T00:00:00"/>
    <d v="2026-03-10T00:00:00"/>
    <n v="9000"/>
    <n v="9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3-27T00:00:00"/>
    <m/>
    <m/>
    <s v="فرع"/>
    <m/>
  </r>
  <r>
    <s v="CS03"/>
    <x v="188"/>
    <x v="188"/>
    <s v="آجل"/>
    <m/>
    <s v=""/>
    <x v="1"/>
    <s v="يجب اعادة طلبه"/>
    <x v="1"/>
    <m/>
    <m/>
    <x v="0"/>
    <x v="1"/>
    <s v="311078324700003"/>
    <x v="1"/>
    <x v="0"/>
    <m/>
    <x v="0"/>
    <s v="مستثنى"/>
    <n v="7000"/>
    <d v="2023-03-11T00:00:00"/>
    <d v="2026-03-10T00:00:00"/>
    <n v="7000"/>
    <n v="7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3-27T00:00:00"/>
    <m/>
    <m/>
    <s v="فرع"/>
    <m/>
  </r>
  <r>
    <s v="CS03"/>
    <x v="189"/>
    <x v="189"/>
    <s v="آجل"/>
    <m/>
    <s v="ذات مسئولية محدودة"/>
    <x v="4"/>
    <s v="سارى"/>
    <x v="0"/>
    <d v="2024-01-15T00:00:00"/>
    <s v="مطابق"/>
    <x v="1"/>
    <x v="1"/>
    <s v="310090548300003"/>
    <x v="1"/>
    <x v="1"/>
    <d v="2024-07-11T00:00:00"/>
    <x v="1"/>
    <s v="مستثنى"/>
    <n v="25000"/>
    <d v="2023-04-18T00:00:00"/>
    <d v="2026-04-17T00:00:00"/>
    <n v="25000"/>
    <n v="25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5-24T00:00:00"/>
    <s v="https://maps.google.com/maps?q=24.65817721687188,46.751171771065486"/>
    <m/>
    <s v="فرع"/>
    <m/>
  </r>
  <r>
    <s v="CS03"/>
    <x v="190"/>
    <x v="190"/>
    <s v="نقدى"/>
    <s v="مهاء سالم هذال الدوسري"/>
    <s v="مؤسسة"/>
    <x v="1"/>
    <s v="يجب اعادة طلبه"/>
    <x v="0"/>
    <d v="2021-10-27T00:00:00"/>
    <s v="مطابق"/>
    <x v="0"/>
    <x v="1"/>
    <s v="3105388044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3-06-01T00:00:00"/>
    <m/>
    <m/>
    <s v="فردى"/>
    <m/>
  </r>
  <r>
    <s v="CS03"/>
    <x v="191"/>
    <x v="191"/>
    <s v="نقدى"/>
    <s v="امل محمد حمد الزومان"/>
    <s v="مؤسسة"/>
    <x v="1"/>
    <s v="يجب اعادة طلبه"/>
    <x v="0"/>
    <d v="2025-06-05T00:00:00"/>
    <s v="مطابق"/>
    <x v="1"/>
    <x v="1"/>
    <s v="311675606100003"/>
    <x v="1"/>
    <x v="1"/>
    <d v="2024-05-31T00:00:00"/>
    <x v="1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3-07-06T00:00:00"/>
    <s v="https://maps.google.com/?q=24.861210,46.627861"/>
    <m/>
    <s v="فردى"/>
    <m/>
  </r>
  <r>
    <s v="CS03"/>
    <x v="192"/>
    <x v="192"/>
    <s v="نقدى"/>
    <s v="بيان حمد عثمان الفريح"/>
    <s v="مؤسسة"/>
    <x v="2"/>
    <s v="يجب اعادة طلبه"/>
    <x v="0"/>
    <d v="2024-08-05T00:00:00"/>
    <s v="مطابق"/>
    <x v="1"/>
    <x v="1"/>
    <s v="300651281600003"/>
    <x v="1"/>
    <x v="1"/>
    <d v="2024-08-18T00:00:00"/>
    <x v="1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2-12T00:00:00"/>
    <m/>
    <m/>
    <s v="فردى"/>
    <m/>
  </r>
  <r>
    <s v="CS03"/>
    <x v="193"/>
    <x v="193"/>
    <s v="آجل"/>
    <m/>
    <s v="ذات مسئولية محدودة مختلطة"/>
    <x v="4"/>
    <s v="سارى"/>
    <x v="0"/>
    <d v="2023-09-26T00:00:00"/>
    <s v="مطابق"/>
    <x v="1"/>
    <x v="1"/>
    <s v="311148116300003"/>
    <x v="1"/>
    <x v="1"/>
    <d v="2024-03-26T00:00:00"/>
    <x v="1"/>
    <s v="مستثنى"/>
    <n v="40000"/>
    <m/>
    <n v="0"/>
    <n v="40000"/>
    <n v="4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5-09T00:00:00"/>
    <s v="يجب اعادة طلبه"/>
    <s v="غير موجود"/>
    <m/>
    <s v="يجب اعادة طلبه"/>
    <d v="2023-06-06T00:00:00"/>
    <s v="https://maps.app.goo.gl/twFx5XJyPPVPUuQk9?g_st=it"/>
    <m/>
    <s v="فردى"/>
    <m/>
  </r>
  <r>
    <s v="CS03"/>
    <x v="194"/>
    <x v="194"/>
    <s v="نقدى"/>
    <s v="عبدالله سعد علي القحطاني"/>
    <s v="مؤسسة"/>
    <x v="2"/>
    <s v="يجب اعادة طلبه"/>
    <x v="0"/>
    <d v="2022-06-10T00:00:00"/>
    <s v="مطابق"/>
    <x v="0"/>
    <x v="1"/>
    <s v="3102130357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1-17T00:00:00"/>
    <m/>
    <m/>
    <s v="فردى"/>
    <m/>
  </r>
  <r>
    <s v="CS03"/>
    <x v="195"/>
    <x v="195"/>
    <s v="آجل"/>
    <s v="سليمان فوزان محمد الربيعه"/>
    <s v="مؤسسة"/>
    <x v="1"/>
    <s v="يجب اعادة طلبه"/>
    <x v="0"/>
    <d v="2023-05-11T00:00:00"/>
    <s v="مطابق"/>
    <x v="0"/>
    <x v="1"/>
    <s v="300464613700003"/>
    <x v="1"/>
    <x v="1"/>
    <d v="2023-10-10T00:00:00"/>
    <x v="1"/>
    <s v="مستثنى"/>
    <n v="35000"/>
    <m/>
    <n v="0"/>
    <n v="35000"/>
    <n v="10000"/>
    <s v="السند اكبر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m/>
    <s v="يجب اعادة طلبه"/>
    <s v="غير موجود"/>
    <m/>
    <s v="يجب اعادة طلبه"/>
    <d v="2023-03-05T00:00:00"/>
    <m/>
    <m/>
    <s v="فردى"/>
    <m/>
  </r>
  <r>
    <s v="CS03"/>
    <x v="196"/>
    <x v="196"/>
    <s v="نقدى"/>
    <m/>
    <s v="محدودة اجنبية"/>
    <x v="1"/>
    <s v="يجب اعادة طلبه"/>
    <x v="0"/>
    <d v="2023-03-16T00:00:00"/>
    <s v="مطابق"/>
    <x v="0"/>
    <x v="1"/>
    <s v="311272528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2-10-16T00:00:00"/>
    <s v="يجب اعادة طلبه"/>
    <s v="غير موجود"/>
    <m/>
    <s v="يجب اعادة طلبه"/>
    <d v="2023-03-07T00:00:00"/>
    <m/>
    <m/>
    <s v="فردى"/>
    <m/>
  </r>
  <r>
    <s v="CS03"/>
    <x v="197"/>
    <x v="197"/>
    <s v="آجل"/>
    <m/>
    <s v="ذات مسئولية محدودة"/>
    <x v="0"/>
    <s v="سارى"/>
    <x v="0"/>
    <d v="2026-01-11T00:00:00"/>
    <s v="مطابق"/>
    <x v="1"/>
    <x v="1"/>
    <s v="310889739500003"/>
    <x v="1"/>
    <x v="1"/>
    <d v="2024-01-22T00:00:00"/>
    <x v="1"/>
    <s v="موجود"/>
    <n v="100000"/>
    <d v="2023-03-07T00:00:00"/>
    <d v="2026-03-06T00:00:00"/>
    <n v="80000"/>
    <n v="80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3-07-09T00:00:00"/>
    <s v="يجب اعادة طلبه"/>
    <s v="غير موجود"/>
    <m/>
    <s v="يجب اعادة طلبه"/>
    <d v="2023-03-07T00:00:00"/>
    <m/>
    <m/>
    <s v="فردى"/>
    <m/>
  </r>
  <r>
    <s v="CS03"/>
    <x v="198"/>
    <x v="198"/>
    <s v="نقدى"/>
    <m/>
    <s v=""/>
    <x v="3"/>
    <s v="يجب اعادة طلبه"/>
    <x v="1"/>
    <m/>
    <m/>
    <x v="0"/>
    <x v="1"/>
    <s v="301032571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5-23T00:00:00"/>
    <m/>
    <m/>
    <s v="فردى"/>
    <m/>
  </r>
  <r>
    <s v="CS03"/>
    <x v="199"/>
    <x v="199"/>
    <s v="نقدى"/>
    <m/>
    <s v=""/>
    <x v="3"/>
    <s v="يجب اعادة طلبه"/>
    <x v="1"/>
    <m/>
    <m/>
    <x v="0"/>
    <x v="1"/>
    <s v="3100272249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5-23T00:00:00"/>
    <m/>
    <m/>
    <s v="فردى"/>
    <m/>
  </r>
  <r>
    <s v="CS03"/>
    <x v="200"/>
    <x v="200"/>
    <s v="نقدى"/>
    <m/>
    <s v=""/>
    <x v="3"/>
    <s v="يجب اعادة طلبه"/>
    <x v="1"/>
    <m/>
    <m/>
    <x v="0"/>
    <x v="1"/>
    <s v="310051474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5-17T00:00:00"/>
    <m/>
    <m/>
    <s v="فردى"/>
    <m/>
  </r>
  <r>
    <s v="CS03"/>
    <x v="201"/>
    <x v="201"/>
    <s v="نقدى"/>
    <m/>
    <s v=""/>
    <x v="3"/>
    <s v="يجب اعادة طلبه"/>
    <x v="1"/>
    <m/>
    <m/>
    <x v="0"/>
    <x v="1"/>
    <s v="3110875794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5-17T00:00:00"/>
    <m/>
    <m/>
    <s v="فردى"/>
    <m/>
  </r>
  <r>
    <s v="CS03"/>
    <x v="202"/>
    <x v="202"/>
    <s v="نقدى"/>
    <m/>
    <s v=""/>
    <x v="3"/>
    <s v="يجب اعادة طلبه"/>
    <x v="1"/>
    <m/>
    <m/>
    <x v="0"/>
    <x v="1"/>
    <s v="3008464022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0-07T00:00:00"/>
    <m/>
    <m/>
    <s v="فردى"/>
    <m/>
  </r>
  <r>
    <s v="CS03"/>
    <x v="203"/>
    <x v="203"/>
    <s v="نقدى"/>
    <m/>
    <s v=""/>
    <x v="3"/>
    <s v="يجب اعادة طلبه"/>
    <x v="1"/>
    <m/>
    <m/>
    <x v="0"/>
    <x v="1"/>
    <s v="300973962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3-02T00:00:00"/>
    <m/>
    <m/>
    <s v="فردى"/>
    <m/>
  </r>
  <r>
    <s v="CS03"/>
    <x v="204"/>
    <x v="204"/>
    <s v="نقدى"/>
    <m/>
    <s v=""/>
    <x v="3"/>
    <s v="يجب اعادة طلبه"/>
    <x v="1"/>
    <m/>
    <m/>
    <x v="0"/>
    <x v="1"/>
    <s v="302167956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2-13T00:00:00"/>
    <m/>
    <m/>
    <s v="فردى"/>
    <m/>
  </r>
  <r>
    <s v="CS03"/>
    <x v="205"/>
    <x v="205"/>
    <s v="نقدى"/>
    <m/>
    <s v=""/>
    <x v="3"/>
    <s v="يجب اعادة طلبه"/>
    <x v="1"/>
    <m/>
    <m/>
    <x v="0"/>
    <x v="1"/>
    <s v="300852509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2-09T00:00:00"/>
    <m/>
    <m/>
    <s v="فردى"/>
    <m/>
  </r>
  <r>
    <s v="CS03"/>
    <x v="206"/>
    <x v="206"/>
    <s v="نقدى"/>
    <m/>
    <s v=""/>
    <x v="3"/>
    <s v="يجب اعادة طلبه"/>
    <x v="1"/>
    <m/>
    <m/>
    <x v="0"/>
    <x v="1"/>
    <s v="310389488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1-03T00:00:00"/>
    <m/>
    <m/>
    <s v="فردى"/>
    <m/>
  </r>
  <r>
    <s v="CS03"/>
    <x v="207"/>
    <x v="207"/>
    <s v="نقدى"/>
    <m/>
    <s v=""/>
    <x v="3"/>
    <s v="يجب اعادة طلبه"/>
    <x v="1"/>
    <m/>
    <m/>
    <x v="0"/>
    <x v="1"/>
    <s v="300842107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1-01T00:00:00"/>
    <m/>
    <m/>
    <s v="فردى"/>
    <m/>
  </r>
  <r>
    <s v="CS03"/>
    <x v="208"/>
    <x v="208"/>
    <s v="نقدى"/>
    <m/>
    <s v=""/>
    <x v="3"/>
    <s v="يجب اعادة طلبه"/>
    <x v="1"/>
    <m/>
    <m/>
    <x v="0"/>
    <x v="1"/>
    <s v="310051560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22T00:00:00"/>
    <m/>
    <m/>
    <s v="فردى"/>
    <m/>
  </r>
  <r>
    <s v="CS03"/>
    <x v="209"/>
    <x v="209"/>
    <s v="نقدى"/>
    <m/>
    <s v=""/>
    <x v="3"/>
    <s v="يجب اعادة طلبه"/>
    <x v="1"/>
    <m/>
    <m/>
    <x v="0"/>
    <x v="1"/>
    <s v="310095945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1-07T00:00:00"/>
    <m/>
    <m/>
    <s v="فردى"/>
    <m/>
  </r>
  <r>
    <s v="CS03"/>
    <x v="210"/>
    <x v="210"/>
    <s v="نقدى"/>
    <m/>
    <s v=""/>
    <x v="3"/>
    <s v="يجب اعادة طلبه"/>
    <x v="1"/>
    <m/>
    <m/>
    <x v="0"/>
    <x v="1"/>
    <s v="3101034189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5-04T00:00:00"/>
    <m/>
    <m/>
    <s v="فردى"/>
    <m/>
  </r>
  <r>
    <s v="CS03"/>
    <x v="211"/>
    <x v="211"/>
    <s v="نقدى"/>
    <m/>
    <s v=""/>
    <x v="3"/>
    <s v="يجب اعادة طلبه"/>
    <x v="1"/>
    <m/>
    <m/>
    <x v="0"/>
    <x v="1"/>
    <s v="3101216524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5-26T00:00:00"/>
    <m/>
    <m/>
    <s v="فردى"/>
    <m/>
  </r>
  <r>
    <s v="CS03"/>
    <x v="212"/>
    <x v="212"/>
    <s v="آجل"/>
    <m/>
    <s v=""/>
    <x v="1"/>
    <s v="يجب اعادة طلبه"/>
    <x v="1"/>
    <m/>
    <m/>
    <x v="0"/>
    <x v="0"/>
    <s v="310156620700003"/>
    <x v="0"/>
    <x v="0"/>
    <m/>
    <x v="0"/>
    <s v="غير موجود"/>
    <m/>
    <m/>
    <n v="0"/>
    <n v="0"/>
    <n v="24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7-01T00:00:00"/>
    <m/>
    <s v="العميل له حد ائتمانى على SAP بدون سند امر او استثناء"/>
    <s v="فردى"/>
    <m/>
  </r>
  <r>
    <s v="CS03"/>
    <x v="213"/>
    <x v="213"/>
    <s v="نقدى"/>
    <m/>
    <s v=""/>
    <x v="3"/>
    <s v="يجب اعادة طلبه"/>
    <x v="1"/>
    <m/>
    <m/>
    <x v="0"/>
    <x v="1"/>
    <s v="3102743422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17T00:00:00"/>
    <m/>
    <m/>
    <s v="فردى"/>
    <m/>
  </r>
  <r>
    <s v="CS03"/>
    <x v="214"/>
    <x v="214"/>
    <s v="نقدى"/>
    <m/>
    <s v=""/>
    <x v="3"/>
    <s v="يجب اعادة طلبه"/>
    <x v="1"/>
    <m/>
    <m/>
    <x v="0"/>
    <x v="1"/>
    <s v="310286323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1-10T00:00:00"/>
    <m/>
    <m/>
    <s v="فردى"/>
    <m/>
  </r>
  <r>
    <s v="CS03"/>
    <x v="215"/>
    <x v="215"/>
    <s v="نقدى"/>
    <m/>
    <s v=""/>
    <x v="3"/>
    <s v="يجب اعادة طلبه"/>
    <x v="1"/>
    <m/>
    <m/>
    <x v="0"/>
    <x v="1"/>
    <s v="310294087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5-22T00:00:00"/>
    <m/>
    <m/>
    <s v="فردى"/>
    <m/>
  </r>
  <r>
    <s v="CS03"/>
    <x v="216"/>
    <x v="216"/>
    <s v="نقدى"/>
    <m/>
    <s v=""/>
    <x v="3"/>
    <s v="يجب اعادة طلبه"/>
    <x v="1"/>
    <m/>
    <m/>
    <x v="0"/>
    <x v="0"/>
    <s v="310305319300003"/>
    <x v="0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11T00:00:00"/>
    <m/>
    <m/>
    <s v="فردى"/>
    <m/>
  </r>
  <r>
    <s v="CS03"/>
    <x v="217"/>
    <x v="217"/>
    <s v="نقدى"/>
    <m/>
    <s v=""/>
    <x v="3"/>
    <s v="يجب اعادة طلبه"/>
    <x v="1"/>
    <m/>
    <m/>
    <x v="0"/>
    <x v="1"/>
    <s v="311229393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1-20T00:00:00"/>
    <m/>
    <m/>
    <s v="فردى"/>
    <m/>
  </r>
  <r>
    <s v="CS04"/>
    <x v="218"/>
    <x v="218"/>
    <s v="نقدى"/>
    <m/>
    <s v=""/>
    <x v="3"/>
    <s v="يجب اعادة طلبه"/>
    <x v="1"/>
    <m/>
    <m/>
    <x v="0"/>
    <x v="0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19"/>
    <x v="219"/>
    <s v="نقدى"/>
    <m/>
    <s v=""/>
    <x v="3"/>
    <s v="يجب اعادة طلبه"/>
    <x v="1"/>
    <m/>
    <m/>
    <x v="0"/>
    <x v="0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20"/>
    <x v="220"/>
    <s v="نقدى"/>
    <m/>
    <s v=""/>
    <x v="3"/>
    <s v="يجب اعادة طلبه"/>
    <x v="1"/>
    <m/>
    <m/>
    <x v="0"/>
    <x v="0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21"/>
    <x v="221"/>
    <s v="نقدى"/>
    <m/>
    <s v=""/>
    <x v="3"/>
    <s v="يجب اعادة طلبه"/>
    <x v="1"/>
    <m/>
    <m/>
    <x v="0"/>
    <x v="0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22"/>
    <x v="222"/>
    <s v="نقدى"/>
    <m/>
    <s v=""/>
    <x v="3"/>
    <s v="يجب اعادة طلبه"/>
    <x v="1"/>
    <m/>
    <m/>
    <x v="0"/>
    <x v="0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6-30T00:00:00"/>
    <m/>
    <m/>
    <s v="فردى"/>
    <m/>
  </r>
  <r>
    <s v="CS04"/>
    <x v="223"/>
    <x v="223"/>
    <s v="نقدى"/>
    <m/>
    <s v=""/>
    <x v="3"/>
    <s v="يجب اعادة طلبه"/>
    <x v="1"/>
    <m/>
    <m/>
    <x v="0"/>
    <x v="0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24"/>
    <x v="224"/>
    <s v="نقدى"/>
    <m/>
    <s v=""/>
    <x v="3"/>
    <s v="يجب اعادة طلبه"/>
    <x v="1"/>
    <m/>
    <m/>
    <x v="0"/>
    <x v="0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25"/>
    <x v="225"/>
    <s v="نقدى"/>
    <m/>
    <s v=""/>
    <x v="3"/>
    <s v="يجب اعادة طلبه"/>
    <x v="1"/>
    <m/>
    <m/>
    <x v="0"/>
    <x v="0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5-04T00:00:00"/>
    <m/>
    <m/>
    <s v="فردى"/>
    <m/>
  </r>
  <r>
    <s v="CS04"/>
    <x v="226"/>
    <x v="226"/>
    <s v="نقدى"/>
    <m/>
    <s v=""/>
    <x v="3"/>
    <s v="يجب اعادة طلبه"/>
    <x v="1"/>
    <m/>
    <m/>
    <x v="0"/>
    <x v="1"/>
    <s v="300634072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ع"/>
    <m/>
  </r>
  <r>
    <s v="CS04"/>
    <x v="227"/>
    <x v="227"/>
    <s v="نقدى"/>
    <m/>
    <s v=""/>
    <x v="3"/>
    <s v="يجب اعادة طلبه"/>
    <x v="1"/>
    <m/>
    <m/>
    <x v="0"/>
    <x v="1"/>
    <s v="300520683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28"/>
    <x v="228"/>
    <s v="نقدى"/>
    <m/>
    <s v=""/>
    <x v="3"/>
    <s v="يجب اعادة طلبه"/>
    <x v="1"/>
    <m/>
    <m/>
    <x v="0"/>
    <x v="1"/>
    <s v="3005628624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29"/>
    <x v="229"/>
    <s v="نقدى"/>
    <m/>
    <s v=""/>
    <x v="3"/>
    <s v="يجب اعادة طلبه"/>
    <x v="1"/>
    <m/>
    <m/>
    <x v="0"/>
    <x v="1"/>
    <s v="300744098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11-16T00:00:00"/>
    <m/>
    <m/>
    <s v="فردى"/>
    <m/>
  </r>
  <r>
    <s v="CS04"/>
    <x v="230"/>
    <x v="230"/>
    <s v="نقدى"/>
    <m/>
    <m/>
    <x v="3"/>
    <s v="يجب اعادة طلبه"/>
    <x v="2"/>
    <m/>
    <s v=""/>
    <x v="0"/>
    <x v="2"/>
    <n v="0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8-03T00:00:00"/>
    <m/>
    <m/>
    <s v="فردى"/>
    <m/>
  </r>
  <r>
    <s v="CS04"/>
    <x v="231"/>
    <x v="231"/>
    <s v="آجل"/>
    <m/>
    <s v=""/>
    <x v="1"/>
    <s v="يجب اعادة طلبه"/>
    <x v="1"/>
    <m/>
    <m/>
    <x v="0"/>
    <x v="0"/>
    <n v="0"/>
    <x v="0"/>
    <x v="0"/>
    <m/>
    <x v="0"/>
    <s v="غير موجود"/>
    <m/>
    <m/>
    <n v="0"/>
    <n v="0"/>
    <n v="16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d v="2019-05-16T00:00:00"/>
    <m/>
    <s v="العميل له حد ائتمانى على SAP بدون سند امر او استثناء"/>
    <s v="فردى"/>
    <m/>
  </r>
  <r>
    <s v="CS04"/>
    <x v="232"/>
    <x v="232"/>
    <s v="آجل"/>
    <s v="مخلد جزاء مرزوق المطيري"/>
    <s v="مؤسسة"/>
    <x v="0"/>
    <s v="سارى"/>
    <x v="0"/>
    <d v="2019-07-12T00:00:00"/>
    <s v="غير مطابق"/>
    <x v="0"/>
    <x v="0"/>
    <n v="0"/>
    <x v="0"/>
    <x v="0"/>
    <m/>
    <x v="0"/>
    <s v="موجود"/>
    <n v="20000"/>
    <m/>
    <n v="0"/>
    <n v="16000"/>
    <n v="16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6-30T00:00:00"/>
    <m/>
    <m/>
    <s v="فردى"/>
    <m/>
  </r>
  <r>
    <s v="CS04"/>
    <x v="233"/>
    <x v="233"/>
    <s v="آجل"/>
    <s v="محمد على ونيس الشمري "/>
    <s v="مؤسسة"/>
    <x v="0"/>
    <s v="سارى"/>
    <x v="0"/>
    <d v="2020-11-10T00:00:00"/>
    <s v="مطابق"/>
    <x v="0"/>
    <x v="0"/>
    <s v="300634072500003"/>
    <x v="0"/>
    <x v="0"/>
    <m/>
    <x v="0"/>
    <s v="غير موجود"/>
    <m/>
    <m/>
    <n v="0"/>
    <n v="0"/>
    <n v="120000"/>
    <s v="السند غير موجود"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5-01T00:00:00"/>
    <m/>
    <s v="العميل له حد ائتمانى على SAP بدون سند امر او استثناء"/>
    <s v="فرع"/>
    <m/>
  </r>
  <r>
    <s v="CS04"/>
    <x v="234"/>
    <x v="234"/>
    <s v="آجل"/>
    <s v="ظافر علي بن مانع البشري القحطاني "/>
    <s v="مؤسسة"/>
    <x v="0"/>
    <s v="سارى"/>
    <x v="0"/>
    <d v="2023-12-11T00:00:00"/>
    <s v="غير مطابق"/>
    <x v="0"/>
    <x v="0"/>
    <s v="300406236100003"/>
    <x v="0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7-13T00:00:00"/>
    <m/>
    <m/>
    <s v="فردى"/>
    <m/>
  </r>
  <r>
    <s v="CS04"/>
    <x v="235"/>
    <x v="235"/>
    <s v="نقدى"/>
    <m/>
    <s v=""/>
    <x v="0"/>
    <s v="سارى"/>
    <x v="1"/>
    <m/>
    <m/>
    <x v="0"/>
    <x v="0"/>
    <s v="300550997300003"/>
    <x v="0"/>
    <x v="0"/>
    <m/>
    <x v="0"/>
    <s v="موجود"/>
    <n v="10000"/>
    <d v="2019-06-19T00:00:00"/>
    <d v="2022-06-18T00:00:00"/>
    <n v="8000"/>
    <n v="0"/>
    <s v="السند اكبر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6-18T00:00:00"/>
    <m/>
    <m/>
    <s v="فردى"/>
    <m/>
  </r>
  <r>
    <s v="CS04"/>
    <x v="236"/>
    <x v="236"/>
    <s v="آجل"/>
    <s v="فهد فارس سعد الصميلي السبيعي"/>
    <s v="مؤسسة"/>
    <x v="0"/>
    <s v="سارى"/>
    <x v="0"/>
    <d v="2019-09-03T00:00:00"/>
    <s v="مطابق"/>
    <x v="0"/>
    <x v="1"/>
    <s v="300817654100003"/>
    <x v="1"/>
    <x v="0"/>
    <m/>
    <x v="0"/>
    <s v="موجود"/>
    <n v="30000"/>
    <m/>
    <n v="0"/>
    <n v="24000"/>
    <n v="2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7-25T00:00:00"/>
    <m/>
    <m/>
    <s v="فردى"/>
    <m/>
  </r>
  <r>
    <s v="CS04"/>
    <x v="237"/>
    <x v="237"/>
    <s v="آجل"/>
    <s v="شمة مفرح ثواب الحربي"/>
    <s v="مؤسسة"/>
    <x v="0"/>
    <s v="سارى"/>
    <x v="0"/>
    <d v="2019-10-20T00:00:00"/>
    <s v="مطابق"/>
    <x v="0"/>
    <x v="0"/>
    <s v="300861711700003"/>
    <x v="0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9-11T00:00:00"/>
    <m/>
    <m/>
    <s v="فردى"/>
    <m/>
  </r>
  <r>
    <s v="CS04"/>
    <x v="238"/>
    <x v="238"/>
    <s v="نقدى"/>
    <s v="مسلم كرامه حجيل الصريعي"/>
    <s v="مؤسسة"/>
    <x v="1"/>
    <s v="يجب اعادة طلبه"/>
    <x v="0"/>
    <d v="2023-12-06T00:00:00"/>
    <s v="مطابق"/>
    <x v="1"/>
    <x v="1"/>
    <s v="300973094300003"/>
    <x v="1"/>
    <x v="1"/>
    <d v="2025-04-21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m/>
    <m/>
    <s v="يجب اعادة طلبه"/>
    <d v="2020-06-28T00:00:00"/>
    <m/>
    <m/>
    <s v="فردى"/>
    <m/>
  </r>
  <r>
    <s v="CS04"/>
    <x v="239"/>
    <x v="239"/>
    <s v="آجل"/>
    <m/>
    <s v=""/>
    <x v="0"/>
    <s v="سارى"/>
    <x v="1"/>
    <m/>
    <m/>
    <x v="0"/>
    <x v="1"/>
    <s v="301186157700003"/>
    <x v="1"/>
    <x v="0"/>
    <m/>
    <x v="0"/>
    <s v="موجود"/>
    <n v="20000"/>
    <m/>
    <n v="0"/>
    <n v="16000"/>
    <n v="16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m/>
    <s v="فردى"/>
    <m/>
  </r>
  <r>
    <s v="CS04"/>
    <x v="240"/>
    <x v="240"/>
    <s v="آجل"/>
    <s v="عبدالله عايد ظاهر العنزي"/>
    <s v="مؤسسة"/>
    <x v="0"/>
    <s v="سارى"/>
    <x v="0"/>
    <d v="2020-06-26T00:00:00"/>
    <s v="مطابق"/>
    <x v="0"/>
    <x v="0"/>
    <s v="302049505700003"/>
    <x v="0"/>
    <x v="0"/>
    <m/>
    <x v="0"/>
    <s v="موجود"/>
    <n v="150000"/>
    <m/>
    <n v="0"/>
    <n v="120000"/>
    <n v="12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12-15T00:00:00"/>
    <m/>
    <m/>
    <s v="فردى"/>
    <m/>
  </r>
  <r>
    <s v="CS04"/>
    <x v="241"/>
    <x v="241"/>
    <s v="آجل"/>
    <m/>
    <s v="ذات مسئولية محدودة"/>
    <x v="0"/>
    <s v="سارى"/>
    <x v="0"/>
    <d v="2020-11-27T00:00:00"/>
    <s v="مطابق"/>
    <x v="0"/>
    <x v="0"/>
    <s v="310422227300003"/>
    <x v="0"/>
    <x v="0"/>
    <m/>
    <x v="0"/>
    <s v="موجود"/>
    <n v="100000"/>
    <d v="2019-11-18T00:00:00"/>
    <d v="2022-11-17T00:00:00"/>
    <n v="80000"/>
    <n v="40000"/>
    <s v="السند اكبر"/>
    <s v="مطابق"/>
    <s v="يجب اعادة طلبه"/>
    <s v="غير موجود"/>
    <m/>
    <s v="يجب اعادة طلبه"/>
    <m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11-25T00:00:00"/>
    <m/>
    <m/>
    <s v="فردى"/>
    <m/>
  </r>
  <r>
    <s v="CS04"/>
    <x v="242"/>
    <x v="242"/>
    <s v="آجل"/>
    <m/>
    <s v=""/>
    <x v="1"/>
    <s v="يجب اعادة طلبه"/>
    <x v="1"/>
    <m/>
    <m/>
    <x v="0"/>
    <x v="0"/>
    <s v="301001457600003"/>
    <x v="0"/>
    <x v="0"/>
    <m/>
    <x v="0"/>
    <s v="غير موجود"/>
    <m/>
    <m/>
    <n v="0"/>
    <n v="0"/>
    <n v="16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19-04-26T00:00:00"/>
    <m/>
    <s v="العميل له حد ائتمانى على SAP بدون سند امر او استثناء"/>
    <s v="فردى"/>
    <m/>
  </r>
  <r>
    <s v="CS04"/>
    <x v="243"/>
    <x v="243"/>
    <s v="نقدى"/>
    <m/>
    <s v=""/>
    <x v="3"/>
    <s v="يجب اعادة طلبه"/>
    <x v="1"/>
    <m/>
    <m/>
    <x v="0"/>
    <x v="1"/>
    <s v="301039579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44"/>
    <x v="244"/>
    <s v="نقدى"/>
    <m/>
    <s v=""/>
    <x v="3"/>
    <s v="يجب اعادة طلبه"/>
    <x v="1"/>
    <m/>
    <m/>
    <x v="0"/>
    <x v="1"/>
    <s v="302067383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45"/>
    <x v="245"/>
    <s v="نقدى"/>
    <m/>
    <s v=""/>
    <x v="3"/>
    <s v="يجب اعادة طلبه"/>
    <x v="1"/>
    <m/>
    <m/>
    <x v="0"/>
    <x v="1"/>
    <s v="310013389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05-20T00:00:00"/>
    <m/>
    <m/>
    <s v="فردى"/>
    <m/>
  </r>
  <r>
    <s v="CS04"/>
    <x v="246"/>
    <x v="246"/>
    <s v="نقدى"/>
    <m/>
    <s v=""/>
    <x v="3"/>
    <s v="يجب اعادة طلبه"/>
    <x v="1"/>
    <m/>
    <m/>
    <x v="0"/>
    <x v="1"/>
    <s v="310122304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4-26T00:00:00"/>
    <m/>
    <m/>
    <s v="فردى"/>
    <m/>
  </r>
  <r>
    <s v="CS04"/>
    <x v="247"/>
    <x v="247"/>
    <s v="نقدى"/>
    <m/>
    <s v=""/>
    <x v="3"/>
    <s v="يجب اعادة طلبه"/>
    <x v="1"/>
    <m/>
    <m/>
    <x v="0"/>
    <x v="1"/>
    <s v="310259356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5-04T00:00:00"/>
    <m/>
    <m/>
    <s v="فردى"/>
    <m/>
  </r>
  <r>
    <s v="CS04"/>
    <x v="248"/>
    <x v="248"/>
    <s v="نقدى"/>
    <m/>
    <s v=""/>
    <x v="3"/>
    <s v="يجب اعادة طلبه"/>
    <x v="1"/>
    <m/>
    <m/>
    <x v="0"/>
    <x v="1"/>
    <s v="3008977475900003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6-20T00:00:00"/>
    <m/>
    <m/>
    <s v="فردى"/>
    <m/>
  </r>
  <r>
    <s v="CS05"/>
    <x v="249"/>
    <x v="249"/>
    <s v="نقدى"/>
    <m/>
    <s v=""/>
    <x v="3"/>
    <s v="يجب اعادة طلبه"/>
    <x v="1"/>
    <m/>
    <m/>
    <x v="0"/>
    <x v="0"/>
    <s v="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1-25T00:00:00"/>
    <m/>
    <m/>
    <s v="فردى"/>
    <m/>
  </r>
  <r>
    <s v="CS05"/>
    <x v="250"/>
    <x v="250"/>
    <s v="نقدى"/>
    <m/>
    <s v=""/>
    <x v="3"/>
    <s v="يجب اعادة طلبه"/>
    <x v="1"/>
    <m/>
    <m/>
    <x v="0"/>
    <x v="0"/>
    <s v="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2-21T00:00:00"/>
    <m/>
    <m/>
    <s v="فردى"/>
    <m/>
  </r>
  <r>
    <s v="CS05"/>
    <x v="251"/>
    <x v="251"/>
    <s v="نقدى"/>
    <m/>
    <s v=""/>
    <x v="3"/>
    <s v="يجب اعادة طلبه"/>
    <x v="1"/>
    <m/>
    <m/>
    <x v="0"/>
    <x v="0"/>
    <s v="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1-28T00:00:00"/>
    <m/>
    <m/>
    <s v="فردى"/>
    <m/>
  </r>
  <r>
    <s v="CS05"/>
    <x v="252"/>
    <x v="252"/>
    <s v="نقدى"/>
    <m/>
    <s v=""/>
    <x v="3"/>
    <s v="يجب اعادة طلبه"/>
    <x v="1"/>
    <m/>
    <m/>
    <x v="0"/>
    <x v="1"/>
    <s v="300394039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16T00:00:00"/>
    <m/>
    <m/>
    <s v="فردى"/>
    <m/>
  </r>
  <r>
    <s v="CS05"/>
    <x v="253"/>
    <x v="253"/>
    <s v="نقدى"/>
    <m/>
    <s v=""/>
    <x v="3"/>
    <s v="يجب اعادة طلبه"/>
    <x v="1"/>
    <m/>
    <m/>
    <x v="0"/>
    <x v="1"/>
    <s v="3003968959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12-30T00:00:00"/>
    <m/>
    <m/>
    <s v="فردى"/>
    <m/>
  </r>
  <r>
    <s v="CS05"/>
    <x v="254"/>
    <x v="254"/>
    <s v="نقدى"/>
    <m/>
    <s v=""/>
    <x v="3"/>
    <s v="يجب اعادة طلبه"/>
    <x v="1"/>
    <m/>
    <m/>
    <x v="0"/>
    <x v="1"/>
    <s v="300503269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9-06T00:00:00"/>
    <m/>
    <m/>
    <s v="فردى"/>
    <m/>
  </r>
  <r>
    <s v="CS05"/>
    <x v="255"/>
    <x v="255"/>
    <s v="نقدى"/>
    <m/>
    <s v=""/>
    <x v="3"/>
    <s v="يجب اعادة طلبه"/>
    <x v="1"/>
    <m/>
    <m/>
    <x v="0"/>
    <x v="1"/>
    <s v="300515541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29T00:00:00"/>
    <m/>
    <m/>
    <s v="فردى"/>
    <m/>
  </r>
  <r>
    <s v="CS05"/>
    <x v="256"/>
    <x v="256"/>
    <s v="نقدى"/>
    <m/>
    <s v=""/>
    <x v="3"/>
    <s v="يجب اعادة طلبه"/>
    <x v="1"/>
    <m/>
    <m/>
    <x v="0"/>
    <x v="1"/>
    <s v="300562168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1-28T00:00:00"/>
    <m/>
    <m/>
    <s v="فردى"/>
    <m/>
  </r>
  <r>
    <s v="CS05"/>
    <x v="257"/>
    <x v="257"/>
    <s v="نقدى"/>
    <m/>
    <s v=""/>
    <x v="3"/>
    <s v="يجب اعادة طلبه"/>
    <x v="1"/>
    <m/>
    <m/>
    <x v="0"/>
    <x v="0"/>
    <s v="300579576100003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12-30T00:00:00"/>
    <m/>
    <m/>
    <s v="فردى"/>
    <m/>
  </r>
  <r>
    <s v="CS05"/>
    <x v="258"/>
    <x v="258"/>
    <s v="نقدى"/>
    <m/>
    <s v=""/>
    <x v="3"/>
    <s v="يجب اعادة طلبه"/>
    <x v="1"/>
    <m/>
    <m/>
    <x v="0"/>
    <x v="1"/>
    <s v="3006340589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23T00:00:00"/>
    <m/>
    <m/>
    <s v="فردى"/>
    <m/>
  </r>
  <r>
    <s v="CS05"/>
    <x v="259"/>
    <x v="259"/>
    <s v="نقدى"/>
    <s v="شافي عبدالهادي بتال الدوسري"/>
    <s v="مؤسسة"/>
    <x v="0"/>
    <s v="سارى"/>
    <x v="0"/>
    <d v="2024-05-07T00:00:00"/>
    <s v="مطابق"/>
    <x v="1"/>
    <x v="1"/>
    <s v="302031185300003"/>
    <x v="1"/>
    <x v="0"/>
    <m/>
    <x v="0"/>
    <s v="نقدى"/>
    <m/>
    <m/>
    <n v="0"/>
    <n v="0"/>
    <n v="0"/>
    <s v="مطابق"/>
    <m/>
    <s v="سارى"/>
    <s v="موجود"/>
    <d v="2032-05-06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0-05T00:00:00"/>
    <m/>
    <m/>
    <s v="فردى"/>
    <m/>
  </r>
  <r>
    <s v="CS05"/>
    <x v="260"/>
    <x v="260"/>
    <s v="نقدى"/>
    <m/>
    <s v=""/>
    <x v="3"/>
    <s v="يجب اعادة طلبه"/>
    <x v="1"/>
    <m/>
    <m/>
    <x v="0"/>
    <x v="1"/>
    <s v="300736221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04T00:00:00"/>
    <m/>
    <m/>
    <s v="فردى"/>
    <m/>
  </r>
  <r>
    <s v="CS05"/>
    <x v="261"/>
    <x v="261"/>
    <s v="نقدى"/>
    <m/>
    <s v=""/>
    <x v="3"/>
    <s v="يجب اعادة طلبه"/>
    <x v="1"/>
    <m/>
    <m/>
    <x v="0"/>
    <x v="1"/>
    <s v="3007583719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7-14T00:00:00"/>
    <m/>
    <m/>
    <s v="فردى"/>
    <m/>
  </r>
  <r>
    <s v="CS05"/>
    <x v="262"/>
    <x v="262"/>
    <s v="نقدى"/>
    <m/>
    <s v=""/>
    <x v="3"/>
    <s v="يجب اعادة طلبه"/>
    <x v="1"/>
    <m/>
    <m/>
    <x v="0"/>
    <x v="1"/>
    <s v="3008129628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19T00:00:00"/>
    <m/>
    <m/>
    <s v="فردى"/>
    <m/>
  </r>
  <r>
    <s v="CS05"/>
    <x v="263"/>
    <x v="263"/>
    <s v="نقدى"/>
    <m/>
    <s v=""/>
    <x v="3"/>
    <s v="يجب اعادة طلبه"/>
    <x v="1"/>
    <m/>
    <m/>
    <x v="0"/>
    <x v="1"/>
    <s v="3008313049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16T00:00:00"/>
    <m/>
    <m/>
    <s v="فردى"/>
    <m/>
  </r>
  <r>
    <s v="CS05"/>
    <x v="264"/>
    <x v="264"/>
    <s v="نقدى"/>
    <s v="سعد بن علي بن قنيص الخالدي"/>
    <s v="مؤسسة"/>
    <x v="1"/>
    <s v="يجب اعادة طلبه"/>
    <x v="0"/>
    <d v="2023-08-05T00:00:00"/>
    <s v="مطابق"/>
    <x v="0"/>
    <x v="1"/>
    <s v="311237272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6-04T00:00:00"/>
    <m/>
    <m/>
    <s v="فردى"/>
    <m/>
  </r>
  <r>
    <s v="CS05"/>
    <x v="265"/>
    <x v="265"/>
    <s v="نقدى"/>
    <m/>
    <s v=""/>
    <x v="1"/>
    <s v="يجب اعادة طلبه"/>
    <x v="1"/>
    <m/>
    <m/>
    <x v="0"/>
    <x v="0"/>
    <s v="3108889629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6-01T00:00:00"/>
    <m/>
    <m/>
    <s v="فردى"/>
    <m/>
  </r>
  <r>
    <s v="CS05"/>
    <x v="266"/>
    <x v="266"/>
    <s v="نقدى"/>
    <m/>
    <s v=""/>
    <x v="1"/>
    <s v="يجب اعادة طلبه"/>
    <x v="1"/>
    <m/>
    <m/>
    <x v="0"/>
    <x v="1"/>
    <s v="3008839796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3-08T00:00:00"/>
    <m/>
    <m/>
    <s v="فردى"/>
    <m/>
  </r>
  <r>
    <s v="CS05"/>
    <x v="267"/>
    <x v="267"/>
    <s v="نقدى"/>
    <s v="محمد عبدالله محمد الخراز"/>
    <s v="مؤسسة"/>
    <x v="1"/>
    <s v="يجب اعادة طلبه"/>
    <x v="0"/>
    <d v="2023-10-15T00:00:00"/>
    <s v="مطابق"/>
    <x v="1"/>
    <x v="1"/>
    <s v="310327074300003"/>
    <x v="1"/>
    <x v="1"/>
    <d v="2023-02-15T00:00:00"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3-15T00:00:00"/>
    <m/>
    <m/>
    <s v="فردى"/>
    <m/>
  </r>
  <r>
    <s v="CS05"/>
    <x v="268"/>
    <x v="268"/>
    <s v="آجل"/>
    <m/>
    <s v=""/>
    <x v="0"/>
    <s v="سارى"/>
    <x v="1"/>
    <m/>
    <m/>
    <x v="0"/>
    <x v="0"/>
    <s v=""/>
    <x v="0"/>
    <x v="0"/>
    <m/>
    <x v="0"/>
    <s v="موجود"/>
    <n v="25000"/>
    <d v="2021-01-03T00:00:00"/>
    <d v="2024-01-03T00:00:00"/>
    <n v="20000"/>
    <n v="2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09T00:00:00"/>
    <m/>
    <m/>
    <s v="فردى"/>
    <m/>
  </r>
  <r>
    <s v="CS05"/>
    <x v="269"/>
    <x v="269"/>
    <s v="آجل"/>
    <s v="حوراء احمد بن محمد آل سعيد"/>
    <s v="مؤسسة"/>
    <x v="0"/>
    <s v="سارى"/>
    <x v="0"/>
    <d v="2023-11-14T00:00:00"/>
    <s v="مطابق"/>
    <x v="1"/>
    <x v="0"/>
    <s v=""/>
    <x v="0"/>
    <x v="0"/>
    <m/>
    <x v="0"/>
    <s v="موجود"/>
    <n v="75000"/>
    <m/>
    <n v="0"/>
    <n v="60000"/>
    <n v="6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23T00:00:00"/>
    <m/>
    <m/>
    <s v="فردى"/>
    <m/>
  </r>
  <r>
    <s v="CS05"/>
    <x v="270"/>
    <x v="270"/>
    <s v="آجل"/>
    <m/>
    <s v=""/>
    <x v="0"/>
    <s v="سارى"/>
    <x v="1"/>
    <m/>
    <m/>
    <x v="0"/>
    <x v="0"/>
    <s v=""/>
    <x v="0"/>
    <x v="0"/>
    <m/>
    <x v="0"/>
    <s v="موجود"/>
    <n v="30000"/>
    <d v="2021-04-09T00:00:00"/>
    <d v="2024-04-08T00:00:00"/>
    <n v="24000"/>
    <n v="24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4-29T00:00:00"/>
    <m/>
    <m/>
    <s v="فردى"/>
    <m/>
  </r>
  <r>
    <s v="CS05"/>
    <x v="271"/>
    <x v="271"/>
    <s v="آجل"/>
    <s v="فوائد بن محمد بن عبدالمحسن اللويمي"/>
    <s v="مؤسسة"/>
    <x v="0"/>
    <s v="سارى"/>
    <x v="0"/>
    <d v="2022-08-26T00:00:00"/>
    <s v="مطابق"/>
    <x v="0"/>
    <x v="0"/>
    <s v=""/>
    <x v="0"/>
    <x v="0"/>
    <m/>
    <x v="0"/>
    <s v="موجود"/>
    <n v="10000"/>
    <m/>
    <n v="0"/>
    <n v="8000"/>
    <n v="8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1-11T00:00:00"/>
    <m/>
    <m/>
    <s v="فردى"/>
    <m/>
  </r>
  <r>
    <s v="CS05"/>
    <x v="272"/>
    <x v="272"/>
    <s v="آجل"/>
    <m/>
    <s v=""/>
    <x v="1"/>
    <s v="يجب اعادة طلبه"/>
    <x v="1"/>
    <m/>
    <m/>
    <x v="0"/>
    <x v="0"/>
    <s v="300917765400003"/>
    <x v="0"/>
    <x v="0"/>
    <m/>
    <x v="0"/>
    <s v="غير موجود"/>
    <m/>
    <m/>
    <n v="0"/>
    <n v="0"/>
    <n v="5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0-03T00:00:00"/>
    <m/>
    <s v="العميل له حد ائتمانى على SAP بدون سند امر او استثناء"/>
    <s v="فردى"/>
    <m/>
  </r>
  <r>
    <s v="CS05"/>
    <x v="273"/>
    <x v="273"/>
    <s v="آجل"/>
    <m/>
    <s v=""/>
    <x v="0"/>
    <s v="سارى"/>
    <x v="1"/>
    <m/>
    <m/>
    <x v="0"/>
    <x v="0"/>
    <s v="31014242500003"/>
    <x v="0"/>
    <x v="0"/>
    <m/>
    <x v="0"/>
    <s v="موجود"/>
    <n v="20000"/>
    <m/>
    <n v="0"/>
    <n v="16000"/>
    <n v="16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2-25T00:00:00"/>
    <m/>
    <m/>
    <s v="فردى"/>
    <m/>
  </r>
  <r>
    <s v="CS05"/>
    <x v="274"/>
    <x v="274"/>
    <s v="نقدى"/>
    <s v="احمد عايش محمد النمر"/>
    <s v="مؤسسة"/>
    <x v="1"/>
    <s v="يجب اعادة طلبه"/>
    <x v="0"/>
    <d v="2023-06-08T00:00:00"/>
    <s v="مطابق"/>
    <x v="0"/>
    <x v="1"/>
    <s v="3003889935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11-30T00:00:00"/>
    <m/>
    <m/>
    <s v="فردى"/>
    <m/>
  </r>
  <r>
    <s v="CS05"/>
    <x v="275"/>
    <x v="275"/>
    <s v="نقدى"/>
    <s v="محمد حمود محمد السهدي الهاجري "/>
    <s v="مؤسسة"/>
    <x v="1"/>
    <s v="يجب اعادة طلبه"/>
    <x v="0"/>
    <d v="2023-05-03T00:00:00"/>
    <s v="مطابق"/>
    <x v="0"/>
    <x v="1"/>
    <s v="300412784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2-23T00:00:00"/>
    <m/>
    <m/>
    <s v="فردى"/>
    <m/>
  </r>
  <r>
    <s v="CS05"/>
    <x v="276"/>
    <x v="276"/>
    <s v="آجل"/>
    <s v="ماجد عبدالمحسن علي الرماح "/>
    <s v="مؤسسة"/>
    <x v="0"/>
    <s v="سارى"/>
    <x v="0"/>
    <d v="2025-10-06T00:00:00"/>
    <s v="مطابق"/>
    <x v="1"/>
    <x v="1"/>
    <s v="300423683100003"/>
    <x v="1"/>
    <x v="0"/>
    <m/>
    <x v="0"/>
    <s v="موجود"/>
    <m/>
    <m/>
    <n v="0"/>
    <n v="0"/>
    <n v="40000"/>
    <s v="السند غير موجود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2-21T00:00:00"/>
    <m/>
    <s v="العميل له حد ائتمانى على SAP بدون سند امر او استثناء"/>
    <s v="فردى"/>
    <m/>
  </r>
  <r>
    <s v="CS05"/>
    <x v="277"/>
    <x v="277"/>
    <s v="نقدى"/>
    <m/>
    <s v="توصية بسيطة"/>
    <x v="0"/>
    <s v="سارى"/>
    <x v="0"/>
    <d v="2024-10-19T00:00:00"/>
    <s v="مطابق"/>
    <x v="1"/>
    <x v="1"/>
    <s v="300425936100003"/>
    <x v="1"/>
    <x v="1"/>
    <d v="2022-06-02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2-16T00:00:00"/>
    <m/>
    <m/>
    <s v="فردى"/>
    <m/>
  </r>
  <r>
    <s v="CS05"/>
    <x v="278"/>
    <x v="278"/>
    <s v="آجل"/>
    <m/>
    <s v=""/>
    <x v="0"/>
    <s v="سارى"/>
    <x v="1"/>
    <m/>
    <m/>
    <x v="0"/>
    <x v="0"/>
    <s v="300450238100003"/>
    <x v="0"/>
    <x v="0"/>
    <m/>
    <x v="0"/>
    <s v="موجود"/>
    <n v="50000"/>
    <m/>
    <n v="0"/>
    <n v="40000"/>
    <n v="80000"/>
    <s v="السند اصغر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1-16T00:00:00"/>
    <m/>
    <s v="الحد الائتمانى متجاوز قيمة سند الامر"/>
    <s v="فردى"/>
    <m/>
  </r>
  <r>
    <m/>
    <x v="279"/>
    <x v="279"/>
    <s v="آجل"/>
    <m/>
    <s v=""/>
    <x v="2"/>
    <s v="يجب اعادة طلبه"/>
    <x v="1"/>
    <m/>
    <m/>
    <x v="0"/>
    <x v="0"/>
    <s v="300450704900003"/>
    <x v="0"/>
    <x v="0"/>
    <m/>
    <x v="0"/>
    <s v="غير موجود"/>
    <m/>
    <m/>
    <n v="0"/>
    <n v="0"/>
    <n v="2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02-15T00:00:00"/>
    <m/>
    <s v="تم تغير كيان العميل والعميل بحاجة الي ارسال كافة اوراقة"/>
    <s v="فردى"/>
    <m/>
  </r>
  <r>
    <s v="CS05"/>
    <x v="280"/>
    <x v="280"/>
    <s v="نقدى"/>
    <m/>
    <s v=""/>
    <x v="1"/>
    <s v="يجب اعادة طلبه"/>
    <x v="1"/>
    <m/>
    <m/>
    <x v="0"/>
    <x v="1"/>
    <s v="300459122200003"/>
    <x v="1"/>
    <x v="1"/>
    <d v="2023-05-28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1-10T00:00:00"/>
    <m/>
    <m/>
    <s v="فردى"/>
    <m/>
  </r>
  <r>
    <s v="CS05"/>
    <x v="281"/>
    <x v="281"/>
    <s v="نقدى"/>
    <s v="سليمان حمد سليمان الفليح "/>
    <s v="مؤسسة"/>
    <x v="0"/>
    <s v="سارى"/>
    <x v="0"/>
    <d v="2023-11-21T00:00:00"/>
    <s v="مطابق"/>
    <x v="1"/>
    <x v="1"/>
    <s v="300483711900003"/>
    <x v="1"/>
    <x v="1"/>
    <d v="2023-03-09T00:00:00"/>
    <x v="0"/>
    <s v="نقدى"/>
    <m/>
    <m/>
    <n v="0"/>
    <n v="0"/>
    <n v="0"/>
    <s v="مطابق"/>
    <m/>
    <s v="سارى"/>
    <s v="موجود"/>
    <d v="2037-03-26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3-02-07T00:00:00"/>
    <s v="يجب اعادة طلبه"/>
    <s v="غير موجود"/>
    <m/>
    <s v="يجب اعادة طلبه"/>
    <d v="2022-10-02T00:00:00"/>
    <m/>
    <m/>
    <s v="فردى"/>
    <m/>
  </r>
  <r>
    <s v="CS05"/>
    <x v="282"/>
    <x v="282"/>
    <s v="آجل"/>
    <m/>
    <s v=""/>
    <x v="0"/>
    <s v="سارى"/>
    <x v="1"/>
    <m/>
    <m/>
    <x v="0"/>
    <x v="0"/>
    <s v="300489131400003"/>
    <x v="0"/>
    <x v="0"/>
    <m/>
    <x v="0"/>
    <s v="موجود"/>
    <n v="30000"/>
    <d v="2021-07-03T00:00:00"/>
    <d v="2024-07-02T00:00:00"/>
    <n v="24000"/>
    <n v="24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3-10T00:00:00"/>
    <m/>
    <m/>
    <s v="فردى"/>
    <m/>
  </r>
  <r>
    <s v="CS05"/>
    <x v="283"/>
    <x v="283"/>
    <s v="نقدى"/>
    <s v="حسين بن محمد بن على البوعلى"/>
    <s v="مؤسسة"/>
    <x v="1"/>
    <s v="يجب اعادة طلبه"/>
    <x v="0"/>
    <d v="2024-01-27T00:00:00"/>
    <s v="مطابق"/>
    <x v="1"/>
    <x v="1"/>
    <s v="300518667900003"/>
    <x v="1"/>
    <x v="1"/>
    <d v="2024-05-01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4-18T00:00:00"/>
    <s v="https://maps.google.com/maps?q=25.435305,49.584506&amp;ll=25.435305,49.584506&amp;z=16"/>
    <m/>
    <s v="فردى"/>
    <m/>
  </r>
  <r>
    <s v="CS05"/>
    <x v="284"/>
    <x v="284"/>
    <s v="آجل"/>
    <m/>
    <s v="ذات مسئولية محدودة"/>
    <x v="0"/>
    <s v="سارى"/>
    <x v="0"/>
    <d v="2025-11-19T00:00:00"/>
    <s v="مطابق"/>
    <x v="1"/>
    <x v="1"/>
    <n v="300521457200003"/>
    <x v="1"/>
    <x v="0"/>
    <m/>
    <x v="0"/>
    <s v="موجود"/>
    <n v="100000"/>
    <d v="2022-01-11T00:00:00"/>
    <d v="2025-01-10T00:00:00"/>
    <n v="80000"/>
    <n v="50000"/>
    <s v="السند اكبر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1-21T00:00:00"/>
    <m/>
    <s v="رقم السجل التجارى بسند الامر غير مطابق لرقم السجل التجارى "/>
    <s v="فردى"/>
    <m/>
  </r>
  <r>
    <s v="CS05"/>
    <x v="285"/>
    <x v="285"/>
    <s v="آجل"/>
    <m/>
    <s v=""/>
    <x v="0"/>
    <s v="سارى"/>
    <x v="1"/>
    <m/>
    <m/>
    <x v="0"/>
    <x v="0"/>
    <s v="300524274400003"/>
    <x v="0"/>
    <x v="0"/>
    <m/>
    <x v="0"/>
    <s v="موجود"/>
    <n v="20000"/>
    <d v="2021-11-28T00:00:00"/>
    <d v="2024-11-27T00:00:00"/>
    <n v="16000"/>
    <n v="16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04T00:00:00"/>
    <m/>
    <m/>
    <s v="فردى"/>
    <m/>
  </r>
  <r>
    <s v="CS05"/>
    <x v="286"/>
    <x v="286"/>
    <s v="آجل"/>
    <s v="دخيل بن علي بن هميل الغامدي"/>
    <s v="مؤسسة"/>
    <x v="0"/>
    <s v="سارى"/>
    <x v="0"/>
    <d v="2022-05-17T00:00:00"/>
    <s v="مطابق"/>
    <x v="0"/>
    <x v="1"/>
    <s v="311171591400003"/>
    <x v="1"/>
    <x v="0"/>
    <m/>
    <x v="0"/>
    <s v="موجود"/>
    <n v="20000"/>
    <m/>
    <n v="0"/>
    <n v="16000"/>
    <n v="16000"/>
    <s v="مطابق"/>
    <s v="مطابق"/>
    <s v="يجب اعادة طلبه"/>
    <s v="موجود"/>
    <d v="2029-07-19T00:00:00"/>
    <s v="سارى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4-14T00:00:00"/>
    <m/>
    <m/>
    <s v="فردى"/>
    <m/>
  </r>
  <r>
    <s v="CS05"/>
    <x v="287"/>
    <x v="287"/>
    <s v="نقدى"/>
    <m/>
    <s v=""/>
    <x v="0"/>
    <s v="سارى"/>
    <x v="1"/>
    <m/>
    <m/>
    <x v="0"/>
    <x v="0"/>
    <s v="3005488842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2-03T00:00:00"/>
    <m/>
    <m/>
    <s v="فردى"/>
    <m/>
  </r>
  <r>
    <s v="CS05"/>
    <x v="288"/>
    <x v="288"/>
    <s v="آجل"/>
    <s v="نورة حسين سلطان آل سالم"/>
    <s v="مؤسسة"/>
    <x v="0"/>
    <s v="سارى"/>
    <x v="0"/>
    <d v="2020-11-09T00:00:00"/>
    <s v="مطابق"/>
    <x v="0"/>
    <x v="1"/>
    <s v="300556865600003"/>
    <x v="1"/>
    <x v="0"/>
    <m/>
    <x v="0"/>
    <s v="موجود"/>
    <n v="300000"/>
    <m/>
    <n v="0"/>
    <n v="240000"/>
    <n v="2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0-19T00:00:00"/>
    <m/>
    <m/>
    <s v="فردى"/>
    <m/>
  </r>
  <r>
    <s v="CS05"/>
    <x v="289"/>
    <x v="289"/>
    <s v="نقدى"/>
    <s v="عبد الجليل بن صالح بن احمد ابراهيم"/>
    <s v="مؤسسة"/>
    <x v="1"/>
    <s v="يجب اعادة طلبه"/>
    <x v="0"/>
    <d v="2027-01-19T00:00:00"/>
    <s v="مطابق"/>
    <x v="1"/>
    <x v="1"/>
    <s v="300561002700003"/>
    <x v="1"/>
    <x v="1"/>
    <d v="2027-07-26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3-03-28T00:00:00"/>
    <s v="يجب اعادة طلبه"/>
    <s v="غير موجود"/>
    <m/>
    <s v="يجب اعادة طلبه"/>
    <d v="2023-02-28T00:00:00"/>
    <m/>
    <m/>
    <s v="فردى"/>
    <m/>
  </r>
  <r>
    <s v="CS05"/>
    <x v="290"/>
    <x v="290"/>
    <s v="آجل"/>
    <s v="سالم علي بن سالم النابت المري"/>
    <s v="مؤسسة"/>
    <x v="0"/>
    <s v="سارى"/>
    <x v="0"/>
    <d v="2021-12-29T00:00:00"/>
    <s v="مطابق"/>
    <x v="0"/>
    <x v="0"/>
    <s v="300627957200003"/>
    <x v="0"/>
    <x v="1"/>
    <d v="2022-04-24T00:00:00"/>
    <x v="0"/>
    <s v="موجود"/>
    <n v="30000"/>
    <m/>
    <n v="0"/>
    <n v="24000"/>
    <n v="24000"/>
    <s v="مطابق"/>
    <s v="مطابق"/>
    <s v="يجب اعادة طلبه"/>
    <s v="موجود"/>
    <d v="2038-04-04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6-05T00:00:00"/>
    <m/>
    <m/>
    <s v="فردى"/>
    <m/>
  </r>
  <r>
    <s v="CS05"/>
    <x v="291"/>
    <x v="291"/>
    <s v="آجل"/>
    <m/>
    <s v="توصية بسيطة"/>
    <x v="0"/>
    <s v="سارى"/>
    <x v="0"/>
    <d v="2022-08-24T00:00:00"/>
    <s v="مطابق"/>
    <x v="0"/>
    <x v="1"/>
    <s v="300689974700003"/>
    <x v="1"/>
    <x v="0"/>
    <m/>
    <x v="0"/>
    <s v="مستثنى"/>
    <n v="50000"/>
    <d v="2019-08-24T00:00:00"/>
    <d v="2022-08-23T00:00:0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7-04T00:00:00"/>
    <m/>
    <m/>
    <s v="فردى"/>
    <m/>
  </r>
  <r>
    <s v="CS05"/>
    <x v="292"/>
    <x v="292"/>
    <s v="آجل"/>
    <m/>
    <s v=""/>
    <x v="0"/>
    <s v="سارى"/>
    <x v="1"/>
    <m/>
    <m/>
    <x v="0"/>
    <x v="0"/>
    <s v="300692498100003"/>
    <x v="0"/>
    <x v="0"/>
    <m/>
    <x v="0"/>
    <s v="مستثنى"/>
    <n v="20000"/>
    <m/>
    <n v="0"/>
    <n v="20000"/>
    <n v="2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1-14T00:00:00"/>
    <m/>
    <m/>
    <s v="فردى"/>
    <m/>
  </r>
  <r>
    <s v="CS05"/>
    <x v="293"/>
    <x v="293"/>
    <s v="آجل"/>
    <s v="فاضل بن حبيب محمد فندم"/>
    <s v="مؤسسة"/>
    <x v="0"/>
    <s v="سارى"/>
    <x v="0"/>
    <d v="2023-10-15T00:00:00"/>
    <s v="مطابق"/>
    <x v="1"/>
    <x v="1"/>
    <s v="300750522900003"/>
    <x v="1"/>
    <x v="1"/>
    <d v="2023-09-30T00:00:00"/>
    <x v="1"/>
    <s v="موجود"/>
    <n v="10000"/>
    <d v="2023-05-23T00:00:00"/>
    <d v="2026-05-22T00:00:00"/>
    <n v="8000"/>
    <n v="8000"/>
    <s v="مطابق"/>
    <s v="مطابق"/>
    <s v="سارى"/>
    <s v="موجود"/>
    <d v="2030-03-06T00:00:00"/>
    <s v="سارى"/>
    <s v="موجود"/>
    <d v="2030-03-06T00:00:00"/>
    <s v="سارى"/>
    <s v="موجود"/>
    <m/>
    <s v="يجب اعادة طلبه"/>
    <s v="غير موجود"/>
    <m/>
    <s v="يجب اعادة طلبه"/>
    <s v="موجود"/>
    <d v="2022-07-29T00:00:00"/>
    <s v="يجب اعادة طلبه"/>
    <s v="غير موجود"/>
    <m/>
    <s v="يجب اعادة طلبه"/>
    <d v="2021-12-15T00:00:00"/>
    <m/>
    <m/>
    <s v="فردى"/>
    <m/>
  </r>
  <r>
    <s v="CS05"/>
    <x v="294"/>
    <x v="294"/>
    <s v="آجل"/>
    <m/>
    <s v=""/>
    <x v="0"/>
    <s v="سارى"/>
    <x v="1"/>
    <m/>
    <m/>
    <x v="0"/>
    <x v="0"/>
    <s v="300764092400003"/>
    <x v="0"/>
    <x v="0"/>
    <m/>
    <x v="0"/>
    <s v="موجود"/>
    <n v="30000"/>
    <m/>
    <n v="0"/>
    <n v="24000"/>
    <n v="24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23T00:00:00"/>
    <m/>
    <m/>
    <s v="فردى"/>
    <m/>
  </r>
  <r>
    <s v="CS05"/>
    <x v="295"/>
    <x v="295"/>
    <s v="نقدى"/>
    <m/>
    <s v=""/>
    <x v="1"/>
    <s v="يجب اعادة طلبه"/>
    <x v="1"/>
    <m/>
    <m/>
    <x v="0"/>
    <x v="1"/>
    <s v="3008207859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9-16T00:00:00"/>
    <m/>
    <m/>
    <s v="فردى"/>
    <m/>
  </r>
  <r>
    <s v="CS05"/>
    <x v="296"/>
    <x v="296"/>
    <s v="نقدى"/>
    <s v="محمود سعود محمود المروحن"/>
    <s v="مؤسسة"/>
    <x v="0"/>
    <s v="سارى"/>
    <x v="0"/>
    <d v="2024-02-26T00:00:00"/>
    <s v="مطابق"/>
    <x v="1"/>
    <x v="1"/>
    <s v="300821085800003"/>
    <x v="1"/>
    <x v="1"/>
    <d v="2023-12-11T00:00:00"/>
    <x v="1"/>
    <s v="نقدى"/>
    <m/>
    <m/>
    <n v="0"/>
    <n v="0"/>
    <n v="0"/>
    <s v="مطابق"/>
    <m/>
    <s v="سارى"/>
    <s v="موجود"/>
    <d v="2039-12-14T00:00:00"/>
    <s v="سارى"/>
    <s v="غير موجود"/>
    <m/>
    <s v="يجب اعادة طلبه"/>
    <s v="غير موجود"/>
    <m/>
    <s v="يجب اعادة طلبه"/>
    <m/>
    <m/>
    <s v="يجب اعادة طلبه"/>
    <s v="موجود"/>
    <m/>
    <s v="يجب اعادة طلبه"/>
    <s v="غير موجود"/>
    <m/>
    <s v="يجب اعادة طلبه"/>
    <d v="2023-02-01T00:00:00"/>
    <m/>
    <m/>
    <s v="فردى"/>
    <m/>
  </r>
  <r>
    <s v="CS05"/>
    <x v="297"/>
    <x v="297"/>
    <s v="آجل"/>
    <m/>
    <s v=""/>
    <x v="0"/>
    <s v="سارى"/>
    <x v="1"/>
    <m/>
    <m/>
    <x v="0"/>
    <x v="0"/>
    <s v="300891682900003"/>
    <x v="0"/>
    <x v="0"/>
    <m/>
    <x v="0"/>
    <s v="موجود"/>
    <n v="50000"/>
    <m/>
    <n v="0"/>
    <n v="40000"/>
    <n v="4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1-10T00:00:00"/>
    <m/>
    <m/>
    <s v="فردى"/>
    <m/>
  </r>
  <r>
    <s v="CS05"/>
    <x v="298"/>
    <x v="298"/>
    <s v="آجل"/>
    <m/>
    <s v=""/>
    <x v="0"/>
    <s v="سارى"/>
    <x v="1"/>
    <m/>
    <m/>
    <x v="0"/>
    <x v="0"/>
    <s v="300998875600003"/>
    <x v="0"/>
    <x v="0"/>
    <m/>
    <x v="0"/>
    <s v="موجود"/>
    <n v="100000"/>
    <m/>
    <n v="0"/>
    <n v="80000"/>
    <n v="40000"/>
    <s v="السند اكبر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18T00:00:00"/>
    <m/>
    <m/>
    <s v="فردى"/>
    <m/>
  </r>
  <r>
    <s v="CS05"/>
    <x v="299"/>
    <x v="299"/>
    <s v="آجل"/>
    <s v="ماجد سالم سليمان السليم "/>
    <s v="مؤسسة"/>
    <x v="0"/>
    <s v="سارى"/>
    <x v="0"/>
    <d v="2022-04-19T00:00:00"/>
    <s v="مطابق"/>
    <x v="0"/>
    <x v="1"/>
    <s v="301048174800003"/>
    <x v="1"/>
    <x v="0"/>
    <m/>
    <x v="0"/>
    <s v="موجود"/>
    <n v="50000"/>
    <d v="2020-12-30T00:00:00"/>
    <d v="2023-12-30T00:00:00"/>
    <n v="40000"/>
    <n v="40000"/>
    <s v="مطابق"/>
    <s v="مطابق"/>
    <s v="سارى"/>
    <s v="موجود"/>
    <d v="2024-11-16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09T00:00:00"/>
    <m/>
    <m/>
    <s v="فردى"/>
    <m/>
  </r>
  <r>
    <s v="CS05"/>
    <x v="300"/>
    <x v="300"/>
    <s v="نقدى"/>
    <s v="عادل  حسين بن على العاشور"/>
    <s v="مؤسسة"/>
    <x v="1"/>
    <s v="يجب اعادة طلبه"/>
    <x v="0"/>
    <d v="2023-02-10T00:00:00"/>
    <s v="مطابق"/>
    <x v="0"/>
    <x v="1"/>
    <s v="301098959500003"/>
    <x v="1"/>
    <x v="0"/>
    <m/>
    <x v="0"/>
    <s v="نقدى"/>
    <m/>
    <m/>
    <n v="0"/>
    <n v="0"/>
    <n v="0"/>
    <s v="مطابق"/>
    <m/>
    <s v="سارى"/>
    <s v="موجود"/>
    <d v="2023-01-16T00:00:00"/>
    <s v="يجب اعادة طلبه"/>
    <s v="غير موجود"/>
    <m/>
    <s v="يجب اعادة طلبه"/>
    <m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12-05T00:00:00"/>
    <m/>
    <m/>
    <s v="فردى"/>
    <m/>
  </r>
  <r>
    <s v="CS05"/>
    <x v="301"/>
    <x v="301"/>
    <s v="نقدى"/>
    <m/>
    <s v=""/>
    <x v="3"/>
    <s v="يجب اعادة طلبه"/>
    <x v="1"/>
    <m/>
    <m/>
    <x v="0"/>
    <x v="1"/>
    <s v="301239573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15T00:00:00"/>
    <m/>
    <m/>
    <s v="فردى"/>
    <m/>
  </r>
  <r>
    <s v="CS05"/>
    <x v="302"/>
    <x v="302"/>
    <s v="نقدى"/>
    <s v="احمد عايش محمد النمر"/>
    <s v="مؤسسة"/>
    <x v="1"/>
    <s v="يجب اعادة طلبه"/>
    <x v="0"/>
    <d v="2023-06-08T00:00:00"/>
    <s v="مطابق"/>
    <x v="0"/>
    <x v="1"/>
    <s v="301270764700003"/>
    <x v="1"/>
    <x v="0"/>
    <m/>
    <x v="0"/>
    <s v="نقدى"/>
    <m/>
    <m/>
    <n v="0"/>
    <n v="0"/>
    <n v="0"/>
    <s v="مطابق"/>
    <m/>
    <s v="سارى"/>
    <s v="موجود"/>
    <d v="2040-03-17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8-20T00:00:00"/>
    <m/>
    <m/>
    <s v="فردى"/>
    <m/>
  </r>
  <r>
    <s v="CS05"/>
    <x v="303"/>
    <x v="303"/>
    <s v="آجل"/>
    <s v="محمد عبد الله  على أبو قرين"/>
    <s v="مؤسسة"/>
    <x v="0"/>
    <s v="سارى"/>
    <x v="0"/>
    <d v="2023-08-21T00:00:00"/>
    <s v="مطابق"/>
    <x v="0"/>
    <x v="1"/>
    <s v="301314721900003"/>
    <x v="1"/>
    <x v="1"/>
    <d v="2024-05-22T00:00:00"/>
    <x v="1"/>
    <s v="موجود"/>
    <n v="10000"/>
    <d v="2023-12-13T00:00:00"/>
    <d v="2026-12-12T00:00:00"/>
    <n v="8000"/>
    <n v="8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0-06T00:00:00"/>
    <s v="https://www.google.com/maps/place/26%C2%B033'17.1%22N+50%C2%B000'51.3%22E/@26.5303278,49.8814377,11z/data=!4m4!3m3!8m2!3d26.55475!4d50.01425?entry=ttu"/>
    <m/>
    <s v="فردى"/>
    <m/>
  </r>
  <r>
    <s v="CS05"/>
    <x v="304"/>
    <x v="304"/>
    <s v="آجل"/>
    <m/>
    <s v=""/>
    <x v="0"/>
    <s v="سارى"/>
    <x v="1"/>
    <m/>
    <m/>
    <x v="0"/>
    <x v="0"/>
    <s v="302027334300003"/>
    <x v="0"/>
    <x v="0"/>
    <m/>
    <x v="0"/>
    <s v="موجود"/>
    <n v="20000"/>
    <m/>
    <n v="0"/>
    <n v="16000"/>
    <n v="16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0-20T00:00:00"/>
    <m/>
    <m/>
    <s v="فردى"/>
    <m/>
  </r>
  <r>
    <s v="CS05"/>
    <x v="305"/>
    <x v="305"/>
    <s v="آجل"/>
    <s v="عبد العزيز عبد الله محمد بن عمر"/>
    <s v="مؤسسة"/>
    <x v="0"/>
    <s v="سارى"/>
    <x v="0"/>
    <d v="2022-06-10T00:00:00"/>
    <s v="مطابق"/>
    <x v="0"/>
    <x v="0"/>
    <s v="302038812500003"/>
    <x v="0"/>
    <x v="0"/>
    <m/>
    <x v="0"/>
    <s v="موجود"/>
    <n v="10000"/>
    <m/>
    <n v="0"/>
    <n v="8000"/>
    <n v="8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8-02T00:00:00"/>
    <m/>
    <m/>
    <s v="فردى"/>
    <m/>
  </r>
  <r>
    <s v="CS05"/>
    <x v="306"/>
    <x v="306"/>
    <s v="نقدى"/>
    <s v="سويدة بنت علي جعفر الحربي "/>
    <s v="مؤسسة"/>
    <x v="0"/>
    <s v="سارى"/>
    <x v="0"/>
    <d v="2025-06-14T00:00:00"/>
    <s v="مطابق"/>
    <x v="1"/>
    <x v="1"/>
    <s v="302128241300003"/>
    <x v="1"/>
    <x v="1"/>
    <d v="2024-01-07T00:00:00"/>
    <x v="1"/>
    <s v="موجود"/>
    <n v="50000"/>
    <m/>
    <n v="0"/>
    <n v="40000"/>
    <n v="0"/>
    <s v="السند اكبر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3-03T00:00:00"/>
    <m/>
    <m/>
    <s v="فردى"/>
    <m/>
  </r>
  <r>
    <s v="CS05"/>
    <x v="307"/>
    <x v="307"/>
    <s v="آجل"/>
    <s v="مصطفى بن محمود بن علوي آل طويلب"/>
    <s v="مؤسسة"/>
    <x v="0"/>
    <s v="سارى"/>
    <x v="0"/>
    <d v="2022-07-02T00:00:00"/>
    <s v="مطابق"/>
    <x v="0"/>
    <x v="1"/>
    <s v="302228452500003"/>
    <x v="1"/>
    <x v="0"/>
    <m/>
    <x v="0"/>
    <s v="موجود"/>
    <n v="60000"/>
    <m/>
    <n v="0"/>
    <n v="48000"/>
    <n v="48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02-17T00:00:00"/>
    <m/>
    <m/>
    <s v="فردى"/>
    <m/>
  </r>
  <r>
    <s v="CS05"/>
    <x v="308"/>
    <x v="308"/>
    <s v="نقدى"/>
    <s v="محمد علي بن احمد البوقرين"/>
    <s v="مؤسسة"/>
    <x v="0"/>
    <s v="سارى"/>
    <x v="0"/>
    <d v="2022-12-17T00:00:00"/>
    <s v="مطابق"/>
    <x v="0"/>
    <x v="1"/>
    <s v="310009944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6-26T00:00:00"/>
    <m/>
    <m/>
    <s v="فردى"/>
    <m/>
  </r>
  <r>
    <s v="CS05"/>
    <x v="309"/>
    <x v="309"/>
    <s v="نقدى"/>
    <s v="هلال بن حسن بن هلال ال شطى"/>
    <s v="مؤسسة"/>
    <x v="1"/>
    <s v="يجب اعادة طلبه"/>
    <x v="0"/>
    <d v="2025-05-03T00:00:00"/>
    <s v="مطابق"/>
    <x v="1"/>
    <x v="1"/>
    <s v="310047156300003"/>
    <x v="1"/>
    <x v="1"/>
    <d v="2023-12-25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2-07T00:00:00"/>
    <m/>
    <m/>
    <s v="فردى"/>
    <m/>
  </r>
  <r>
    <s v="CS05"/>
    <x v="310"/>
    <x v="310"/>
    <s v="آجل"/>
    <m/>
    <s v="ذات مسئولية محدودة"/>
    <x v="0"/>
    <s v="سارى"/>
    <x v="0"/>
    <d v="2022-01-07T00:00:00"/>
    <s v="مطابق"/>
    <x v="0"/>
    <x v="1"/>
    <s v="310054685400003"/>
    <x v="1"/>
    <x v="0"/>
    <m/>
    <x v="0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2-01-17T00:00:00"/>
    <m/>
    <m/>
    <s v="فردى"/>
    <m/>
  </r>
  <r>
    <s v="CS05"/>
    <x v="311"/>
    <x v="311"/>
    <s v="نقدى"/>
    <m/>
    <s v=""/>
    <x v="3"/>
    <s v="يجب اعادة طلبه"/>
    <x v="1"/>
    <m/>
    <m/>
    <x v="0"/>
    <x v="1"/>
    <s v="302004341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0-02T00:00:00"/>
    <m/>
    <m/>
    <s v="فردى"/>
    <m/>
  </r>
  <r>
    <s v="CS05"/>
    <x v="312"/>
    <x v="312"/>
    <s v="نقدى"/>
    <s v="اسامه عبدالله احمد موسي"/>
    <s v="مؤسسة"/>
    <x v="1"/>
    <s v="يجب اعادة طلبه"/>
    <x v="0"/>
    <d v="2023-09-13T00:00:00"/>
    <s v="مطابق"/>
    <x v="0"/>
    <x v="1"/>
    <s v="310128049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1-12-04T00:00:00"/>
    <s v="يجب اعادة طلبه"/>
    <s v="غير موجود"/>
    <m/>
    <s v="يجب اعادة طلبه"/>
    <d v="2022-11-06T00:00:00"/>
    <m/>
    <m/>
    <s v="فردى"/>
    <m/>
  </r>
  <r>
    <s v="CS05"/>
    <x v="313"/>
    <x v="313"/>
    <s v="آجل"/>
    <s v="اشرف بن حسين بن  علي المرهون "/>
    <s v="مؤسسة"/>
    <x v="0"/>
    <s v="سارى"/>
    <x v="0"/>
    <d v="2024-06-10T00:00:00"/>
    <s v="مطابق"/>
    <x v="1"/>
    <x v="1"/>
    <s v="310218033700003"/>
    <x v="1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7-19T00:00:00"/>
    <m/>
    <m/>
    <s v="فردى"/>
    <m/>
  </r>
  <r>
    <s v="CS05"/>
    <x v="314"/>
    <x v="314"/>
    <s v="نقدى"/>
    <m/>
    <s v=""/>
    <x v="3"/>
    <s v="يجب اعادة طلبه"/>
    <x v="1"/>
    <m/>
    <m/>
    <x v="0"/>
    <x v="1"/>
    <s v="302018676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0-28T00:00:00"/>
    <m/>
    <m/>
    <s v="فردى"/>
    <m/>
  </r>
  <r>
    <s v="CS05"/>
    <x v="315"/>
    <x v="315"/>
    <s v="نقدى"/>
    <s v="سعد محمد سعد الجمعه"/>
    <s v="مؤسسة"/>
    <x v="1"/>
    <s v="يجب اعادة طلبه"/>
    <x v="0"/>
    <d v="2023-09-09T00:00:00"/>
    <s v="مطابق"/>
    <x v="0"/>
    <x v="0"/>
    <s v="3102893167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2-13T00:00:00"/>
    <m/>
    <m/>
    <s v="فردى"/>
    <m/>
  </r>
  <r>
    <s v="CS05"/>
    <x v="316"/>
    <x v="316"/>
    <s v="آجل"/>
    <m/>
    <s v=""/>
    <x v="0"/>
    <s v="سارى"/>
    <x v="1"/>
    <m/>
    <m/>
    <x v="0"/>
    <x v="0"/>
    <s v="310561788600003"/>
    <x v="0"/>
    <x v="0"/>
    <m/>
    <x v="0"/>
    <s v="موجود"/>
    <n v="100000"/>
    <m/>
    <n v="0"/>
    <n v="80000"/>
    <n v="8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4-04T00:00:00"/>
    <m/>
    <m/>
    <s v="فردى"/>
    <m/>
  </r>
  <r>
    <s v="CS05"/>
    <x v="317"/>
    <x v="317"/>
    <s v="آجل"/>
    <s v="طاهر حمد بن طاهر النمر "/>
    <s v="مؤسسة"/>
    <x v="0"/>
    <s v="سارى"/>
    <x v="0"/>
    <d v="2023-11-18T00:00:00"/>
    <s v="مطابق"/>
    <x v="1"/>
    <x v="1"/>
    <s v="310622202300003"/>
    <x v="1"/>
    <x v="1"/>
    <d v="2024-01-24T00:00:00"/>
    <x v="1"/>
    <s v="موجود"/>
    <n v="15000"/>
    <m/>
    <n v="0"/>
    <n v="12000"/>
    <n v="12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8-08T00:00:00"/>
    <s v="يجب اعادة طلبه"/>
    <s v="غير موجود"/>
    <m/>
    <s v="يجب اعادة طلبه"/>
    <d v="2021-03-17T00:00:00"/>
    <m/>
    <m/>
    <s v="فردى"/>
    <m/>
  </r>
  <r>
    <s v="CS05"/>
    <x v="318"/>
    <x v="318"/>
    <s v="نقدى"/>
    <s v="عبير احمد معتوق آل عاشور"/>
    <s v="مؤسسة"/>
    <x v="1"/>
    <s v="يجب اعادة طلبه"/>
    <x v="0"/>
    <d v="2022-01-26T00:00:00"/>
    <s v="مطابق"/>
    <x v="0"/>
    <x v="1"/>
    <s v="3106276404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8-06T00:00:00"/>
    <m/>
    <m/>
    <s v="فردى"/>
    <m/>
  </r>
  <r>
    <s v="CS05"/>
    <x v="319"/>
    <x v="319"/>
    <s v="نقدى"/>
    <s v="محمد علي حسين الماضي"/>
    <s v="مؤسسة"/>
    <x v="1"/>
    <s v="يجب اعادة طلبه"/>
    <x v="0"/>
    <d v="2022-05-20T00:00:00"/>
    <s v="مطابق"/>
    <x v="0"/>
    <x v="0"/>
    <s v="3020620708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3-17T00:00:00"/>
    <m/>
    <m/>
    <s v="فردى"/>
    <m/>
  </r>
  <r>
    <s v="CS05"/>
    <x v="320"/>
    <x v="320"/>
    <s v="آجل"/>
    <s v="اسيا محمد ناصر عجيمان"/>
    <s v="مؤسسة"/>
    <x v="0"/>
    <s v="سارى"/>
    <x v="0"/>
    <d v="2023-02-05T00:00:00"/>
    <s v="مطابق"/>
    <x v="0"/>
    <x v="1"/>
    <s v="310665306600003"/>
    <x v="1"/>
    <x v="1"/>
    <d v="2022-12-02T00:00:00"/>
    <x v="0"/>
    <s v="موجود"/>
    <n v="20000"/>
    <m/>
    <n v="0"/>
    <n v="16000"/>
    <n v="16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3-23T00:00:00"/>
    <m/>
    <m/>
    <s v="فردى"/>
    <m/>
  </r>
  <r>
    <s v="CS05"/>
    <x v="321"/>
    <x v="321"/>
    <s v="نقدى"/>
    <s v="فهد الحميدي بن مناحي العنزي"/>
    <s v="مؤسسة"/>
    <x v="1"/>
    <s v="يجب اعادة طلبه"/>
    <x v="0"/>
    <d v="2022-11-18T00:00:00"/>
    <s v="مطابق"/>
    <x v="0"/>
    <x v="0"/>
    <s v="3008309193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3-12T00:00:00"/>
    <m/>
    <m/>
    <s v="فردى"/>
    <m/>
  </r>
  <r>
    <s v="CS05"/>
    <x v="322"/>
    <x v="322"/>
    <s v="نقدى"/>
    <m/>
    <s v=""/>
    <x v="0"/>
    <s v="سارى"/>
    <x v="1"/>
    <m/>
    <m/>
    <x v="0"/>
    <x v="0"/>
    <s v="3106954149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8-16T00:00:00"/>
    <m/>
    <m/>
    <s v="فردى"/>
    <m/>
  </r>
  <r>
    <s v="CS05"/>
    <x v="323"/>
    <x v="323"/>
    <s v="آجل"/>
    <s v="عبدالعزيز توفيق سليمان العوده"/>
    <s v="مؤسسة"/>
    <x v="0"/>
    <s v="سارى"/>
    <x v="0"/>
    <d v="2022-11-17T00:00:00"/>
    <s v="مطابق"/>
    <x v="0"/>
    <x v="1"/>
    <s v="310795330800003"/>
    <x v="1"/>
    <x v="0"/>
    <m/>
    <x v="0"/>
    <s v="موجود"/>
    <n v="20000"/>
    <m/>
    <n v="0"/>
    <n v="16000"/>
    <n v="16000"/>
    <s v="مطابق"/>
    <s v="مطابق"/>
    <s v="يجب اعادة طلبه"/>
    <s v="موجود"/>
    <d v="2025-05-06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8-22T00:00:00"/>
    <s v="يجب اعادة طلبه"/>
    <s v="غير موجود"/>
    <m/>
    <s v="يجب اعادة طلبه"/>
    <d v="2022-05-29T00:00:00"/>
    <m/>
    <m/>
    <s v="فردى"/>
    <m/>
  </r>
  <r>
    <s v="CS05"/>
    <x v="324"/>
    <x v="324"/>
    <s v="نقدى"/>
    <s v="سالم احمد بن عامر المهري"/>
    <s v="مؤسسة"/>
    <x v="0"/>
    <s v="سارى"/>
    <x v="0"/>
    <d v="2023-09-06T00:00:00"/>
    <s v="مطابق"/>
    <x v="0"/>
    <x v="1"/>
    <s v="310836002700003"/>
    <x v="1"/>
    <x v="1"/>
    <d v="2022-09-26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1-06-14T00:00:00"/>
    <s v="يجب اعادة طلبه"/>
    <s v="غير موجود"/>
    <m/>
    <s v="يجب اعادة طلبه"/>
    <d v="2022-12-21T00:00:00"/>
    <m/>
    <m/>
    <s v="فردى"/>
    <m/>
  </r>
  <r>
    <s v="CS05"/>
    <x v="325"/>
    <x v="325"/>
    <s v="آجل"/>
    <m/>
    <s v=""/>
    <x v="0"/>
    <s v="سارى"/>
    <x v="1"/>
    <m/>
    <m/>
    <x v="0"/>
    <x v="0"/>
    <s v="310861261500003"/>
    <x v="0"/>
    <x v="0"/>
    <m/>
    <x v="0"/>
    <s v="موجود"/>
    <n v="20000"/>
    <m/>
    <n v="0"/>
    <n v="16000"/>
    <n v="18000"/>
    <s v="السند اصغر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1-04T00:00:00"/>
    <m/>
    <s v="الحد الائتمانى متجاوز قيمة سند الامر"/>
    <s v="فردى"/>
    <m/>
  </r>
  <r>
    <s v="CS05"/>
    <x v="326"/>
    <x v="326"/>
    <s v="نقدى"/>
    <m/>
    <s v=""/>
    <x v="3"/>
    <s v="يجب اعادة طلبه"/>
    <x v="1"/>
    <m/>
    <m/>
    <x v="0"/>
    <x v="1"/>
    <s v="302170129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1-14T00:00:00"/>
    <m/>
    <m/>
    <s v="فردى"/>
    <m/>
  </r>
  <r>
    <s v="CS05"/>
    <x v="327"/>
    <x v="327"/>
    <s v="نقدى"/>
    <m/>
    <s v=""/>
    <x v="3"/>
    <s v="يجب اعادة طلبه"/>
    <x v="1"/>
    <m/>
    <m/>
    <x v="0"/>
    <x v="1"/>
    <s v="3021768009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16T00:00:00"/>
    <m/>
    <m/>
    <s v="فردى"/>
    <m/>
  </r>
  <r>
    <s v="CS05"/>
    <x v="328"/>
    <x v="328"/>
    <s v="نقدى"/>
    <m/>
    <s v="ذات مسئولية محدودة مختلطة"/>
    <x v="1"/>
    <s v="يجب اعادة طلبه"/>
    <x v="0"/>
    <d v="2022-12-21T00:00:00"/>
    <s v="مطابق"/>
    <x v="0"/>
    <x v="1"/>
    <s v="310866377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6-12T00:00:00"/>
    <m/>
    <m/>
    <s v="فردى"/>
    <m/>
  </r>
  <r>
    <s v="CS05"/>
    <x v="329"/>
    <x v="329"/>
    <s v="نقدى"/>
    <s v="نواف وليد بن عبدالرحمن الدامغ"/>
    <s v="مؤسسة"/>
    <x v="0"/>
    <s v="سارى"/>
    <x v="0"/>
    <d v="2023-08-30T00:00:00"/>
    <s v="مطابق"/>
    <x v="0"/>
    <x v="1"/>
    <s v="310964490900003"/>
    <x v="1"/>
    <x v="1"/>
    <d v="2023-10-10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04T00:00:00"/>
    <m/>
    <m/>
    <s v="فردى"/>
    <m/>
  </r>
  <r>
    <s v="CS05"/>
    <x v="330"/>
    <x v="330"/>
    <s v="آجل"/>
    <s v="نجود عبد المحسن سليم السلمي"/>
    <s v="مؤسسة"/>
    <x v="1"/>
    <s v="يجب اعادة طلبه"/>
    <x v="0"/>
    <d v="2024-06-10T00:00:00"/>
    <s v="مطابق"/>
    <x v="1"/>
    <x v="1"/>
    <s v="310979672100003"/>
    <x v="1"/>
    <x v="0"/>
    <m/>
    <x v="0"/>
    <s v="موجود"/>
    <n v="5000"/>
    <m/>
    <n v="0"/>
    <n v="4000"/>
    <n v="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7-28T00:00:00"/>
    <m/>
    <m/>
    <s v="فردى"/>
    <m/>
  </r>
  <r>
    <s v="CS05"/>
    <x v="331"/>
    <x v="331"/>
    <s v="نقدى"/>
    <m/>
    <s v="ذات مسئولية محدودة"/>
    <x v="1"/>
    <s v="يجب اعادة طلبه"/>
    <x v="0"/>
    <d v="2023-01-14T00:00:00"/>
    <s v="مطابق"/>
    <x v="0"/>
    <x v="1"/>
    <s v="3111636521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1-04T00:00:00"/>
    <m/>
    <m/>
    <s v="فردى"/>
    <m/>
  </r>
  <r>
    <s v="CS05"/>
    <x v="332"/>
    <x v="332"/>
    <s v="نقدى"/>
    <m/>
    <s v="محدودة اجنبية"/>
    <x v="1"/>
    <s v="يجب اعادة طلبه"/>
    <x v="0"/>
    <d v="2024-01-26T00:00:00"/>
    <s v="مطابق"/>
    <x v="1"/>
    <x v="1"/>
    <s v="311215435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19T00:00:00"/>
    <m/>
    <m/>
    <s v="فردى"/>
    <m/>
  </r>
  <r>
    <s v="CS05"/>
    <x v="333"/>
    <x v="333"/>
    <s v="نقدى"/>
    <s v="كلثم معتوق بن على البوعلى"/>
    <s v="مؤسسة"/>
    <x v="1"/>
    <s v="يجب اعادة طلبه"/>
    <x v="0"/>
    <d v="2023-05-04T00:00:00"/>
    <s v="مطابق"/>
    <x v="0"/>
    <x v="1"/>
    <s v="311286171700003"/>
    <x v="1"/>
    <x v="1"/>
    <d v="2023-11-11T00:00:00"/>
    <x v="0"/>
    <s v="نقدى"/>
    <m/>
    <m/>
    <n v="0"/>
    <n v="0"/>
    <n v="0"/>
    <s v="مطابق"/>
    <m/>
    <s v="سارى"/>
    <s v="موجود"/>
    <d v="2024-03-16T00:00:00"/>
    <s v="سارى"/>
    <s v="غير موجود"/>
    <m/>
    <s v="يجب اعادة طلبه"/>
    <s v="غير موجود"/>
    <m/>
    <s v="يجب اعادة طلبه"/>
    <m/>
    <m/>
    <s v="يجب اعادة طلبه"/>
    <s v="موجود"/>
    <d v="2023-06-17T00:00:00"/>
    <s v="يجب اعادة طلبه"/>
    <s v="غير موجود"/>
    <m/>
    <s v="يجب اعادة طلبه"/>
    <d v="2023-03-30T00:00:00"/>
    <m/>
    <m/>
    <s v="فردى"/>
    <m/>
  </r>
  <r>
    <s v="CS05"/>
    <x v="334"/>
    <x v="334"/>
    <s v="آجل"/>
    <m/>
    <s v="محدودة اجنبية"/>
    <x v="0"/>
    <s v="سارى"/>
    <x v="0"/>
    <d v="2023-04-10T00:00:00"/>
    <s v="مطابق"/>
    <x v="0"/>
    <x v="1"/>
    <s v="311286333400003"/>
    <x v="1"/>
    <x v="0"/>
    <m/>
    <x v="0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12-30T00:00:00"/>
    <s v="يجب اعادة طلبه"/>
    <s v="غير موجود"/>
    <m/>
    <s v="يجب اعادة طلبه"/>
    <d v="2021-02-14T00:00:00"/>
    <m/>
    <m/>
    <s v="فردى"/>
    <m/>
  </r>
  <r>
    <s v="CS05"/>
    <x v="335"/>
    <x v="335"/>
    <s v="نقدى"/>
    <m/>
    <s v=""/>
    <x v="1"/>
    <s v="يجب اعادة طلبه"/>
    <x v="1"/>
    <m/>
    <m/>
    <x v="0"/>
    <x v="1"/>
    <s v="3113062141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2-15T00:00:00"/>
    <m/>
    <m/>
    <s v="فردى"/>
    <m/>
  </r>
  <r>
    <s v="CS05"/>
    <x v="336"/>
    <x v="336"/>
    <s v="نقدى"/>
    <s v="ساره حسين بن على ال هتيله"/>
    <s v="مؤسسة"/>
    <x v="1"/>
    <s v="يجب اعادة طلبه"/>
    <x v="0"/>
    <d v="2023-07-22T00:00:00"/>
    <s v="مطابق"/>
    <x v="0"/>
    <x v="1"/>
    <s v="311364202600003"/>
    <x v="1"/>
    <x v="1"/>
    <d v="2024-03-01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4-18T00:00:00"/>
    <s v="https://maps.app.goo.gl/fbSs34tEwvTyQRmw8"/>
    <m/>
    <s v="فردى"/>
    <m/>
  </r>
  <r>
    <s v="CS05"/>
    <x v="337"/>
    <x v="337"/>
    <s v="نقدى"/>
    <m/>
    <s v=""/>
    <x v="3"/>
    <s v="يجب اعادة طلبه"/>
    <x v="1"/>
    <m/>
    <m/>
    <x v="0"/>
    <x v="1"/>
    <s v="3022844164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16T00:00:00"/>
    <m/>
    <m/>
    <s v="فردى"/>
    <m/>
  </r>
  <r>
    <s v="CS05"/>
    <x v="338"/>
    <x v="338"/>
    <s v="نقدى"/>
    <s v="محمد صالح سالم الطاهر"/>
    <s v="مؤسسة"/>
    <x v="1"/>
    <s v="يجب اعادة طلبه"/>
    <x v="0"/>
    <d v="2023-05-14T00:00:00"/>
    <s v="مطابق"/>
    <x v="0"/>
    <x v="1"/>
    <s v="311484851400003"/>
    <x v="1"/>
    <x v="1"/>
    <d v="2024-09-18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3-10-29T00:00:00"/>
    <s v="سارى"/>
    <s v="غير موجود"/>
    <m/>
    <s v="يجب اعادة طلبه"/>
    <d v="2022-02-27T00:00:00"/>
    <m/>
    <m/>
    <m/>
    <m/>
  </r>
  <r>
    <s v="CS05"/>
    <x v="339"/>
    <x v="339"/>
    <s v="نقدى"/>
    <m/>
    <m/>
    <x v="3"/>
    <s v="يجب اعادة طلبه"/>
    <x v="2"/>
    <m/>
    <s v=""/>
    <x v="0"/>
    <x v="2"/>
    <s v="محمود يوسف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m/>
    <m/>
    <s v="يجب اعادة طلبه"/>
    <d v="2020-07-19T00:00:00"/>
    <m/>
    <m/>
    <s v="فردى"/>
    <m/>
  </r>
  <r>
    <s v="CS05"/>
    <x v="340"/>
    <x v="340"/>
    <s v="نقدى"/>
    <s v="منصور بن ابراهيم بن المنصور الحلال"/>
    <s v="مؤسسة"/>
    <x v="1"/>
    <s v="يجب اعادة طلبه"/>
    <x v="0"/>
    <d v="2020-02-27T00:00:00"/>
    <s v="مطابق"/>
    <x v="0"/>
    <x v="0"/>
    <s v="3020776183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2-17T00:00:00"/>
    <m/>
    <m/>
    <s v="فردى"/>
    <m/>
  </r>
  <r>
    <s v="CS05"/>
    <x v="341"/>
    <x v="341"/>
    <s v="نقدى"/>
    <m/>
    <s v="مساهمة مقفلة"/>
    <x v="1"/>
    <s v="يجب اعادة طلبه"/>
    <x v="0"/>
    <d v="2022-05-19T00:00:00"/>
    <s v="مطابق"/>
    <x v="0"/>
    <x v="1"/>
    <s v="300391907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موجود"/>
    <d v="2020-02-28T00:00:00"/>
    <s v="يجب اعادة طلبه"/>
    <m/>
    <m/>
    <s v="يجب اعادة طلبه"/>
    <d v="2022-02-03T00:00:00"/>
    <m/>
    <m/>
    <s v="فردى"/>
    <m/>
  </r>
  <r>
    <s v="CS05"/>
    <x v="342"/>
    <x v="342"/>
    <s v="نقدى"/>
    <m/>
    <s v=""/>
    <x v="3"/>
    <s v="يجب اعادة طلبه"/>
    <x v="1"/>
    <m/>
    <m/>
    <x v="0"/>
    <x v="1"/>
    <s v="310070220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25T00:00:00"/>
    <m/>
    <m/>
    <s v="فردى"/>
    <m/>
  </r>
  <r>
    <s v="CS05"/>
    <x v="343"/>
    <x v="343"/>
    <s v="نقدى"/>
    <s v="سعيد بن حسين بن منصور المبارك"/>
    <s v="مؤسسة"/>
    <x v="1"/>
    <s v="يجب اعادة طلبه"/>
    <x v="0"/>
    <d v="2023-11-11T00:00:00"/>
    <s v="مطابق"/>
    <x v="1"/>
    <x v="0"/>
    <s v="3110062922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2-03T00:00:00"/>
    <m/>
    <m/>
    <s v="فردى"/>
    <m/>
  </r>
  <r>
    <s v="CS05"/>
    <x v="344"/>
    <x v="344"/>
    <s v="آجل"/>
    <s v="بدر خالد صقر الخالدي"/>
    <s v="مؤسسة"/>
    <x v="0"/>
    <s v="سارى"/>
    <x v="0"/>
    <d v="2019-06-28T00:00:00"/>
    <s v="مطابق"/>
    <x v="0"/>
    <x v="1"/>
    <s v="300645489500003"/>
    <x v="1"/>
    <x v="0"/>
    <m/>
    <x v="0"/>
    <s v="موجود"/>
    <n v="30000"/>
    <m/>
    <n v="0"/>
    <n v="24000"/>
    <n v="24000"/>
    <s v="مطابق"/>
    <s v="مطابق"/>
    <s v="يجب اعادة طلبه"/>
    <s v="موجود"/>
    <d v="2032-05-12T00:00:00"/>
    <s v="سارى"/>
    <s v="غير موجود"/>
    <m/>
    <s v="يجب اعادة طلبه"/>
    <s v="غير موجود"/>
    <m/>
    <s v="يجب اعادة طلبه"/>
    <s v="موجود"/>
    <d v="2020-06-29T00:00:00"/>
    <s v="يجب اعادة طلبه"/>
    <s v="غير موجود"/>
    <m/>
    <s v="يجب اعادة طلبه"/>
    <s v="غير موجود"/>
    <m/>
    <s v="يجب اعادة طلبه"/>
    <d v="2022-01-16T00:00:00"/>
    <s v="26°59'22.1&quot;N 49°39'31.3&quot;E - Google Maps"/>
    <s v="العميل له حد ائتمانى على SAP بدون سند امر او استثناء"/>
    <s v="فردى"/>
    <m/>
  </r>
  <r>
    <s v="CS05"/>
    <x v="345"/>
    <x v="345"/>
    <s v="نقدى"/>
    <s v="زهراء عماد بن محمد حسن الصفار"/>
    <s v="مؤسسة"/>
    <x v="1"/>
    <s v="يجب اعادة طلبه"/>
    <x v="0"/>
    <d v="2022-02-24T00:00:00"/>
    <s v="مطابق"/>
    <x v="0"/>
    <x v="1"/>
    <s v="3108859367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موجود"/>
    <d v="2022-02-24T00:00:00"/>
    <s v="يجب اعادة طلبه"/>
    <m/>
    <m/>
    <s v="يجب اعادة طلبه"/>
    <d v="2022-01-11T00:00:00"/>
    <m/>
    <m/>
    <s v="فردى"/>
    <m/>
  </r>
  <r>
    <s v="CS05"/>
    <x v="346"/>
    <x v="346"/>
    <s v="نقدى"/>
    <m/>
    <s v=""/>
    <x v="3"/>
    <s v="يجب اعادة طلبه"/>
    <x v="1"/>
    <m/>
    <m/>
    <x v="0"/>
    <x v="1"/>
    <s v="310216483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7-10T00:00:00"/>
    <m/>
    <m/>
    <s v="فردى"/>
    <m/>
  </r>
  <r>
    <s v="CS05"/>
    <x v="347"/>
    <x v="347"/>
    <s v="نقدى"/>
    <s v="يوسف حسين علي الحاجي"/>
    <s v="مؤسسة"/>
    <x v="1"/>
    <s v="يجب اعادة طلبه"/>
    <x v="0"/>
    <d v="2021-12-08T00:00:00"/>
    <s v="مطابق"/>
    <x v="0"/>
    <x v="1"/>
    <s v="3020950919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1-06T00:00:00"/>
    <m/>
    <m/>
    <s v="فردى"/>
    <m/>
  </r>
  <r>
    <s v="CS05"/>
    <x v="348"/>
    <x v="348"/>
    <s v="نقدى"/>
    <m/>
    <s v="ذات مسئولية محدودة"/>
    <x v="1"/>
    <s v="يجب اعادة طلبه"/>
    <x v="0"/>
    <d v="2022-09-30T00:00:00"/>
    <s v="مطابق"/>
    <x v="0"/>
    <x v="1"/>
    <s v="300733572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1-04T00:00:00"/>
    <m/>
    <m/>
    <s v="فردى"/>
    <m/>
  </r>
  <r>
    <s v="CS05"/>
    <x v="349"/>
    <x v="349"/>
    <s v="نقدى"/>
    <m/>
    <s v=""/>
    <x v="3"/>
    <s v="يجب اعادة طلبه"/>
    <x v="1"/>
    <m/>
    <m/>
    <x v="0"/>
    <x v="1"/>
    <s v="310376468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2-09T00:00:00"/>
    <m/>
    <m/>
    <s v="فردى"/>
    <m/>
  </r>
  <r>
    <s v="CS05"/>
    <x v="350"/>
    <x v="350"/>
    <s v="نقدى"/>
    <m/>
    <s v=""/>
    <x v="3"/>
    <s v="يجب اعادة طلبه"/>
    <x v="1"/>
    <m/>
    <m/>
    <x v="0"/>
    <x v="1"/>
    <s v="310414467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0-28T00:00:00"/>
    <m/>
    <m/>
    <s v="فردى"/>
    <m/>
  </r>
  <r>
    <s v="CS05"/>
    <x v="351"/>
    <x v="351"/>
    <s v="نقدى"/>
    <m/>
    <s v=""/>
    <x v="3"/>
    <s v="يجب اعادة طلبه"/>
    <x v="1"/>
    <m/>
    <m/>
    <x v="0"/>
    <x v="1"/>
    <s v="310414622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9-16T00:00:00"/>
    <m/>
    <m/>
    <s v="فردى"/>
    <m/>
  </r>
  <r>
    <s v="CS05"/>
    <x v="352"/>
    <x v="352"/>
    <s v="نقدى"/>
    <m/>
    <s v=""/>
    <x v="3"/>
    <s v="يجب اعادة طلبه"/>
    <x v="1"/>
    <m/>
    <m/>
    <x v="0"/>
    <x v="1"/>
    <s v="310705169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20T00:00:00"/>
    <m/>
    <m/>
    <s v="فردى"/>
    <m/>
  </r>
  <r>
    <s v="CS05"/>
    <x v="353"/>
    <x v="353"/>
    <s v="نقدى"/>
    <m/>
    <s v=""/>
    <x v="3"/>
    <s v="يجب اعادة طلبه"/>
    <x v="1"/>
    <m/>
    <m/>
    <x v="0"/>
    <x v="1"/>
    <s v="310733992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4-27T00:00:00"/>
    <m/>
    <m/>
    <s v="فردى"/>
    <m/>
  </r>
  <r>
    <s v="CS05"/>
    <x v="354"/>
    <x v="354"/>
    <s v="نقدى"/>
    <m/>
    <s v=""/>
    <x v="3"/>
    <s v="يجب اعادة طلبه"/>
    <x v="1"/>
    <m/>
    <m/>
    <x v="0"/>
    <x v="1"/>
    <s v="310875758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0-12T00:00:00"/>
    <m/>
    <m/>
    <s v="فردى"/>
    <m/>
  </r>
  <r>
    <s v="CS05"/>
    <x v="355"/>
    <x v="355"/>
    <s v="نقدى"/>
    <m/>
    <s v=""/>
    <x v="3"/>
    <s v="يجب اعادة طلبه"/>
    <x v="1"/>
    <m/>
    <m/>
    <x v="0"/>
    <x v="1"/>
    <s v="310988333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1-10T00:00:00"/>
    <m/>
    <m/>
    <s v="فردى"/>
    <m/>
  </r>
  <r>
    <s v="CS06"/>
    <x v="356"/>
    <x v="356"/>
    <s v="آجل"/>
    <m/>
    <s v=""/>
    <x v="1"/>
    <s v="يجب اعادة طلبه"/>
    <x v="1"/>
    <m/>
    <m/>
    <x v="0"/>
    <x v="1"/>
    <s v="311029809400003"/>
    <x v="1"/>
    <x v="0"/>
    <m/>
    <x v="0"/>
    <s v="غير موجود"/>
    <m/>
    <m/>
    <n v="0"/>
    <n v="0"/>
    <n v="8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2-23T00:00:00"/>
    <m/>
    <s v="العميل له حد ائتمانى على SAP بدون سند امر او استثناء"/>
    <s v="فرع"/>
    <m/>
  </r>
  <r>
    <s v="CS06"/>
    <x v="357"/>
    <x v="357"/>
    <s v="نقدى"/>
    <m/>
    <s v=""/>
    <x v="3"/>
    <s v="يجب اعادة طلبه"/>
    <x v="1"/>
    <m/>
    <m/>
    <x v="0"/>
    <x v="0"/>
    <s v="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1-27T00:00:00"/>
    <m/>
    <m/>
    <s v="فردى"/>
    <m/>
  </r>
  <r>
    <s v="CS06"/>
    <x v="358"/>
    <x v="358"/>
    <s v="نقدى"/>
    <m/>
    <s v="ذات مسئولية محدودة"/>
    <x v="1"/>
    <s v="يجب اعادة طلبه"/>
    <x v="0"/>
    <d v="2026-07-17T00:00:00"/>
    <s v="مطابق"/>
    <x v="1"/>
    <x v="1"/>
    <s v="311104087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17T00:00:00"/>
    <m/>
    <m/>
    <s v="فردى"/>
    <m/>
  </r>
  <r>
    <s v="CS06"/>
    <x v="359"/>
    <x v="359"/>
    <s v="نقدى"/>
    <m/>
    <s v=""/>
    <x v="3"/>
    <s v="يجب اعادة طلبه"/>
    <x v="1"/>
    <m/>
    <m/>
    <x v="0"/>
    <x v="1"/>
    <s v="300123587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1-25T00:00:00"/>
    <m/>
    <m/>
    <s v="فردى"/>
    <m/>
  </r>
  <r>
    <s v="CS06"/>
    <x v="360"/>
    <x v="360"/>
    <s v="نقدى"/>
    <m/>
    <s v=""/>
    <x v="3"/>
    <s v="يجب اعادة طلبه"/>
    <x v="1"/>
    <m/>
    <m/>
    <x v="0"/>
    <x v="1"/>
    <s v="300159167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2-02T00:00:00"/>
    <m/>
    <m/>
    <s v="فردى"/>
    <m/>
  </r>
  <r>
    <s v="CS06"/>
    <x v="361"/>
    <x v="361"/>
    <s v="نقدى"/>
    <m/>
    <s v=""/>
    <x v="3"/>
    <s v="يجب اعادة طلبه"/>
    <x v="1"/>
    <m/>
    <m/>
    <x v="0"/>
    <x v="1"/>
    <s v="300187975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6-30T00:00:00"/>
    <m/>
    <m/>
    <s v="فردى"/>
    <m/>
  </r>
  <r>
    <s v="CS06"/>
    <x v="362"/>
    <x v="362"/>
    <s v="نقدى"/>
    <m/>
    <s v=""/>
    <x v="3"/>
    <s v="يجب اعادة طلبه"/>
    <x v="1"/>
    <m/>
    <m/>
    <x v="0"/>
    <x v="1"/>
    <s v="300348461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01T00:00:00"/>
    <m/>
    <m/>
    <s v="فردى"/>
    <m/>
  </r>
  <r>
    <s v="CS06"/>
    <x v="363"/>
    <x v="363"/>
    <s v="نقدى"/>
    <m/>
    <s v=""/>
    <x v="3"/>
    <s v="يجب اعادة طلبه"/>
    <x v="1"/>
    <m/>
    <m/>
    <x v="0"/>
    <x v="1"/>
    <s v="300470635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9-04T00:00:00"/>
    <m/>
    <m/>
    <s v="فردى"/>
    <m/>
  </r>
  <r>
    <s v="CS06"/>
    <x v="364"/>
    <x v="364"/>
    <s v="نقدى"/>
    <m/>
    <s v=""/>
    <x v="3"/>
    <s v="يجب اعادة طلبه"/>
    <x v="1"/>
    <m/>
    <m/>
    <x v="0"/>
    <x v="1"/>
    <s v="3004842872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15T00:00:00"/>
    <m/>
    <m/>
    <s v="فردى"/>
    <m/>
  </r>
  <r>
    <s v="CS06"/>
    <x v="365"/>
    <x v="365"/>
    <s v="نقدى"/>
    <m/>
    <s v=""/>
    <x v="3"/>
    <s v="يجب اعادة طلبه"/>
    <x v="1"/>
    <m/>
    <m/>
    <x v="0"/>
    <x v="1"/>
    <s v="300685287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1-27T00:00:00"/>
    <m/>
    <m/>
    <s v="فردى"/>
    <m/>
  </r>
  <r>
    <s v="CS06"/>
    <x v="366"/>
    <x v="366"/>
    <s v="نقدى"/>
    <m/>
    <s v=""/>
    <x v="3"/>
    <s v="يجب اعادة طلبه"/>
    <x v="1"/>
    <m/>
    <m/>
    <x v="0"/>
    <x v="1"/>
    <s v="300946265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1-14T00:00:00"/>
    <m/>
    <m/>
    <s v="فردى"/>
    <m/>
  </r>
  <r>
    <s v="CS06"/>
    <x v="367"/>
    <x v="367"/>
    <s v="نقدى"/>
    <m/>
    <s v=""/>
    <x v="3"/>
    <s v="يجب اعادة طلبه"/>
    <x v="1"/>
    <m/>
    <m/>
    <x v="0"/>
    <x v="1"/>
    <s v="3010375864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26T00:00:00"/>
    <m/>
    <m/>
    <s v="فردى"/>
    <m/>
  </r>
  <r>
    <s v="CS06"/>
    <x v="368"/>
    <x v="368"/>
    <s v="نقدى"/>
    <m/>
    <s v=""/>
    <x v="3"/>
    <s v="يجب اعادة طلبه"/>
    <x v="1"/>
    <m/>
    <m/>
    <x v="0"/>
    <x v="1"/>
    <s v="301245475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26T00:00:00"/>
    <m/>
    <m/>
    <s v="فردى"/>
    <m/>
  </r>
  <r>
    <s v="CS06"/>
    <x v="369"/>
    <x v="369"/>
    <s v="نقدى"/>
    <s v="علي احمد بن احمد المهري"/>
    <s v="مؤسسة"/>
    <x v="1"/>
    <s v="يجب اعادة طلبه"/>
    <x v="0"/>
    <d v="2023-09-14T00:00:00"/>
    <s v="مطابق"/>
    <x v="0"/>
    <x v="1"/>
    <s v="3106025807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4-10T00:00:00"/>
    <m/>
    <m/>
    <s v="فردى"/>
    <m/>
  </r>
  <r>
    <s v="CS06"/>
    <x v="370"/>
    <x v="370"/>
    <s v="نقدى"/>
    <s v="بندر خالد عبدالله بن رباع"/>
    <s v="مؤسسة"/>
    <x v="1"/>
    <s v="يجب اعادة طلبه"/>
    <x v="0"/>
    <d v="2024-11-19T00:00:00"/>
    <s v="مطابق"/>
    <x v="1"/>
    <x v="1"/>
    <s v="300454629700003"/>
    <x v="1"/>
    <x v="1"/>
    <d v="2023-02-26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6-12T00:00:00"/>
    <m/>
    <m/>
    <s v="فرع"/>
    <m/>
  </r>
  <r>
    <s v="CS06"/>
    <x v="371"/>
    <x v="371"/>
    <s v="نقدى"/>
    <m/>
    <s v=""/>
    <x v="1"/>
    <s v="يجب اعادة طلبه"/>
    <x v="1"/>
    <m/>
    <m/>
    <x v="0"/>
    <x v="0"/>
    <s v="3004546297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8-26T00:00:00"/>
    <m/>
    <s v="العميل مكرر هو نفسة G0020  مؤسسه بندر خالد"/>
    <s v="فرع"/>
    <m/>
  </r>
  <r>
    <s v="CS06"/>
    <x v="372"/>
    <x v="372"/>
    <s v="نقدى"/>
    <m/>
    <s v="محدودة اجنبية"/>
    <x v="1"/>
    <s v="يجب اعادة طلبه"/>
    <x v="1"/>
    <m/>
    <m/>
    <x v="0"/>
    <x v="1"/>
    <s v="311197294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4-04T00:00:00"/>
    <m/>
    <m/>
    <s v="فرع"/>
    <m/>
  </r>
  <r>
    <s v="CS06"/>
    <x v="373"/>
    <x v="373"/>
    <s v="نقدى"/>
    <m/>
    <s v="محدودة اجنبية"/>
    <x v="1"/>
    <s v="يجب اعادة طلبه"/>
    <x v="0"/>
    <d v="2023-03-05T00:00:00"/>
    <s v="مطابق"/>
    <x v="0"/>
    <x v="1"/>
    <s v="311197294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6-05T00:00:00"/>
    <m/>
    <s v="مطلوب من العميل صورة التسجيل الضريبي توضح انه فرع من فروع شركة النخبة G0060"/>
    <s v="فرع"/>
    <m/>
  </r>
  <r>
    <s v="CS06"/>
    <x v="374"/>
    <x v="374"/>
    <s v="نقدى"/>
    <m/>
    <s v="ذات مسئولية محدودة مختلطة"/>
    <x v="1"/>
    <s v="يجب اعادة طلبه"/>
    <x v="0"/>
    <d v="2023-06-07T00:00:00"/>
    <s v="مطابق"/>
    <x v="0"/>
    <x v="1"/>
    <s v="311320459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28T00:00:00"/>
    <m/>
    <m/>
    <s v="فرع"/>
    <m/>
  </r>
  <r>
    <s v="CS06"/>
    <x v="375"/>
    <x v="375"/>
    <s v="نقدى"/>
    <m/>
    <s v="ذات مسئولية محدودة مختلطة"/>
    <x v="1"/>
    <s v="يجب اعادة طلبه"/>
    <x v="0"/>
    <d v="2023-05-24T00:00:00"/>
    <s v="مطابق"/>
    <x v="0"/>
    <x v="1"/>
    <s v="311320459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6-02T00:00:00"/>
    <m/>
    <m/>
    <s v="فرع"/>
    <m/>
  </r>
  <r>
    <s v="CS06"/>
    <x v="376"/>
    <x v="376"/>
    <s v="نقدى"/>
    <s v="على احمد عبد الله يحى"/>
    <s v="مؤسسة"/>
    <x v="1"/>
    <s v="يجب اعادة طلبه"/>
    <x v="0"/>
    <d v="2023-06-07T00:00:00"/>
    <s v="غير مطابق"/>
    <x v="0"/>
    <x v="1"/>
    <s v="311320459600003"/>
    <x v="1"/>
    <x v="1"/>
    <d v="2023-09-30T00:00:00"/>
    <x v="1"/>
    <s v="نقدى"/>
    <m/>
    <m/>
    <n v="0"/>
    <n v="0"/>
    <n v="0"/>
    <s v="مطابق"/>
    <m/>
    <s v="سارى"/>
    <s v="موجود"/>
    <d v="2036-05-26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9-11T00:00:00"/>
    <m/>
    <m/>
    <s v="فرع"/>
    <m/>
  </r>
  <r>
    <s v="CS06"/>
    <x v="377"/>
    <x v="377"/>
    <s v="نقدى"/>
    <m/>
    <m/>
    <x v="2"/>
    <s v="يجب اعادة طلبه"/>
    <x v="1"/>
    <m/>
    <m/>
    <x v="0"/>
    <x v="1"/>
    <s v="311320459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1-05T00:00:00"/>
    <m/>
    <m/>
    <s v="فرع"/>
    <m/>
  </r>
  <r>
    <s v="CS06"/>
    <x v="378"/>
    <x v="378"/>
    <s v="آجل"/>
    <s v="على احمد على غروي"/>
    <s v="مؤسسة"/>
    <x v="2"/>
    <s v="يجب اعادة طلبه"/>
    <x v="0"/>
    <d v="2021-06-16T00:00:00"/>
    <s v="مطابق"/>
    <x v="0"/>
    <x v="1"/>
    <s v="300091372200003"/>
    <x v="1"/>
    <x v="0"/>
    <m/>
    <x v="0"/>
    <s v="موجود"/>
    <n v="40000"/>
    <m/>
    <n v="0"/>
    <n v="32000"/>
    <n v="32000"/>
    <s v="مطابق"/>
    <s v="مطابق"/>
    <s v="يجب اعادة طلبه"/>
    <s v="موجود"/>
    <n v="45731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27T00:00:00"/>
    <m/>
    <s v="مشكلة بمعرفة استاداحمد"/>
    <s v="فردى"/>
    <m/>
  </r>
  <r>
    <s v="CS06"/>
    <x v="379"/>
    <x v="379"/>
    <s v="آجل"/>
    <m/>
    <s v="ذات مسئولية محدودة"/>
    <x v="2"/>
    <s v="يجب اعادة طلبه"/>
    <x v="0"/>
    <d v="2022-11-23T00:00:00"/>
    <s v="مطابق"/>
    <x v="0"/>
    <x v="1"/>
    <s v="300241761700003"/>
    <x v="1"/>
    <x v="0"/>
    <m/>
    <x v="0"/>
    <s v="موجود"/>
    <n v="100000"/>
    <d v="2021-07-27T00:00:00"/>
    <d v="2024-07-26T00:00:00"/>
    <n v="80000"/>
    <n v="80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1-08-02T00:00:00"/>
    <m/>
    <m/>
    <s v="فردى"/>
    <m/>
  </r>
  <r>
    <s v="CS06"/>
    <x v="380"/>
    <x v="380"/>
    <s v="آجل"/>
    <s v="شفاء محمد عمر باجعفر"/>
    <s v="مؤسسة"/>
    <x v="2"/>
    <s v="يجب اعادة طلبه"/>
    <x v="0"/>
    <d v="2026-03-06T00:00:00"/>
    <s v="مطابق"/>
    <x v="1"/>
    <x v="1"/>
    <s v="300313886200003"/>
    <x v="1"/>
    <x v="0"/>
    <m/>
    <x v="0"/>
    <s v="موجود"/>
    <n v="150000"/>
    <m/>
    <n v="0"/>
    <n v="120000"/>
    <n v="12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8-04T00:00:00"/>
    <m/>
    <m/>
    <s v="فردى"/>
    <m/>
  </r>
  <r>
    <s v="CS06"/>
    <x v="381"/>
    <x v="381"/>
    <s v="نقدى"/>
    <s v="خالد عمر عبيد باوزير"/>
    <s v="مؤسسة"/>
    <x v="1"/>
    <s v="يجب اعادة طلبه"/>
    <x v="0"/>
    <d v="2025-12-18T00:00:00"/>
    <s v="مطابق"/>
    <x v="1"/>
    <x v="1"/>
    <s v="300700802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7-24T00:00:00"/>
    <m/>
    <m/>
    <s v="فردى"/>
    <m/>
  </r>
  <r>
    <s v="CS06"/>
    <x v="382"/>
    <x v="382"/>
    <s v="نقدى"/>
    <s v="خديجة بنت هاشم بنت محمد جراده"/>
    <s v="مؤسسة"/>
    <x v="2"/>
    <s v="يجب اعادة طلبه"/>
    <x v="0"/>
    <d v="2022-08-02T00:00:00"/>
    <s v="مطابق"/>
    <x v="0"/>
    <x v="1"/>
    <s v="300822886500003"/>
    <x v="1"/>
    <x v="0"/>
    <m/>
    <x v="0"/>
    <s v="نقدى"/>
    <m/>
    <m/>
    <n v="0"/>
    <n v="0"/>
    <n v="0"/>
    <s v="مطابق"/>
    <m/>
    <s v="سارى"/>
    <s v="موجود"/>
    <d v="2028-04-13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25T00:00:00"/>
    <m/>
    <m/>
    <s v="فردى"/>
    <m/>
  </r>
  <r>
    <s v="CS06"/>
    <x v="383"/>
    <x v="383"/>
    <s v="نقدى"/>
    <s v="سعد محمد عبدالله آل زين الزهراني "/>
    <s v="مؤسسة"/>
    <x v="2"/>
    <s v="يجب اعادة طلبه"/>
    <x v="0"/>
    <d v="2021-10-24T00:00:00"/>
    <s v="مطابق"/>
    <x v="0"/>
    <x v="1"/>
    <s v="3008939151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8-02T00:00:00"/>
    <m/>
    <m/>
    <s v="فردى"/>
    <m/>
  </r>
  <r>
    <s v="CS06"/>
    <x v="384"/>
    <x v="384"/>
    <s v="آجل"/>
    <s v="إبراهيم احمد سعيد الغامدي "/>
    <s v="مؤسسة"/>
    <x v="2"/>
    <s v="يجب اعادة طلبه"/>
    <x v="0"/>
    <d v="2023-02-28T00:00:00"/>
    <s v="مطابق"/>
    <x v="0"/>
    <x v="1"/>
    <s v="301263475900003"/>
    <x v="1"/>
    <x v="1"/>
    <d v="2022-07-25T00:00:00"/>
    <x v="0"/>
    <s v="موجود"/>
    <n v="50000"/>
    <m/>
    <n v="0"/>
    <n v="40000"/>
    <n v="40000"/>
    <s v="مطابق"/>
    <s v="مطابق"/>
    <s v="يجب اعادة طلبه"/>
    <s v="موجود"/>
    <n v="45009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6-27T00:00:00"/>
    <m/>
    <m/>
    <s v="فردى"/>
    <m/>
  </r>
  <r>
    <s v="CS06"/>
    <x v="385"/>
    <x v="385"/>
    <s v="آجل"/>
    <m/>
    <s v="ذات مسئولية محدودة"/>
    <x v="2"/>
    <s v="يجب اعادة طلبه"/>
    <x v="0"/>
    <d v="2022-06-13T00:00:00"/>
    <s v="مطابق"/>
    <x v="0"/>
    <x v="1"/>
    <s v="310121154200003"/>
    <x v="1"/>
    <x v="0"/>
    <m/>
    <x v="0"/>
    <s v="موجود"/>
    <n v="20000"/>
    <m/>
    <n v="0"/>
    <n v="16000"/>
    <n v="16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6-30T00:00:00"/>
    <m/>
    <m/>
    <s v="فردى"/>
    <m/>
  </r>
  <r>
    <s v="CS06"/>
    <x v="386"/>
    <x v="386"/>
    <s v="آجل"/>
    <s v="صلاح بن عبدالقادر بن محمد حسرت"/>
    <s v="مؤسسة"/>
    <x v="0"/>
    <s v="سارى"/>
    <x v="0"/>
    <d v="2023-02-21T00:00:00"/>
    <s v="مطابق"/>
    <x v="0"/>
    <x v="1"/>
    <s v="310130531800003"/>
    <x v="1"/>
    <x v="1"/>
    <d v="2023-04-03T00:00:00"/>
    <x v="0"/>
    <s v="موجود"/>
    <n v="20000"/>
    <m/>
    <n v="0"/>
    <n v="16000"/>
    <n v="16000"/>
    <s v="مطابق"/>
    <s v="مطابق"/>
    <s v="يجب اعادة طلبه"/>
    <s v="موجود"/>
    <n v="49806"/>
    <s v="سارى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3-04-04T00:00:00"/>
    <s v="يجب اعادة طلبه"/>
    <s v="غير موجود"/>
    <m/>
    <s v="يجب اعادة طلبه"/>
    <d v="2021-02-02T00:00:00"/>
    <m/>
    <m/>
    <s v="فردى"/>
    <m/>
  </r>
  <r>
    <s v="CS06"/>
    <x v="387"/>
    <x v="387"/>
    <s v="نقدى"/>
    <s v="هشام زين احمد صالح"/>
    <s v="مؤسسة"/>
    <x v="1"/>
    <s v="يجب اعادة طلبه"/>
    <x v="0"/>
    <d v="2026-03-02T00:00:00"/>
    <s v="مطابق"/>
    <x v="1"/>
    <x v="1"/>
    <s v="3101608983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5-22T00:00:00"/>
    <s v="يجب اعادة طلبه"/>
    <s v="غير موجود"/>
    <m/>
    <s v="يجب اعادة طلبه"/>
    <d v="2022-01-13T00:00:00"/>
    <m/>
    <m/>
    <s v="فردى"/>
    <m/>
  </r>
  <r>
    <s v="CS06"/>
    <x v="388"/>
    <x v="388"/>
    <s v="نقدى"/>
    <m/>
    <s v=""/>
    <x v="2"/>
    <s v="يجب اعادة طلبه"/>
    <x v="1"/>
    <m/>
    <m/>
    <x v="0"/>
    <x v="1"/>
    <s v="310650350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2-02T00:00:00"/>
    <m/>
    <m/>
    <s v="فردى"/>
    <m/>
  </r>
  <r>
    <s v="CS06"/>
    <x v="389"/>
    <x v="389"/>
    <s v="نقدى"/>
    <m/>
    <s v=""/>
    <x v="3"/>
    <s v="يجب اعادة طلبه"/>
    <x v="1"/>
    <m/>
    <m/>
    <x v="0"/>
    <x v="1"/>
    <s v="3101689892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7-03T00:00:00"/>
    <m/>
    <m/>
    <s v="فردى"/>
    <m/>
  </r>
  <r>
    <s v="CS06"/>
    <x v="390"/>
    <x v="390"/>
    <s v="آجل"/>
    <m/>
    <s v="ذات مسئولية محدودة"/>
    <x v="2"/>
    <s v="يجب اعادة طلبه"/>
    <x v="0"/>
    <d v="2022-12-13T00:00:00"/>
    <s v="مطابق"/>
    <x v="0"/>
    <x v="1"/>
    <s v="310827692200003"/>
    <x v="1"/>
    <x v="0"/>
    <m/>
    <x v="0"/>
    <s v="موجود"/>
    <n v="100000"/>
    <d v="2021-09-29T00:00:00"/>
    <d v="2024-09-28T00:00:00"/>
    <n v="80000"/>
    <n v="60000"/>
    <s v="السند اكبر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9-18T00:00:00"/>
    <m/>
    <m/>
    <s v="فردى"/>
    <m/>
  </r>
  <r>
    <s v="CS06"/>
    <x v="391"/>
    <x v="391"/>
    <s v="آجل"/>
    <m/>
    <s v="ذات مسئولية محدودة"/>
    <x v="2"/>
    <s v="يجب اعادة طلبه"/>
    <x v="0"/>
    <d v="2022-11-19T00:00:00"/>
    <s v="مطابق"/>
    <x v="0"/>
    <x v="1"/>
    <s v="310846274900003"/>
    <x v="1"/>
    <x v="0"/>
    <m/>
    <x v="0"/>
    <s v="مستثنى"/>
    <n v="50000"/>
    <m/>
    <n v="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8-01T00:00:00"/>
    <m/>
    <m/>
    <s v="فردى"/>
    <m/>
  </r>
  <r>
    <s v="CS06"/>
    <x v="392"/>
    <x v="392"/>
    <s v="نقدى"/>
    <m/>
    <s v=""/>
    <x v="3"/>
    <s v="يجب اعادة طلبه"/>
    <x v="1"/>
    <m/>
    <m/>
    <x v="0"/>
    <x v="1"/>
    <s v="310225892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16T00:00:00"/>
    <m/>
    <m/>
    <s v="فردى"/>
    <m/>
  </r>
  <r>
    <s v="CS06"/>
    <x v="393"/>
    <x v="393"/>
    <s v="نقدى"/>
    <s v="فاطمة عطيه احمد الزهراني "/>
    <s v="مؤسسة"/>
    <x v="1"/>
    <s v="يجب اعادة طلبه"/>
    <x v="0"/>
    <d v="2023-01-17T00:00:00"/>
    <s v="مطابق"/>
    <x v="0"/>
    <x v="1"/>
    <s v="310892113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6-14T00:00:00"/>
    <m/>
    <m/>
    <s v="فردى"/>
    <m/>
  </r>
  <r>
    <s v="CS06"/>
    <x v="394"/>
    <x v="394"/>
    <s v="نقدى"/>
    <m/>
    <s v=""/>
    <x v="3"/>
    <s v="يجب اعادة طلبه"/>
    <x v="1"/>
    <m/>
    <m/>
    <x v="0"/>
    <x v="1"/>
    <s v="3102399145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07T00:00:00"/>
    <m/>
    <m/>
    <s v="فردى"/>
    <m/>
  </r>
  <r>
    <s v="CS06"/>
    <x v="395"/>
    <x v="395"/>
    <s v="نقدى"/>
    <m/>
    <s v="ذات مسئولية محدودة مختلطة"/>
    <x v="1"/>
    <s v="يجب اعادة طلبه"/>
    <x v="0"/>
    <d v="2023-02-26T00:00:00"/>
    <s v="مطابق"/>
    <x v="0"/>
    <x v="1"/>
    <s v="311227034400003"/>
    <x v="1"/>
    <x v="1"/>
    <d v="2022-10-20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8-02T00:00:00"/>
    <m/>
    <m/>
    <s v="فردى"/>
    <m/>
  </r>
  <r>
    <s v="CS06"/>
    <x v="396"/>
    <x v="396"/>
    <s v="نقدى"/>
    <s v="رزق بن مرزوق بن مبيريك العمري"/>
    <s v="مؤسسة"/>
    <x v="1"/>
    <s v="يجب اعادة طلبه"/>
    <x v="0"/>
    <d v="2023-03-08T00:00:00"/>
    <s v="غير مطابق"/>
    <x v="0"/>
    <x v="1"/>
    <s v="311230827400003"/>
    <x v="1"/>
    <x v="1"/>
    <d v="2023-11-08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6-30T00:00:00"/>
    <m/>
    <s v="الاسم غير مطابق للاسم بالسجل التجارى "/>
    <s v="فردى"/>
    <m/>
  </r>
  <r>
    <s v="CS06"/>
    <x v="397"/>
    <x v="397"/>
    <s v="نقدى"/>
    <s v="عباس محمد علي شتيان المستادي الرابغي"/>
    <s v="مؤسسة"/>
    <x v="1"/>
    <s v="يجب اعادة طلبه"/>
    <x v="0"/>
    <d v="2022-01-16T00:00:00"/>
    <s v="مطابق"/>
    <x v="0"/>
    <x v="1"/>
    <s v="300452901700003"/>
    <x v="1"/>
    <x v="1"/>
    <d v="2023-03-11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2-02T00:00:00"/>
    <m/>
    <m/>
    <m/>
    <m/>
  </r>
  <r>
    <s v="CS06"/>
    <x v="398"/>
    <x v="398"/>
    <s v="نقدى"/>
    <m/>
    <m/>
    <x v="3"/>
    <s v="يجب اعادة طلبه"/>
    <x v="2"/>
    <m/>
    <s v=""/>
    <x v="0"/>
    <x v="2"/>
    <s v="حازم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4-19T00:00:00"/>
    <m/>
    <m/>
    <s v="فردى"/>
    <m/>
  </r>
  <r>
    <s v="CS06"/>
    <x v="399"/>
    <x v="399"/>
    <s v="نقدى"/>
    <s v="سالم ابراهيم سالم سعيد"/>
    <s v="مؤسسة"/>
    <x v="1"/>
    <s v="يجب اعادة طلبه"/>
    <x v="0"/>
    <d v="2022-11-10T00:00:00"/>
    <s v="مطابق"/>
    <x v="0"/>
    <x v="1"/>
    <s v="3101584228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1-15T00:00:00"/>
    <m/>
    <m/>
    <s v="فردى"/>
    <m/>
  </r>
  <r>
    <s v="CS06"/>
    <x v="400"/>
    <x v="400"/>
    <s v="نقدى"/>
    <m/>
    <s v=""/>
    <x v="3"/>
    <s v="يجب اعادة طلبه"/>
    <x v="1"/>
    <m/>
    <m/>
    <x v="0"/>
    <x v="1"/>
    <s v="310344083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2-22T00:00:00"/>
    <m/>
    <m/>
    <s v="فردى"/>
    <m/>
  </r>
  <r>
    <s v="CS06"/>
    <x v="401"/>
    <x v="401"/>
    <s v="نقدى"/>
    <s v="سليمان نواف سليمان الميزاني المطيري"/>
    <s v="مؤسسة"/>
    <x v="1"/>
    <s v="يجب اعادة طلبه"/>
    <x v="0"/>
    <d v="2022-12-31T00:00:00"/>
    <s v="مطابق"/>
    <x v="0"/>
    <x v="1"/>
    <s v="3001470579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1-22T00:00:00"/>
    <m/>
    <m/>
    <s v="فردى"/>
    <m/>
  </r>
  <r>
    <s v="CS06"/>
    <x v="402"/>
    <x v="402"/>
    <s v="نقدى"/>
    <s v="محمد مسفر سعد المسفر الدوسري"/>
    <s v="مؤسسة"/>
    <x v="1"/>
    <s v="يجب اعادة طلبه"/>
    <x v="0"/>
    <d v="2022-06-30T00:00:00"/>
    <s v="مطابق"/>
    <x v="0"/>
    <x v="1"/>
    <s v="3001304614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1-30T00:00:00"/>
    <m/>
    <m/>
    <s v="فردى"/>
    <m/>
  </r>
  <r>
    <s v="CS06"/>
    <x v="403"/>
    <x v="403"/>
    <s v="نقدى"/>
    <m/>
    <s v=""/>
    <x v="3"/>
    <s v="يجب اعادة طلبه"/>
    <x v="1"/>
    <m/>
    <m/>
    <x v="0"/>
    <x v="1"/>
    <s v="3105236442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0-05T00:00:00"/>
    <m/>
    <m/>
    <s v="فردى"/>
    <m/>
  </r>
  <r>
    <s v="CS06"/>
    <x v="404"/>
    <x v="404"/>
    <s v="نقدى"/>
    <s v="خالد قويدر لحسن عبدالحق"/>
    <s v="مؤسسة"/>
    <x v="1"/>
    <s v="يجب اعادة طلبه"/>
    <x v="0"/>
    <d v="2021-06-25T00:00:00"/>
    <s v="مطابق"/>
    <x v="0"/>
    <x v="1"/>
    <s v="3005588687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2-06T00:00:00"/>
    <m/>
    <m/>
    <s v="فردى"/>
    <m/>
  </r>
  <r>
    <s v="CS06"/>
    <x v="405"/>
    <x v="405"/>
    <s v="نقدى"/>
    <m/>
    <s v=""/>
    <x v="3"/>
    <s v="يجب اعادة طلبه"/>
    <x v="1"/>
    <m/>
    <m/>
    <x v="0"/>
    <x v="1"/>
    <s v="3105769292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01T00:00:00"/>
    <m/>
    <m/>
    <s v="فردى"/>
    <m/>
  </r>
  <r>
    <s v="CS06"/>
    <x v="406"/>
    <x v="406"/>
    <s v="نقدى"/>
    <m/>
    <s v=""/>
    <x v="3"/>
    <s v="يجب اعادة طلبه"/>
    <x v="1"/>
    <m/>
    <m/>
    <x v="0"/>
    <x v="1"/>
    <s v="3107342752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2-25T00:00:00"/>
    <m/>
    <m/>
    <s v="فردى"/>
    <m/>
  </r>
  <r>
    <s v="CS06"/>
    <x v="407"/>
    <x v="407"/>
    <s v="نقدى"/>
    <m/>
    <s v=""/>
    <x v="1"/>
    <s v="يجب اعادة طلبه"/>
    <x v="1"/>
    <m/>
    <m/>
    <x v="0"/>
    <x v="1"/>
    <s v="302058154900003"/>
    <x v="1"/>
    <x v="1"/>
    <d v="2020-11-11T00:00:00"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2-14T00:00:00"/>
    <m/>
    <m/>
    <s v="فردى"/>
    <m/>
  </r>
  <r>
    <s v="CS06"/>
    <x v="408"/>
    <x v="408"/>
    <s v="نقدى"/>
    <s v="حسن عبدالله محسن العطاس"/>
    <s v="مؤسسة"/>
    <x v="1"/>
    <s v="يجب اعادة طلبه"/>
    <x v="0"/>
    <d v="2023-12-07T00:00:00"/>
    <s v="مطابق"/>
    <x v="1"/>
    <x v="1"/>
    <s v="3103066248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2-14T00:00:00"/>
    <m/>
    <m/>
    <s v="فردى"/>
    <m/>
  </r>
  <r>
    <s v="CS06"/>
    <x v="409"/>
    <x v="409"/>
    <s v="نقدى"/>
    <s v="انوار عويض رشدان الازوري"/>
    <s v="مؤسسة"/>
    <x v="1"/>
    <s v="يجب اعادة طلبه"/>
    <x v="0"/>
    <d v="2022-09-26T00:00:00"/>
    <s v="مطابق"/>
    <x v="0"/>
    <x v="1"/>
    <s v="3008791389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3-06T00:00:00"/>
    <m/>
    <m/>
    <s v="فردى"/>
    <m/>
  </r>
  <r>
    <s v="CS06"/>
    <x v="410"/>
    <x v="410"/>
    <s v="نقدى"/>
    <s v="اشرف زاهر  احمد الزبيدي"/>
    <s v="مؤسسة"/>
    <x v="1"/>
    <s v="يجب اعادة طلبه"/>
    <x v="0"/>
    <d v="2024-09-23T00:00:00"/>
    <s v="مطابق"/>
    <x v="1"/>
    <x v="1"/>
    <s v="3105257908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5-14T00:00:00"/>
    <m/>
    <m/>
    <s v="فردى"/>
    <m/>
  </r>
  <r>
    <s v="CS06"/>
    <x v="411"/>
    <x v="411"/>
    <s v="نقدى"/>
    <s v="رحاب حسين صالح العمودي"/>
    <s v="مؤسسة"/>
    <x v="1"/>
    <s v="يجب اعادة طلبه"/>
    <x v="0"/>
    <d v="2022-12-20T00:00:00"/>
    <s v="مطابق"/>
    <x v="0"/>
    <x v="1"/>
    <s v="3102604254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موجود"/>
    <d v="2022-06-17T00:00:00"/>
    <s v="يجب اعادة طلبه"/>
    <m/>
    <m/>
    <s v="يجب اعادة طلبه"/>
    <d v="2022-05-21T00:00:00"/>
    <m/>
    <m/>
    <s v="فردى"/>
    <m/>
  </r>
  <r>
    <s v="CS06"/>
    <x v="412"/>
    <x v="412"/>
    <s v="نقدى"/>
    <m/>
    <s v=""/>
    <x v="3"/>
    <s v="يجب اعادة طلبه"/>
    <x v="1"/>
    <m/>
    <m/>
    <x v="0"/>
    <x v="1"/>
    <s v="311021227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10-23T00:00:00"/>
    <m/>
    <m/>
    <s v="فردى"/>
    <m/>
  </r>
  <r>
    <s v="CS06"/>
    <x v="413"/>
    <x v="413"/>
    <s v="نقدى"/>
    <m/>
    <m/>
    <x v="1"/>
    <s v="يجب اعادة طلبه"/>
    <x v="1"/>
    <m/>
    <m/>
    <x v="0"/>
    <x v="1"/>
    <s v="311265811700003"/>
    <x v="1"/>
    <x v="1"/>
    <d v="2023-04-07T00:00:00"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موجود"/>
    <d v="2023-04-08T00:00:00"/>
    <s v="يجب اعادة طلبه"/>
    <m/>
    <m/>
    <s v="يجب اعادة طلبه"/>
    <d v="2022-05-29T00:00:00"/>
    <m/>
    <m/>
    <s v="فردى"/>
    <m/>
  </r>
  <r>
    <s v="CS06"/>
    <x v="414"/>
    <x v="414"/>
    <s v="نقدى"/>
    <s v="سليمان عطا الله جحيش اللقماني الحربي "/>
    <s v="مؤسسة"/>
    <x v="1"/>
    <s v="يجب اعادة طلبه"/>
    <x v="0"/>
    <d v="2025-04-13T00:00:00"/>
    <s v="مطابق"/>
    <x v="1"/>
    <x v="1"/>
    <s v="300113172100003"/>
    <x v="1"/>
    <x v="1"/>
    <d v="2024-01-10T00:00:00"/>
    <x v="1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s v="موجود"/>
    <d v="2023-03-09T00:00:00"/>
    <s v="يجب اعادة طلبه"/>
    <m/>
    <m/>
    <s v="يجب اعادة طلبه"/>
    <d v="2022-06-01T00:00:00"/>
    <m/>
    <m/>
    <s v="فردى"/>
    <m/>
  </r>
  <r>
    <s v="CS06"/>
    <x v="415"/>
    <x v="415"/>
    <s v="نقدى"/>
    <m/>
    <s v=""/>
    <x v="3"/>
    <s v="يجب اعادة طلبه"/>
    <x v="1"/>
    <m/>
    <m/>
    <x v="0"/>
    <x v="1"/>
    <s v="403031284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2-22T00:00:00"/>
    <m/>
    <m/>
    <s v="فردى"/>
    <m/>
  </r>
  <r>
    <s v="CS06"/>
    <x v="416"/>
    <x v="416"/>
    <s v="نقدى"/>
    <m/>
    <s v=""/>
    <x v="3"/>
    <s v="يجب اعادة طلبه"/>
    <x v="1"/>
    <m/>
    <m/>
    <x v="0"/>
    <x v="1"/>
    <s v="403037842700004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2-22T00:00:00"/>
    <m/>
    <m/>
    <s v="فردى"/>
    <m/>
  </r>
  <r>
    <s v="CS08"/>
    <x v="417"/>
    <x v="417"/>
    <s v="نقدى"/>
    <m/>
    <s v="ذات مسئولية محدودة"/>
    <x v="1"/>
    <s v="يجب اعادة طلبه"/>
    <x v="0"/>
    <d v="2022-01-16T00:00:00"/>
    <s v="مطابق"/>
    <x v="0"/>
    <x v="1"/>
    <s v="300099481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m/>
    <s v="يجب اعادة طلبه"/>
    <s v="غير موجود"/>
    <m/>
    <s v="يجب اعادة طلبه"/>
    <d v="2022-06-18T00:00:00"/>
    <m/>
    <m/>
    <s v="فردى"/>
    <m/>
  </r>
  <r>
    <s v="CS08"/>
    <x v="418"/>
    <x v="418"/>
    <s v="نقدى"/>
    <s v="رضى على محمد حسن"/>
    <s v="مؤسسة"/>
    <x v="1"/>
    <s v="يجب اعادة طلبه"/>
    <x v="0"/>
    <d v="2023-10-17T00:00:00"/>
    <s v="مطابق"/>
    <x v="1"/>
    <x v="1"/>
    <s v="3004608299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2-06T00:00:00"/>
    <m/>
    <m/>
    <s v="فردى"/>
    <m/>
  </r>
  <r>
    <s v="CS08"/>
    <x v="419"/>
    <x v="419"/>
    <s v="نقدى"/>
    <s v="خالد مسلم بخيت كده المهرى"/>
    <s v="مؤسسة"/>
    <x v="1"/>
    <s v="يجب اعادة طلبه"/>
    <x v="0"/>
    <d v="2023-12-30T00:00:00"/>
    <s v="مطابق"/>
    <x v="1"/>
    <x v="1"/>
    <s v="300507793400003"/>
    <x v="1"/>
    <x v="1"/>
    <d v="2023-03-20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1-16T00:00:00"/>
    <m/>
    <m/>
    <s v="فردى"/>
    <m/>
  </r>
  <r>
    <s v="CS08"/>
    <x v="420"/>
    <x v="420"/>
    <s v="نقدى"/>
    <s v="حسن نصار بريك المحمادى"/>
    <s v="مؤسسة"/>
    <x v="1"/>
    <s v="يجب اعادة طلبه"/>
    <x v="0"/>
    <d v="2022-10-29T00:00:00"/>
    <s v="مطابق"/>
    <x v="0"/>
    <x v="1"/>
    <s v="3011089764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7-02T00:00:00"/>
    <m/>
    <m/>
    <s v="فردى"/>
    <m/>
  </r>
  <r>
    <s v="CS08"/>
    <x v="421"/>
    <x v="421"/>
    <s v="آجل"/>
    <s v="محمد عبداللطيف بن دخيل الله الحربي"/>
    <s v="مؤسسة"/>
    <x v="0"/>
    <s v="سارى"/>
    <x v="0"/>
    <d v="2022-12-24T00:00:00"/>
    <s v="مطابق"/>
    <x v="0"/>
    <x v="0"/>
    <s v="302194520200003"/>
    <x v="0"/>
    <x v="0"/>
    <m/>
    <x v="0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6-16T00:00:00"/>
    <m/>
    <m/>
    <s v="فردى"/>
    <m/>
  </r>
  <r>
    <s v="CS08"/>
    <x v="422"/>
    <x v="422"/>
    <s v="نقدى"/>
    <s v="جميلة فرحان  محمد مهاوش"/>
    <s v="مؤسسة"/>
    <x v="1"/>
    <s v="يجب اعادة طلبه"/>
    <x v="0"/>
    <d v="2022-04-21T00:00:00"/>
    <s v="مطابق"/>
    <x v="0"/>
    <x v="0"/>
    <s v="302284346600003"/>
    <x v="0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7-19T00:00:00"/>
    <m/>
    <m/>
    <s v="فردى"/>
    <m/>
  </r>
  <r>
    <s v="CS08"/>
    <x v="423"/>
    <x v="423"/>
    <s v="نقدى"/>
    <s v="ياسر محمد جمعه الداوودى"/>
    <s v="مؤسسة"/>
    <x v="1"/>
    <s v="يجب اعادة طلبه"/>
    <x v="0"/>
    <d v="2022-12-12T00:00:00"/>
    <s v="مطابق"/>
    <x v="0"/>
    <x v="0"/>
    <s v="3100816756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6-14T00:00:00"/>
    <m/>
    <m/>
    <s v="فردى"/>
    <m/>
  </r>
  <r>
    <s v="CS08"/>
    <x v="424"/>
    <x v="424"/>
    <s v="آجل"/>
    <s v=" حمزه سعدالله حامد مر غلانى"/>
    <s v="مؤسسة"/>
    <x v="0"/>
    <s v="سارى"/>
    <x v="0"/>
    <d v="2023-04-21T00:00:00"/>
    <s v="مطابق"/>
    <x v="0"/>
    <x v="1"/>
    <s v="310545888700003"/>
    <x v="1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6-22T00:00:00"/>
    <m/>
    <m/>
    <s v="فردى"/>
    <m/>
  </r>
  <r>
    <s v="CS08"/>
    <x v="425"/>
    <x v="425"/>
    <s v="آجل"/>
    <s v="سلطان بن صالح بن عايش الحربى"/>
    <s v="مؤسسة"/>
    <x v="0"/>
    <s v="سارى"/>
    <x v="0"/>
    <d v="2022-12-24T00:00:00"/>
    <s v="مطابق"/>
    <x v="0"/>
    <x v="1"/>
    <s v="310842312100003"/>
    <x v="1"/>
    <x v="1"/>
    <d v="2023-02-24T00:00:00"/>
    <x v="0"/>
    <s v="موجود"/>
    <n v="35000"/>
    <m/>
    <n v="0"/>
    <n v="28000"/>
    <n v="28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8-02T00:00:00"/>
    <m/>
    <m/>
    <s v="فردى"/>
    <m/>
  </r>
  <r>
    <s v="CS08"/>
    <x v="426"/>
    <x v="426"/>
    <s v="آجل"/>
    <s v="مني عياد سليم السريحي"/>
    <s v="مؤسسة"/>
    <x v="0"/>
    <s v="سارى"/>
    <x v="0"/>
    <d v="2023-09-29T00:00:00"/>
    <s v="مطابق"/>
    <x v="1"/>
    <x v="1"/>
    <s v="311068831600003"/>
    <x v="1"/>
    <x v="1"/>
    <d v="2022-10-17T00:00:00"/>
    <x v="0"/>
    <s v="موجود"/>
    <n v="20000"/>
    <m/>
    <n v="0"/>
    <n v="16000"/>
    <n v="16000"/>
    <s v="مطابق"/>
    <s v="مطابق"/>
    <s v="يجب اعادة طلبه"/>
    <s v="موجود"/>
    <d v="2023-03-08T00:00:00"/>
    <s v="يجب اعادة طلبه"/>
    <s v="موجود"/>
    <d v="2028-10-23T00:00:00"/>
    <s v="سارى"/>
    <s v="موجود"/>
    <d v="2022-04-15T00:00:00"/>
    <s v="يجب اعادة طلبه"/>
    <m/>
    <m/>
    <s v="يجب اعادة طلبه"/>
    <s v="غير موجود"/>
    <m/>
    <s v="يجب اعادة طلبه"/>
    <s v="غير موجود"/>
    <m/>
    <s v="يجب اعادة طلبه"/>
    <d v="2022-09-29T00:00:00"/>
    <m/>
    <m/>
    <s v="فردى"/>
    <m/>
  </r>
  <r>
    <s v="CS08"/>
    <x v="427"/>
    <x v="427"/>
    <s v="نقدى"/>
    <s v="ناديه فواز عبدالله الشريف"/>
    <s v="مؤسسة"/>
    <x v="1"/>
    <s v="يجب اعادة طلبه"/>
    <x v="0"/>
    <d v="2023-10-06T00:00:00"/>
    <s v="مطابق"/>
    <x v="1"/>
    <x v="1"/>
    <s v="311151237700003"/>
    <x v="1"/>
    <x v="1"/>
    <d v="2024-12-31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2-05-05T00:00:00"/>
    <s v="يجب اعادة طلبه"/>
    <s v="غير موجود"/>
    <m/>
    <s v="يجب اعادة طلبه"/>
    <d v="2022-06-15T00:00:00"/>
    <m/>
    <m/>
    <s v="فردى"/>
    <m/>
  </r>
  <r>
    <s v="CS08"/>
    <x v="428"/>
    <x v="428"/>
    <s v="آجل"/>
    <s v="سيف على صقر المخلفي"/>
    <s v="مؤسسة"/>
    <x v="0"/>
    <s v="سارى"/>
    <x v="0"/>
    <d v="2023-05-05T00:00:00"/>
    <s v="مطابق"/>
    <x v="0"/>
    <x v="1"/>
    <s v="311231508400003"/>
    <x v="1"/>
    <x v="0"/>
    <m/>
    <x v="0"/>
    <s v="موجود"/>
    <n v="75000"/>
    <m/>
    <n v="0"/>
    <n v="60000"/>
    <n v="60000"/>
    <s v="مطابق"/>
    <s v="مطابق"/>
    <s v="يجب اعادة طلبه"/>
    <s v="موجود"/>
    <d v="2022-10-28T00:00:00"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2-10-01T00:00:00"/>
    <s v="يجب اعادة طلبه"/>
    <s v="غير موجود"/>
    <m/>
    <s v="يجب اعادة طلبه"/>
    <d v="2022-06-30T00:00:00"/>
    <m/>
    <s v="الختم على سند الامر مختلف عن السجل التجاري  ومختلف عن رقم السجل  التجاري  في البطاقة الضريبية (استادمحمود )"/>
    <s v="فردى"/>
    <m/>
  </r>
  <r>
    <s v="CS08"/>
    <x v="429"/>
    <x v="429"/>
    <s v="آجل"/>
    <m/>
    <s v="ذات مسئولية محدودة مختلطة"/>
    <x v="0"/>
    <s v="سارى"/>
    <x v="0"/>
    <d v="2023-03-24T00:00:00"/>
    <s v="مطابق"/>
    <x v="0"/>
    <x v="1"/>
    <s v="311267873800003"/>
    <x v="1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6-18T00:00:00"/>
    <m/>
    <m/>
    <s v="فردى"/>
    <m/>
  </r>
  <r>
    <s v="CS08"/>
    <x v="430"/>
    <x v="430"/>
    <s v="نقدى"/>
    <m/>
    <s v=""/>
    <x v="1"/>
    <s v="يجب اعادة طلبه"/>
    <x v="1"/>
    <m/>
    <m/>
    <x v="0"/>
    <x v="0"/>
    <s v="3112921826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6-11T00:00:00"/>
    <m/>
    <m/>
    <s v="فردى"/>
    <m/>
  </r>
  <r>
    <s v="CS08"/>
    <x v="431"/>
    <x v="431"/>
    <s v="نقدى"/>
    <s v="مكى ناصر سبنى النخلى"/>
    <s v="مؤسسة"/>
    <x v="1"/>
    <s v="يجب اعادة طلبه"/>
    <x v="0"/>
    <d v="2023-10-28T00:00:00"/>
    <s v="مطابق"/>
    <x v="1"/>
    <x v="1"/>
    <s v="311460950100003"/>
    <x v="1"/>
    <x v="0"/>
    <m/>
    <x v="0"/>
    <s v="نقدى"/>
    <m/>
    <m/>
    <n v="0"/>
    <n v="0"/>
    <n v="0"/>
    <s v="مطابق"/>
    <m/>
    <s v="سارى"/>
    <s v="موجود"/>
    <d v="2024-10-25T00:00:00"/>
    <s v="سارى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1-22T00:00:00"/>
    <m/>
    <m/>
    <s v="فردى"/>
    <m/>
  </r>
  <r>
    <s v="CS08"/>
    <x v="432"/>
    <x v="432"/>
    <s v="نقدى"/>
    <m/>
    <m/>
    <x v="3"/>
    <s v="يجب اعادة طلبه"/>
    <x v="2"/>
    <m/>
    <s v=""/>
    <x v="0"/>
    <x v="2"/>
    <s v="سامر زيني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5-12T00:00:00"/>
    <m/>
    <m/>
    <s v="فردى"/>
    <m/>
  </r>
  <r>
    <s v="CS09"/>
    <x v="433"/>
    <x v="433"/>
    <s v="آجل"/>
    <m/>
    <m/>
    <x v="0"/>
    <s v="سارى"/>
    <x v="1"/>
    <m/>
    <m/>
    <x v="0"/>
    <x v="1"/>
    <s v="300024635700003"/>
    <x v="1"/>
    <x v="0"/>
    <m/>
    <x v="0"/>
    <s v="موجود"/>
    <n v="100000"/>
    <d v="2019-08-01T00:00:00"/>
    <d v="2022-07-31T00:00:00"/>
    <n v="80000"/>
    <n v="8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7-28T00:00:00"/>
    <m/>
    <m/>
    <s v="فرع"/>
    <n v="240000"/>
  </r>
  <r>
    <s v="CS09"/>
    <x v="434"/>
    <x v="434"/>
    <s v="آجل"/>
    <m/>
    <m/>
    <x v="0"/>
    <s v="سارى"/>
    <x v="1"/>
    <m/>
    <m/>
    <x v="0"/>
    <x v="1"/>
    <s v="300024635700003"/>
    <x v="1"/>
    <x v="0"/>
    <m/>
    <x v="0"/>
    <s v="موجود"/>
    <n v="37500"/>
    <d v="2019-08-01T00:00:00"/>
    <d v="2022-07-31T00:00:00"/>
    <n v="30000"/>
    <n v="3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7-28T00:00:00"/>
    <m/>
    <m/>
    <s v="فرع"/>
    <n v="240000"/>
  </r>
  <r>
    <s v="CS09"/>
    <x v="435"/>
    <x v="435"/>
    <s v="آجل"/>
    <s v="محمد عبدالعزيز محمد الرزيز العنقري"/>
    <s v="مؤسسة"/>
    <x v="1"/>
    <s v="يجب اعادة طلبه"/>
    <x v="0"/>
    <d v="2023-09-19T00:00:00"/>
    <s v="مطابق"/>
    <x v="0"/>
    <x v="1"/>
    <s v="300031767700003"/>
    <x v="1"/>
    <x v="0"/>
    <m/>
    <x v="0"/>
    <s v="مستثنى"/>
    <n v="35000"/>
    <d v="2019-08-24T00:00:00"/>
    <d v="2022-08-23T00:00:00"/>
    <n v="35000"/>
    <n v="35000"/>
    <s v="مطابق"/>
    <m/>
    <s v="سارى"/>
    <s v="موجود"/>
    <d v="2027-10-11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5-14T00:00:00"/>
    <s v="يجب اعادة طلبه"/>
    <s v="غير موجود"/>
    <m/>
    <s v="يجب اعادة طلبه"/>
    <d v="2019-05-23T00:00:00"/>
    <m/>
    <m/>
    <s v="فرع"/>
    <n v="100000"/>
  </r>
  <r>
    <s v="CS09"/>
    <x v="436"/>
    <x v="436"/>
    <s v="آجل"/>
    <m/>
    <s v="محدودة اجنبية"/>
    <x v="1"/>
    <s v="يجب اعادة طلبه"/>
    <x v="0"/>
    <d v="2024-04-30T00:00:00"/>
    <s v="مطابق"/>
    <x v="1"/>
    <x v="1"/>
    <s v="311589708100003"/>
    <x v="1"/>
    <x v="0"/>
    <m/>
    <x v="0"/>
    <s v="مستثنى"/>
    <n v="200000"/>
    <m/>
    <n v="0"/>
    <n v="200000"/>
    <n v="20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5-07T00:00:00"/>
    <m/>
    <s v="تم تغيير كيان العميل من مؤسسة لشركة و العميل بحاجة لارسال كل اوراق فح حسابه * هل سيتم تحديث الاستثناء الخاص به"/>
    <s v="فرع"/>
    <m/>
  </r>
  <r>
    <s v="CS09"/>
    <x v="437"/>
    <x v="437"/>
    <s v="آجل"/>
    <m/>
    <s v="ذات مسئولية محدودة"/>
    <x v="0"/>
    <s v="سارى"/>
    <x v="0"/>
    <d v="2023-01-11T00:00:00"/>
    <s v="مطابق"/>
    <x v="0"/>
    <x v="1"/>
    <s v="301200478900003"/>
    <x v="1"/>
    <x v="1"/>
    <d v="2022-11-04T00:00:00"/>
    <x v="0"/>
    <s v="مستثنى"/>
    <n v="100000"/>
    <m/>
    <n v="0"/>
    <n v="100000"/>
    <n v="10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1-06T00:00:00"/>
    <m/>
    <m/>
    <s v="فرع"/>
    <n v="200000"/>
  </r>
  <r>
    <s v="CS09"/>
    <x v="438"/>
    <x v="438"/>
    <s v="آجل"/>
    <m/>
    <s v=""/>
    <x v="0"/>
    <s v="سارى"/>
    <x v="1"/>
    <m/>
    <m/>
    <x v="0"/>
    <x v="1"/>
    <s v="301200478900003"/>
    <x v="1"/>
    <x v="0"/>
    <m/>
    <x v="0"/>
    <s v="مستثنى"/>
    <n v="50000"/>
    <m/>
    <n v="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2-23T00:00:00"/>
    <m/>
    <m/>
    <s v="فرع"/>
    <n v="200000"/>
  </r>
  <r>
    <s v="CS09"/>
    <x v="439"/>
    <x v="439"/>
    <s v="آجل"/>
    <m/>
    <s v=""/>
    <x v="0"/>
    <s v="سارى"/>
    <x v="1"/>
    <m/>
    <m/>
    <x v="0"/>
    <x v="1"/>
    <s v="301200478900003"/>
    <x v="1"/>
    <x v="0"/>
    <m/>
    <x v="0"/>
    <s v="مستثنى"/>
    <n v="50000"/>
    <m/>
    <n v="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2-04-24T00:00:00"/>
    <m/>
    <m/>
    <s v="فرع"/>
    <n v="200000"/>
  </r>
  <r>
    <s v="CS09"/>
    <x v="440"/>
    <x v="440"/>
    <s v="آجل"/>
    <m/>
    <s v=""/>
    <x v="0"/>
    <s v="سارى"/>
    <x v="1"/>
    <m/>
    <m/>
    <x v="0"/>
    <x v="1"/>
    <s v="310078680500003"/>
    <x v="1"/>
    <x v="0"/>
    <m/>
    <x v="0"/>
    <s v="مستثنى"/>
    <n v="50000"/>
    <d v="2019-08-24T00:00:00"/>
    <d v="2022-08-23T00:00:00"/>
    <n v="50000"/>
    <n v="5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0-07T00:00:00"/>
    <m/>
    <m/>
    <s v="فرع"/>
    <n v="100000"/>
  </r>
  <r>
    <s v="CS09"/>
    <x v="441"/>
    <x v="441"/>
    <s v="آجل"/>
    <m/>
    <s v=""/>
    <x v="1"/>
    <s v="يجب اعادة طلبه"/>
    <x v="1"/>
    <m/>
    <m/>
    <x v="0"/>
    <x v="0"/>
    <s v="310088399300003"/>
    <x v="0"/>
    <x v="0"/>
    <m/>
    <x v="0"/>
    <s v="مستثنى"/>
    <n v="20000"/>
    <d v="2023-03-11T00:00:00"/>
    <d v="2026-03-10T00:00:00"/>
    <n v="20000"/>
    <n v="20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06-01T00:00:00"/>
    <m/>
    <m/>
    <s v="فرع"/>
    <m/>
  </r>
  <r>
    <s v="CS09"/>
    <x v="442"/>
    <x v="442"/>
    <s v="آجل"/>
    <m/>
    <m/>
    <x v="0"/>
    <s v="سارى"/>
    <x v="1"/>
    <m/>
    <m/>
    <x v="0"/>
    <x v="1"/>
    <s v="310882297900003"/>
    <x v="1"/>
    <x v="0"/>
    <m/>
    <x v="0"/>
    <s v="موجود"/>
    <n v="50000"/>
    <m/>
    <n v="0"/>
    <n v="40000"/>
    <n v="40000"/>
    <s v="مطابق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30T00:00:00"/>
    <m/>
    <m/>
    <s v="فرع"/>
    <n v="110000"/>
  </r>
  <r>
    <s v="CS09"/>
    <x v="443"/>
    <x v="443"/>
    <s v="آجل"/>
    <m/>
    <s v="ذات مسئولية محدودة"/>
    <x v="1"/>
    <s v="يجب اعادة طلبه"/>
    <x v="0"/>
    <d v="2022-06-07T00:00:00"/>
    <s v="مطابق"/>
    <x v="0"/>
    <x v="1"/>
    <s v="311029809400003"/>
    <x v="1"/>
    <x v="0"/>
    <m/>
    <x v="0"/>
    <s v="غير موجود"/>
    <m/>
    <m/>
    <n v="0"/>
    <n v="0"/>
    <n v="24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5-05T00:00:00"/>
    <m/>
    <s v="تم تغير كيان العميل والعميل بحاجة الي ارسال كافة اوراقة"/>
    <s v="فرع"/>
    <m/>
  </r>
  <r>
    <s v="CS09"/>
    <x v="444"/>
    <x v="444"/>
    <s v="آجل"/>
    <m/>
    <s v="ذات مسئولية محدودة"/>
    <x v="0"/>
    <s v="سارى"/>
    <x v="0"/>
    <d v="2023-07-13T00:00:00"/>
    <s v="مطابق"/>
    <x v="0"/>
    <x v="1"/>
    <s v="310230773200003"/>
    <x v="1"/>
    <x v="1"/>
    <d v="2020-03-27T00:00:00"/>
    <x v="0"/>
    <s v="موجود"/>
    <n v="15000"/>
    <m/>
    <n v="0"/>
    <n v="12000"/>
    <n v="13500"/>
    <s v="السند اصغر"/>
    <s v="غير 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0-10-10T00:00:00"/>
    <m/>
    <s v="الحد الائتمانى متجاوز قيمة سند الامر"/>
    <s v="فردى"/>
    <m/>
  </r>
  <r>
    <s v="CS09"/>
    <x v="445"/>
    <x v="445"/>
    <s v="آجل"/>
    <s v="عبدالعزيز ابراهيم سليمان السلامه"/>
    <s v="مؤسسة"/>
    <x v="0"/>
    <s v="سارى"/>
    <x v="0"/>
    <d v="2024-09-04T00:00:00"/>
    <s v="مطابق"/>
    <x v="1"/>
    <x v="1"/>
    <s v="300265967600003"/>
    <x v="1"/>
    <x v="1"/>
    <d v="2022-01-09T00:00:00"/>
    <x v="0"/>
    <s v="موجود"/>
    <n v="50000"/>
    <d v="2022-05-12T00:00:00"/>
    <d v="2025-05-11T00:00:00"/>
    <n v="40000"/>
    <n v="40000"/>
    <s v="مطابق"/>
    <s v="مطابق"/>
    <s v="سارى"/>
    <s v="موجود"/>
    <d v="2028-07-22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18-12-13T00:00:00"/>
    <s v="يجب اعادة طلبه"/>
    <s v="غير موجود"/>
    <m/>
    <s v="يجب اعادة طلبه"/>
    <d v="2022-05-21T00:00:00"/>
    <m/>
    <m/>
    <s v="فردى"/>
    <m/>
  </r>
  <r>
    <s v="CS09"/>
    <x v="446"/>
    <x v="446"/>
    <s v="آجل"/>
    <s v="علي مساعد فرج علي ال شملان"/>
    <s v="مؤسسة"/>
    <x v="0"/>
    <s v="سارى"/>
    <x v="0"/>
    <d v="2023-09-06T00:00:00"/>
    <s v="مطابق"/>
    <x v="0"/>
    <x v="0"/>
    <s v="300977171300003"/>
    <x v="0"/>
    <x v="0"/>
    <m/>
    <x v="0"/>
    <s v="موجود"/>
    <n v="300000"/>
    <m/>
    <n v="0"/>
    <n v="240000"/>
    <n v="2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2-08T00:00:00"/>
    <m/>
    <m/>
    <s v="فردى"/>
    <m/>
  </r>
  <r>
    <s v="CS09"/>
    <x v="447"/>
    <x v="447"/>
    <s v="آجل"/>
    <s v="نوره مصيرى نقيان المطيرى"/>
    <s v="مؤسسة"/>
    <x v="0"/>
    <s v="سارى"/>
    <x v="0"/>
    <d v="2025-12-25T00:00:00"/>
    <s v="مطابق"/>
    <x v="1"/>
    <x v="1"/>
    <s v="301216572800003"/>
    <x v="1"/>
    <x v="1"/>
    <d v="2027-04-23T00:00:00"/>
    <x v="1"/>
    <s v="موجود"/>
    <n v="60000"/>
    <d v="2023-04-10T00:00:00"/>
    <d v="2026-04-09T00:00:00"/>
    <n v="48000"/>
    <n v="48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4-11T00:00:00"/>
    <s v="https://maps.app.goo.gl/qMRCv6uVSwYU6eka9"/>
    <m/>
    <s v="فردى"/>
    <m/>
  </r>
  <r>
    <s v="CS09"/>
    <x v="448"/>
    <x v="448"/>
    <s v="نقدى"/>
    <m/>
    <s v="ذات مسئولية محدودة"/>
    <x v="1"/>
    <s v="يجب اعادة طلبه"/>
    <x v="0"/>
    <d v="2023-10-31T00:00:00"/>
    <s v="مطابق"/>
    <x v="1"/>
    <x v="1"/>
    <s v="302006563900003"/>
    <x v="1"/>
    <x v="1"/>
    <d v="2023-08-13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3-07T00:00:00"/>
    <m/>
    <m/>
    <s v="فردى"/>
    <m/>
  </r>
  <r>
    <s v="CS09"/>
    <x v="449"/>
    <x v="449"/>
    <s v="آجل"/>
    <s v="عبدالله بن ابراهيم بن عبدالله الجربوع"/>
    <s v="مؤسسة"/>
    <x v="0"/>
    <s v="سارى"/>
    <x v="0"/>
    <d v="2020-08-29T00:00:00"/>
    <s v="مطابق"/>
    <x v="0"/>
    <x v="0"/>
    <s v="302157615700003"/>
    <x v="0"/>
    <x v="0"/>
    <m/>
    <x v="0"/>
    <s v="موجود"/>
    <n v="100000"/>
    <m/>
    <n v="0"/>
    <n v="80000"/>
    <n v="8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10-07T00:00:00"/>
    <m/>
    <m/>
    <s v="فردى"/>
    <m/>
  </r>
  <r>
    <s v="CS09"/>
    <x v="450"/>
    <x v="450"/>
    <s v="آجل"/>
    <s v="حصه عبدالعزيز محمد الفايز"/>
    <s v="مؤسسة"/>
    <x v="0"/>
    <s v="سارى"/>
    <x v="0"/>
    <d v="2023-10-25T00:00:00"/>
    <s v="مطابق"/>
    <x v="1"/>
    <x v="1"/>
    <s v="310278358800003"/>
    <x v="1"/>
    <x v="1"/>
    <d v="2023-10-24T00:00:00"/>
    <x v="1"/>
    <s v="موجود"/>
    <n v="50000"/>
    <d v="2022-06-20T00:00:00"/>
    <d v="2025-06-19T00:00:00"/>
    <n v="40000"/>
    <n v="40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6-26T00:00:00"/>
    <m/>
    <m/>
    <s v="فردى"/>
    <m/>
  </r>
  <r>
    <s v="CS09"/>
    <x v="451"/>
    <x v="451"/>
    <s v="نقدى"/>
    <m/>
    <s v="ذات مسئولية محدودة"/>
    <x v="1"/>
    <s v="يجب اعادة طلبه"/>
    <x v="0"/>
    <d v="2026-09-10T00:00:00"/>
    <s v="مطابق"/>
    <x v="1"/>
    <x v="1"/>
    <s v="3102950034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1-19T00:00:00"/>
    <m/>
    <m/>
    <s v="فردى"/>
    <m/>
  </r>
  <r>
    <s v="CS09"/>
    <x v="452"/>
    <x v="452"/>
    <s v="آجل"/>
    <m/>
    <s v=""/>
    <x v="1"/>
    <s v="يجب اعادة طلبه"/>
    <x v="1"/>
    <m/>
    <m/>
    <x v="0"/>
    <x v="0"/>
    <s v="311166433600003"/>
    <x v="0"/>
    <x v="0"/>
    <m/>
    <x v="0"/>
    <s v="غير موجود"/>
    <m/>
    <m/>
    <n v="0"/>
    <n v="0"/>
    <n v="24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19-07-28T00:00:00"/>
    <m/>
    <s v="تم تغير كيان العميل والعميل بحاجة الي ارسال كافة اوراقة"/>
    <s v="فردى"/>
    <m/>
  </r>
  <r>
    <s v="CS09"/>
    <x v="453"/>
    <x v="453"/>
    <s v="آجل"/>
    <m/>
    <s v="ذات مسئولية محدودة مختلطة"/>
    <x v="0"/>
    <s v="سارى"/>
    <x v="0"/>
    <d v="2023-02-16T00:00:00"/>
    <s v="مطابق"/>
    <x v="0"/>
    <x v="1"/>
    <s v="311242126900003"/>
    <x v="1"/>
    <x v="1"/>
    <d v="2024-01-06T00:00:00"/>
    <x v="1"/>
    <s v="موجود"/>
    <n v="37500"/>
    <m/>
    <n v="0"/>
    <n v="30000"/>
    <n v="3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9-20T00:00:00"/>
    <s v="يجب اعادة طلبه"/>
    <s v="غير موجود"/>
    <m/>
    <s v="يجب اعادة طلبه"/>
    <d v="2021-03-16T00:00:00"/>
    <m/>
    <m/>
    <s v="فرع"/>
    <m/>
  </r>
  <r>
    <s v="CS09"/>
    <x v="454"/>
    <x v="454"/>
    <s v="آجل"/>
    <m/>
    <s v="محدودة اجنبية"/>
    <x v="0"/>
    <s v="سارى"/>
    <x v="0"/>
    <d v="2023-03-26T00:00:00"/>
    <s v="مطابق"/>
    <x v="0"/>
    <x v="1"/>
    <s v="311270777100003"/>
    <x v="1"/>
    <x v="0"/>
    <m/>
    <x v="0"/>
    <s v="موجود"/>
    <n v="50000"/>
    <m/>
    <n v="0"/>
    <n v="40000"/>
    <n v="4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13T00:00:00"/>
    <m/>
    <m/>
    <s v="فردى"/>
    <m/>
  </r>
  <r>
    <s v="CS09"/>
    <x v="455"/>
    <x v="455"/>
    <s v="آجل"/>
    <m/>
    <s v="ذات مسئولية محدودة مختلطة"/>
    <x v="0"/>
    <s v="سارى"/>
    <x v="0"/>
    <d v="2024-02-22T00:00:00"/>
    <s v="مطابق"/>
    <x v="1"/>
    <x v="1"/>
    <s v="311514298300003"/>
    <x v="1"/>
    <x v="1"/>
    <d v="2023-09-10T00:00:00"/>
    <x v="0"/>
    <s v="موجود"/>
    <n v="100000"/>
    <d v="2023-04-10T00:00:00"/>
    <d v="2026-04-09T00:00:00"/>
    <n v="80000"/>
    <n v="80000"/>
    <s v="مطابق"/>
    <s v="مطابق"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0-06-01T00:00:00"/>
    <s v="https://maps.app.goo.gl/6QDV5pq6Rmp1mw7z6?g_st=iw"/>
    <m/>
    <s v="فردى"/>
    <m/>
  </r>
  <r>
    <s v="CS09"/>
    <x v="456"/>
    <x v="456"/>
    <s v="نقدى"/>
    <s v="محمد فالح  حمد السبيعي"/>
    <s v="مؤسسة"/>
    <x v="1"/>
    <s v="يجب اعادة طلبه"/>
    <x v="0"/>
    <d v="2023-08-07T00:00:00"/>
    <s v="مطابق"/>
    <x v="0"/>
    <x v="1"/>
    <s v="300171863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6-17T00:00:00"/>
    <m/>
    <m/>
    <s v="فردى"/>
    <m/>
  </r>
  <r>
    <s v="CS09"/>
    <x v="457"/>
    <x v="457"/>
    <s v="نقدى"/>
    <s v="هياء عايض عبدالله الدوسري"/>
    <s v="مؤسسة"/>
    <x v="1"/>
    <s v="يجب اعادة طلبه"/>
    <x v="0"/>
    <d v="2023-09-27T00:00:00"/>
    <s v="مطابق"/>
    <x v="1"/>
    <x v="1"/>
    <s v="3109381737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6-17T00:00:00"/>
    <m/>
    <m/>
    <s v="فرع"/>
    <m/>
  </r>
  <r>
    <s v="CS09"/>
    <x v="458"/>
    <x v="458"/>
    <s v="نقدى"/>
    <s v="اسماء عمر بن حسن الكربي العمودي"/>
    <s v="مؤسسة"/>
    <x v="1"/>
    <s v="يجب اعادة طلبه"/>
    <x v="0"/>
    <d v="2022-02-13T00:00:00"/>
    <s v="مطابق"/>
    <x v="0"/>
    <x v="1"/>
    <s v="3102378336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s v="موجود"/>
    <m/>
    <s v="يجب اعادة طلبه"/>
    <s v="غير موجود"/>
    <m/>
    <s v="يجب اعادة طلبه"/>
    <d v="2023-06-17T00:00:00"/>
    <m/>
    <m/>
    <m/>
    <m/>
  </r>
  <r>
    <s v="CS09"/>
    <x v="459"/>
    <x v="459"/>
    <s v="آجل"/>
    <m/>
    <s v="ذات مسئولية محدودة مختلطة"/>
    <x v="0"/>
    <s v="سارى"/>
    <x v="0"/>
    <d v="2024-02-22T00:00:00"/>
    <s v="مطابق"/>
    <x v="1"/>
    <x v="1"/>
    <s v="311231956500003"/>
    <x v="1"/>
    <x v="1"/>
    <d v="2023-07-25T00:00:00"/>
    <x v="0"/>
    <s v="موجود"/>
    <n v="100000"/>
    <d v="2023-07-06T00:00:00"/>
    <d v="2026-07-05T00:00:00"/>
    <n v="80000"/>
    <n v="80000"/>
    <s v="مطابق"/>
    <s v="مطابق"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3-07-06T00:00:00"/>
    <m/>
    <m/>
    <m/>
    <m/>
  </r>
  <r>
    <s v="CS09"/>
    <x v="460"/>
    <x v="460"/>
    <s v="نقدى"/>
    <m/>
    <m/>
    <x v="3"/>
    <s v="يجب اعادة طلبه"/>
    <x v="2"/>
    <m/>
    <s v=""/>
    <x v="0"/>
    <x v="2"/>
    <s v="عمرو الشحات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5-12T00:00:00"/>
    <m/>
    <m/>
    <s v="فردى"/>
    <m/>
  </r>
  <r>
    <s v="CS09"/>
    <x v="461"/>
    <x v="461"/>
    <s v="آجل"/>
    <m/>
    <s v=""/>
    <x v="1"/>
    <s v="يجب اعادة طلبه"/>
    <x v="1"/>
    <m/>
    <m/>
    <x v="0"/>
    <x v="1"/>
    <s v="311191051300003"/>
    <x v="1"/>
    <x v="0"/>
    <m/>
    <x v="0"/>
    <s v="غير موجود"/>
    <m/>
    <m/>
    <n v="0"/>
    <n v="0"/>
    <n v="80000"/>
    <s v="السند 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1-10-14T00:00:00"/>
    <m/>
    <s v="العميل له حد ائتمانى على SAP بدون سند امر او استثناء"/>
    <s v="فرع"/>
    <m/>
  </r>
  <r>
    <s v="CS09"/>
    <x v="462"/>
    <x v="462"/>
    <s v="نقدى"/>
    <m/>
    <s v=""/>
    <x v="1"/>
    <s v="يجب اعادة طلبه"/>
    <x v="1"/>
    <m/>
    <m/>
    <x v="0"/>
    <x v="1"/>
    <s v="3112641423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موجود"/>
    <d v="2022-01-02T00:00:00"/>
    <s v="يجب اعادة طلبه"/>
    <m/>
    <m/>
    <s v="يجب اعادة طلبه"/>
    <d v="2022-08-06T00:00:00"/>
    <m/>
    <m/>
    <s v="فردى"/>
    <m/>
  </r>
  <r>
    <s v="CS09"/>
    <x v="463"/>
    <x v="463"/>
    <s v="نقدى"/>
    <m/>
    <s v=""/>
    <x v="3"/>
    <s v="يجب اعادة طلبه"/>
    <x v="1"/>
    <m/>
    <m/>
    <x v="0"/>
    <x v="1"/>
    <s v="300028437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5-24T00:00:00"/>
    <m/>
    <m/>
    <s v="فردى"/>
    <m/>
  </r>
  <r>
    <s v="CS09"/>
    <x v="464"/>
    <x v="464"/>
    <s v="نقدى"/>
    <m/>
    <m/>
    <x v="3"/>
    <s v="يجب اعادة طلبه"/>
    <x v="1"/>
    <m/>
    <m/>
    <x v="0"/>
    <x v="1"/>
    <s v="3000360339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10-31T00:00:00"/>
    <m/>
    <m/>
    <s v="فردى"/>
    <m/>
  </r>
  <r>
    <s v="CS09"/>
    <x v="465"/>
    <x v="465"/>
    <s v="نقدى"/>
    <m/>
    <s v=""/>
    <x v="3"/>
    <s v="يجب اعادة طلبه"/>
    <x v="1"/>
    <m/>
    <m/>
    <x v="0"/>
    <x v="1"/>
    <s v="3005371816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03-13T00:00:00"/>
    <m/>
    <m/>
    <s v="فردى"/>
    <m/>
  </r>
  <r>
    <s v="CS09"/>
    <x v="466"/>
    <x v="466"/>
    <s v="نقدى"/>
    <s v="عمر بن سويد بن نزال الشمولاني العنزي "/>
    <s v="مؤسسة"/>
    <x v="1"/>
    <s v="يجب اعادة طلبه"/>
    <x v="0"/>
    <d v="2022-10-23T00:00:00"/>
    <s v="مطابق"/>
    <x v="0"/>
    <x v="0"/>
    <s v="3011013692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7-17T00:00:00"/>
    <m/>
    <m/>
    <s v="فردى"/>
    <m/>
  </r>
  <r>
    <s v="CS09"/>
    <x v="467"/>
    <x v="467"/>
    <s v="نقدى"/>
    <m/>
    <s v=""/>
    <x v="3"/>
    <s v="يجب اعادة طلبه"/>
    <x v="1"/>
    <m/>
    <m/>
    <x v="0"/>
    <x v="1"/>
    <s v="302107380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1-25T00:00:00"/>
    <m/>
    <m/>
    <s v="فردى"/>
    <m/>
  </r>
  <r>
    <s v="CS09"/>
    <x v="468"/>
    <x v="468"/>
    <s v="نقدى"/>
    <m/>
    <s v=""/>
    <x v="3"/>
    <s v="يجب اعادة طلبه"/>
    <x v="1"/>
    <m/>
    <m/>
    <x v="0"/>
    <x v="1"/>
    <s v="3021608021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06-01T00:00:00"/>
    <m/>
    <m/>
    <s v="فردى"/>
    <m/>
  </r>
  <r>
    <s v="CS09"/>
    <x v="469"/>
    <x v="469"/>
    <s v="نقدى"/>
    <s v="لمي رياض عبدالرحمن الطريف"/>
    <s v="مؤسسة"/>
    <x v="2"/>
    <s v="يجب اعادة طلبه"/>
    <x v="0"/>
    <d v="2023-05-24T00:00:00"/>
    <s v="مطابق"/>
    <x v="0"/>
    <x v="0"/>
    <s v="2109692492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2-06T00:00:00"/>
    <m/>
    <m/>
    <s v="فردى"/>
    <m/>
  </r>
  <r>
    <s v="CS09"/>
    <x v="470"/>
    <x v="470"/>
    <s v="نقدى"/>
    <m/>
    <m/>
    <x v="1"/>
    <s v="يجب اعادة طلبه"/>
    <x v="1"/>
    <m/>
    <m/>
    <x v="0"/>
    <x v="1"/>
    <s v="311304180500003"/>
    <x v="1"/>
    <x v="0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10-10T00:00:00"/>
    <m/>
    <m/>
    <s v="فردى"/>
    <m/>
  </r>
  <r>
    <s v="CS09"/>
    <x v="471"/>
    <x v="471"/>
    <s v="نقدى"/>
    <m/>
    <s v=""/>
    <x v="3"/>
    <s v="يجب اعادة طلبه"/>
    <x v="1"/>
    <m/>
    <m/>
    <x v="0"/>
    <x v="0"/>
    <s v="تم فتح حساب جديد بكود L0005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5-25T00:00:00"/>
    <m/>
    <m/>
    <s v="فردى"/>
    <m/>
  </r>
  <r>
    <s v="CS12"/>
    <x v="472"/>
    <x v="472"/>
    <s v="نقدى"/>
    <m/>
    <m/>
    <x v="3"/>
    <s v="يجب اعادة طلبه"/>
    <x v="2"/>
    <m/>
    <s v=""/>
    <x v="0"/>
    <x v="2"/>
    <s v="محمد رمضان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19-08-03T00:00:00"/>
    <m/>
    <m/>
    <s v="فردى"/>
    <m/>
  </r>
  <r>
    <s v="CS12"/>
    <x v="473"/>
    <x v="473"/>
    <s v="آجل"/>
    <s v="احمد محمد احمد فلقي"/>
    <s v="مؤسسة"/>
    <x v="0"/>
    <s v="سارى"/>
    <x v="0"/>
    <d v="2022-12-09T00:00:00"/>
    <s v="مطابق"/>
    <x v="0"/>
    <x v="1"/>
    <s v="310839694600003"/>
    <x v="1"/>
    <x v="0"/>
    <m/>
    <x v="0"/>
    <s v="موجود"/>
    <n v="50000"/>
    <m/>
    <n v="0"/>
    <n v="40000"/>
    <n v="40000"/>
    <s v="مطابق"/>
    <s v="مطابق"/>
    <s v="يجب اعادة طلبه"/>
    <s v="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9-12T00:00:00"/>
    <m/>
    <m/>
    <s v="فردى"/>
    <m/>
  </r>
  <r>
    <s v="CS12"/>
    <x v="474"/>
    <x v="474"/>
    <s v="نقدى"/>
    <s v="ابراهيم سعيد عبدالله المدعث"/>
    <s v="مؤسسة"/>
    <x v="0"/>
    <s v="سارى"/>
    <x v="0"/>
    <d v="2026-04-23T00:00:00"/>
    <s v="مطابق"/>
    <x v="1"/>
    <x v="1"/>
    <s v="310084946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09-14T00:00:00"/>
    <m/>
    <m/>
    <s v="فردى"/>
    <m/>
  </r>
  <r>
    <s v="CS12"/>
    <x v="475"/>
    <x v="475"/>
    <s v="آجل"/>
    <s v="عبداله سالم علي باعبيد"/>
    <s v="مؤسسة"/>
    <x v="0"/>
    <s v="سارى"/>
    <x v="0"/>
    <d v="2025-11-25T00:00:00"/>
    <s v="مطابق"/>
    <x v="1"/>
    <x v="1"/>
    <s v="300768392200003"/>
    <x v="1"/>
    <x v="1"/>
    <d v="2024-02-17T00:00:00"/>
    <x v="1"/>
    <s v="موجود"/>
    <n v="100000"/>
    <m/>
    <n v="0"/>
    <n v="80000"/>
    <n v="80000"/>
    <s v="مطابق"/>
    <s v="مطابق"/>
    <s v="يجب اعادة طلبه"/>
    <s v="موجود"/>
    <m/>
    <s v="يجب اعادة طلبه"/>
    <s v="موجود"/>
    <m/>
    <s v="يجب اعادة طلبه"/>
    <s v="غير موجود"/>
    <m/>
    <s v="يجب اعادة طلبه"/>
    <m/>
    <m/>
    <s v="يجب اعادة طلبه"/>
    <s v="موجود"/>
    <m/>
    <s v="يجب اعادة طلبه"/>
    <s v="غير موجود"/>
    <m/>
    <s v="يجب اعادة طلبه"/>
    <d v="2022-10-10T00:00:00"/>
    <m/>
    <m/>
    <s v="فردى"/>
    <m/>
  </r>
  <r>
    <s v="CS12"/>
    <x v="476"/>
    <x v="476"/>
    <s v="آجل"/>
    <s v="محمد ناصر احمد السيد"/>
    <s v="مؤسسة"/>
    <x v="0"/>
    <s v="سارى"/>
    <x v="0"/>
    <d v="2023-08-28T00:00:00"/>
    <s v="مطابق"/>
    <x v="0"/>
    <x v="1"/>
    <s v="302178551700003"/>
    <x v="1"/>
    <x v="1"/>
    <d v="2024-10-01T00:00:00"/>
    <x v="1"/>
    <s v="موجود"/>
    <n v="25000"/>
    <m/>
    <n v="0"/>
    <n v="20000"/>
    <n v="2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0-10T00:00:00"/>
    <m/>
    <m/>
    <s v="فرع"/>
    <n v="100000"/>
  </r>
  <r>
    <s v="CS12"/>
    <x v="477"/>
    <x v="477"/>
    <s v="آجل"/>
    <s v="شعلان محمد شعلان القرني"/>
    <s v="مؤسسة"/>
    <x v="2"/>
    <s v="يجب اعادة طلبه"/>
    <x v="0"/>
    <d v="2022-01-10T00:00:00"/>
    <s v="مطابق"/>
    <x v="0"/>
    <x v="1"/>
    <s v="301111682900003"/>
    <x v="1"/>
    <x v="1"/>
    <d v="2025-08-30T00:00:00"/>
    <x v="1"/>
    <s v="موجود"/>
    <n v="30000"/>
    <m/>
    <n v="0"/>
    <n v="24000"/>
    <n v="2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10-11T00:00:00"/>
    <m/>
    <m/>
    <s v="فردى"/>
    <m/>
  </r>
  <r>
    <s v="CS12"/>
    <x v="478"/>
    <x v="478"/>
    <s v="آجل"/>
    <s v="علي مهدي مبار ك الذبيان"/>
    <s v="مؤسسة"/>
    <x v="0"/>
    <s v="سارى"/>
    <x v="0"/>
    <d v="2024-12-13T00:00:00"/>
    <s v="مطابق"/>
    <x v="1"/>
    <x v="1"/>
    <s v="300907585900003"/>
    <x v="1"/>
    <x v="1"/>
    <d v="2021-12-11T00:00:00"/>
    <x v="0"/>
    <s v="موجود"/>
    <n v="200000"/>
    <m/>
    <n v="0"/>
    <n v="160000"/>
    <n v="160000"/>
    <s v="مطابق"/>
    <s v="مطابق"/>
    <s v="يجب اعادة طلبه"/>
    <s v="موجود"/>
    <m/>
    <s v="يجب اعادة طلبه"/>
    <s v="موجود"/>
    <m/>
    <s v="يجب اعادة طلبه"/>
    <s v="موجود"/>
    <m/>
    <s v="يجب اعادة طلبه"/>
    <m/>
    <m/>
    <s v="يجب اعادة طلبه"/>
    <s v="موجود"/>
    <m/>
    <s v="يجب اعادة طلبه"/>
    <s v="غير موجود"/>
    <m/>
    <s v="يجب اعادة طلبه"/>
    <d v="2022-10-18T00:00:00"/>
    <m/>
    <m/>
    <s v="فردى"/>
    <m/>
  </r>
  <r>
    <s v="CS12"/>
    <x v="479"/>
    <x v="479"/>
    <s v="نقدى"/>
    <m/>
    <s v="ذات مسئولية محدودة مختلطة"/>
    <x v="1"/>
    <s v="يجب اعادة طلبه"/>
    <x v="0"/>
    <d v="2024-03-13T00:00:00"/>
    <s v="مطابق"/>
    <x v="1"/>
    <x v="1"/>
    <s v="311251108700003"/>
    <x v="1"/>
    <x v="1"/>
    <d v="2027-03-02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10-26T00:00:00"/>
    <m/>
    <m/>
    <s v="فردى"/>
    <m/>
  </r>
  <r>
    <s v="CS12"/>
    <x v="480"/>
    <x v="480"/>
    <s v="نقدى"/>
    <m/>
    <s v=""/>
    <x v="1"/>
    <s v="يجب اعادة طلبه"/>
    <x v="1"/>
    <m/>
    <m/>
    <x v="0"/>
    <x v="1"/>
    <s v="311291814500003"/>
    <x v="1"/>
    <x v="1"/>
    <d v="2024-05-18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11-05T00:00:00"/>
    <m/>
    <m/>
    <s v="فردى"/>
    <m/>
  </r>
  <r>
    <s v="CS12"/>
    <x v="481"/>
    <x v="481"/>
    <s v="آجل"/>
    <s v="انوار محمد بن علي ال عطشان"/>
    <s v="مؤسسة"/>
    <x v="0"/>
    <s v="سارى"/>
    <x v="0"/>
    <d v="2024-12-03T00:00:00"/>
    <s v="مطابق"/>
    <x v="1"/>
    <x v="1"/>
    <s v="302192979800003"/>
    <x v="1"/>
    <x v="1"/>
    <d v="2024-05-14T00:00:00"/>
    <x v="1"/>
    <s v="موجود"/>
    <n v="40000"/>
    <m/>
    <n v="0"/>
    <n v="32000"/>
    <n v="32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11-17T00:00:00"/>
    <m/>
    <m/>
    <s v="فردى"/>
    <m/>
  </r>
  <r>
    <s v="CS12"/>
    <x v="482"/>
    <x v="482"/>
    <s v="نقدى"/>
    <m/>
    <s v="محدودة اجنبية"/>
    <x v="1"/>
    <s v="يجب اعادة طلبه"/>
    <x v="0"/>
    <d v="2023-04-09T00:00:00"/>
    <s v="مطابق"/>
    <x v="0"/>
    <x v="1"/>
    <s v="311291571400003"/>
    <x v="1"/>
    <x v="1"/>
    <d v="2024-02-20T00:00:00"/>
    <x v="1"/>
    <s v="نقدى"/>
    <m/>
    <m/>
    <n v="0"/>
    <n v="0"/>
    <n v="0"/>
    <s v="مطابق"/>
    <m/>
    <s v="سارى"/>
    <s v="موجود"/>
    <m/>
    <s v="يجب اعادة طلبه"/>
    <s v="موجود"/>
    <d v="1942-04-09T00:00:00"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12-03T00:00:00"/>
    <m/>
    <m/>
    <s v="فردى"/>
    <m/>
  </r>
  <r>
    <s v="CS12"/>
    <x v="483"/>
    <x v="483"/>
    <s v="نقدى"/>
    <m/>
    <s v="ذات مسئولية محدودة"/>
    <x v="1"/>
    <s v="يجب اعادة طلبه"/>
    <x v="0"/>
    <d v="2022-12-17T00:00:00"/>
    <s v="مطابق"/>
    <x v="0"/>
    <x v="1"/>
    <s v="310165666400003"/>
    <x v="1"/>
    <x v="1"/>
    <d v="2023-08-06T00:00:00"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12-14T00:00:00"/>
    <m/>
    <m/>
    <s v="فردى"/>
    <m/>
  </r>
  <r>
    <s v="CS12"/>
    <x v="484"/>
    <x v="484"/>
    <s v="آجل"/>
    <m/>
    <s v="محدودة اجنبية"/>
    <x v="0"/>
    <s v="سارى"/>
    <x v="0"/>
    <d v="2023-03-17T00:00:00"/>
    <s v="مطابق"/>
    <x v="0"/>
    <x v="1"/>
    <s v="311242601800003"/>
    <x v="1"/>
    <x v="1"/>
    <d v="2023-01-15T00:00:00"/>
    <x v="0"/>
    <s v="موجود"/>
    <n v="50000"/>
    <d v="2023-01-03T00:00:00"/>
    <d v="2026-01-02T00:00:00"/>
    <n v="40000"/>
    <n v="40000"/>
    <s v="مطابق"/>
    <s v="مطابق"/>
    <s v="سارى"/>
    <s v="موجود"/>
    <m/>
    <s v="يجب اعادة طلبه"/>
    <s v="موجود"/>
    <m/>
    <s v="يجب اعادة طلبه"/>
    <s v="غير موجود"/>
    <m/>
    <s v="يجب اعادة طلبه"/>
    <m/>
    <m/>
    <s v="يجب اعادة طلبه"/>
    <s v="موجود"/>
    <d v="2022-10-28T00:00:00"/>
    <s v="يجب اعادة طلبه"/>
    <s v="غير موجود"/>
    <m/>
    <s v="يجب اعادة طلبه"/>
    <d v="2023-01-08T00:00:00"/>
    <m/>
    <m/>
    <s v="فردى"/>
    <m/>
  </r>
  <r>
    <s v="CS12"/>
    <x v="485"/>
    <x v="485"/>
    <s v="آجل"/>
    <s v="حمود محمد احمد عواجي"/>
    <s v="مؤسسة"/>
    <x v="0"/>
    <s v="سارى"/>
    <x v="0"/>
    <d v="2023-10-16T00:00:00"/>
    <s v="مطابق"/>
    <x v="1"/>
    <x v="1"/>
    <s v="300847537400003"/>
    <x v="1"/>
    <x v="1"/>
    <d v="2023-05-29T00:00:00"/>
    <x v="0"/>
    <s v="موجود"/>
    <n v="50000"/>
    <d v="2023-01-04T00:00:00"/>
    <d v="2026-01-03T00:00:00"/>
    <n v="40000"/>
    <n v="40000"/>
    <s v="مطابق"/>
    <s v="مطابق"/>
    <s v="سارى"/>
    <s v="موجود"/>
    <m/>
    <s v="يجب اعادة طلبه"/>
    <s v="موجود"/>
    <d v="2028-07-26T00:00:00"/>
    <s v="سارى"/>
    <s v="غير موجود"/>
    <m/>
    <s v="يجب اعادة طلبه"/>
    <m/>
    <m/>
    <s v="يجب اعادة طلبه"/>
    <s v="موجود"/>
    <m/>
    <s v="يجب اعادة طلبه"/>
    <s v="غير موجود"/>
    <m/>
    <s v="يجب اعادة طلبه"/>
    <d v="2023-01-11T00:00:00"/>
    <m/>
    <m/>
    <s v="فردى"/>
    <m/>
  </r>
  <r>
    <s v="CS12"/>
    <x v="486"/>
    <x v="486"/>
    <s v="آجل"/>
    <m/>
    <s v="محدودة اجنبية"/>
    <x v="0"/>
    <s v="سارى"/>
    <x v="0"/>
    <d v="2023-04-30T00:00:00"/>
    <s v="مطابق"/>
    <x v="0"/>
    <x v="1"/>
    <s v="311288866100003"/>
    <x v="1"/>
    <x v="1"/>
    <d v="2022-06-13T00:00:00"/>
    <x v="0"/>
    <s v="موجود"/>
    <n v="50000"/>
    <d v="2023-01-05T00:00:00"/>
    <d v="2026-01-04T00:00:00"/>
    <n v="40000"/>
    <n v="40000"/>
    <s v="مطابق"/>
    <s v="مطابق"/>
    <s v="سارى"/>
    <s v="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2-12-11T00:00:00"/>
    <s v="يجب اعادة طلبه"/>
    <s v="غير موجود"/>
    <m/>
    <s v="يجب اعادة طلبه"/>
    <d v="2023-01-12T00:00:00"/>
    <m/>
    <m/>
    <s v="فردى"/>
    <m/>
  </r>
  <r>
    <s v="CS12"/>
    <x v="487"/>
    <x v="487"/>
    <s v="نقدى"/>
    <s v="عبد الله سعيد مبارك زعمور"/>
    <s v="مؤسسة"/>
    <x v="1"/>
    <s v="يجب اعادة طلبه"/>
    <x v="0"/>
    <d v="2023-10-19T00:00:00"/>
    <s v="مطابق"/>
    <x v="1"/>
    <x v="1"/>
    <s v="3107821043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2-04T00:00:00"/>
    <m/>
    <m/>
    <s v="فردى"/>
    <m/>
  </r>
  <r>
    <s v="CS12"/>
    <x v="488"/>
    <x v="488"/>
    <s v="آجل"/>
    <s v="على محمد على العمرى"/>
    <s v="مؤسسة"/>
    <x v="0"/>
    <s v="سارى"/>
    <x v="0"/>
    <d v="2024-05-26T00:00:00"/>
    <s v="مطابق"/>
    <x v="1"/>
    <x v="1"/>
    <s v="310965030300003"/>
    <x v="1"/>
    <x v="1"/>
    <d v="2023-09-10T00:00:00"/>
    <x v="0"/>
    <s v="موجود"/>
    <n v="50000"/>
    <d v="2023-02-15T00:00:00"/>
    <d v="2026-02-14T00:00:00"/>
    <n v="40000"/>
    <n v="40000"/>
    <s v="مطابق"/>
    <s v="مطابق"/>
    <s v="سارى"/>
    <s v="موجود"/>
    <d v="2035-12-22T00:00:00"/>
    <s v="سارى"/>
    <s v="موجود"/>
    <d v="2027-09-17T00:00:00"/>
    <s v="سارى"/>
    <s v="موجود"/>
    <m/>
    <s v="يجب اعادة طلبه"/>
    <s v="موجود"/>
    <d v="2027-09-17T00:00:00"/>
    <s v="سارى"/>
    <s v="موجود"/>
    <d v="2022-10-22T00:00:00"/>
    <s v="يجب اعادة طلبه"/>
    <s v="غير موجود"/>
    <m/>
    <s v="يجب اعادة طلبه"/>
    <d v="2023-03-05T00:00:00"/>
    <m/>
    <m/>
    <s v="فردى"/>
    <m/>
  </r>
  <r>
    <s v="CS12"/>
    <x v="489"/>
    <x v="489"/>
    <s v="آجل"/>
    <m/>
    <s v="ذات مسئوليه مختلطه محدوده "/>
    <x v="0"/>
    <s v="سارى"/>
    <x v="0"/>
    <d v="2023-10-20T00:00:00"/>
    <s v="مطابق"/>
    <x v="1"/>
    <x v="1"/>
    <s v="311157027100003"/>
    <x v="1"/>
    <x v="1"/>
    <d v="2025-01-31T00:00:00"/>
    <x v="1"/>
    <s v="موجود"/>
    <n v="50000"/>
    <d v="2023-01-29T00:00:00"/>
    <d v="2026-01-28T00:00:00"/>
    <n v="40000"/>
    <n v="40000"/>
    <s v="مطابق"/>
    <s v="مطابق"/>
    <s v="سارى"/>
    <s v="غير موجود"/>
    <m/>
    <s v="يجب اعادة طلبه"/>
    <s v="موجود"/>
    <m/>
    <s v="يجب اعادة طلبه"/>
    <s v="غير موجود"/>
    <m/>
    <s v="يجب اعادة طلبه"/>
    <m/>
    <m/>
    <s v="يجب اعادة طلبه"/>
    <s v="موجود"/>
    <d v="2022-11-14T00:00:00"/>
    <s v="يجب اعادة طلبه"/>
    <s v="غير موجود"/>
    <m/>
    <s v="يجب اعادة طلبه"/>
    <d v="2023-04-11T00:00:00"/>
    <s v="https://maps.app.goo.gl/KVVYpq1CDwBtqbJo9"/>
    <m/>
    <s v="فردى"/>
    <m/>
  </r>
  <r>
    <s v="CS12"/>
    <x v="490"/>
    <x v="490"/>
    <s v="نقدى"/>
    <m/>
    <s v=""/>
    <x v="1"/>
    <s v="يجب اعادة طلبه"/>
    <x v="1"/>
    <m/>
    <m/>
    <x v="0"/>
    <x v="1"/>
    <s v="310099902900003"/>
    <x v="1"/>
    <x v="1"/>
    <d v="2023-02-14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4-16T00:00:00"/>
    <m/>
    <m/>
    <s v="فردى"/>
    <m/>
  </r>
  <r>
    <s v="CS12"/>
    <x v="491"/>
    <x v="491"/>
    <s v="نقدى"/>
    <s v="محمد سالم بن سعد المهري "/>
    <s v="مؤسسة"/>
    <x v="1"/>
    <s v="يجب اعادة طلبه"/>
    <x v="0"/>
    <d v="2026-01-25T00:00:00"/>
    <s v="مطابق"/>
    <x v="1"/>
    <x v="1"/>
    <s v="3103897044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5-01T00:00:00"/>
    <m/>
    <m/>
    <s v="فردى"/>
    <m/>
  </r>
  <r>
    <s v="CS12"/>
    <x v="492"/>
    <x v="492"/>
    <s v="نقدى"/>
    <s v="علي سعد محمد المهري"/>
    <s v="مؤسسة"/>
    <x v="1"/>
    <s v="يجب اعادة طلبه"/>
    <x v="0"/>
    <d v="2024-04-25T00:00:00"/>
    <s v="مطابق"/>
    <x v="1"/>
    <x v="1"/>
    <s v="310381554200003"/>
    <x v="1"/>
    <x v="1"/>
    <d v="2024-09-13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4-29T00:00:00"/>
    <m/>
    <m/>
    <s v="فردى"/>
    <m/>
  </r>
  <r>
    <s v="CS12"/>
    <x v="493"/>
    <x v="493"/>
    <s v="نقدى"/>
    <s v="فايز عويظان عبدون المنهالى"/>
    <s v="مؤسسة"/>
    <x v="1"/>
    <s v="يجب اعادة طلبه"/>
    <x v="0"/>
    <d v="2024-02-25T00:00:00"/>
    <s v="مطابق"/>
    <x v="1"/>
    <x v="1"/>
    <s v="310902101800003"/>
    <x v="1"/>
    <x v="1"/>
    <d v="2026-02-03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m/>
    <s v="يجب اعادة طلبه"/>
    <m/>
    <m/>
    <s v="يجب اعادة طلبه"/>
    <d v="2023-05-13T00:00:00"/>
    <m/>
    <m/>
    <s v="فردى"/>
    <m/>
  </r>
  <r>
    <s v="CS12"/>
    <x v="494"/>
    <x v="494"/>
    <s v="نقدى"/>
    <m/>
    <s v="محدودة اجنبية"/>
    <x v="1"/>
    <s v="يجب اعادة طلبه"/>
    <x v="0"/>
    <d v="2024-04-20T00:00:00"/>
    <s v="مطابق"/>
    <x v="1"/>
    <x v="1"/>
    <s v="311299571600003"/>
    <x v="1"/>
    <x v="1"/>
    <d v="2023-11-14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5-27T00:00:00"/>
    <m/>
    <m/>
    <s v="فردى"/>
    <m/>
  </r>
  <r>
    <s v="CS12"/>
    <x v="495"/>
    <x v="495"/>
    <s v="آجل"/>
    <m/>
    <s v="ذات مسئولية محدودة"/>
    <x v="1"/>
    <s v="يجب اعادة طلبه"/>
    <x v="0"/>
    <d v="2023-11-18T00:00:00"/>
    <s v="مطابق"/>
    <x v="1"/>
    <x v="1"/>
    <s v="300024635700003"/>
    <x v="1"/>
    <x v="0"/>
    <m/>
    <x v="0"/>
    <s v="موجود"/>
    <n v="62500"/>
    <d v="2019-08-01T00:00:00"/>
    <d v="2022-07-31T00:00:00"/>
    <n v="50000"/>
    <n v="5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6-01T00:00:00"/>
    <m/>
    <m/>
    <s v="فرع"/>
    <n v="240000"/>
  </r>
  <r>
    <s v="CS12"/>
    <x v="496"/>
    <x v="496"/>
    <s v="نقدى"/>
    <m/>
    <s v="ذات مسئولية محدودة مختلطة"/>
    <x v="1"/>
    <s v="يجب اعادة طلبه"/>
    <x v="0"/>
    <d v="2025-09-08T00:00:00"/>
    <s v="مطابق"/>
    <x v="1"/>
    <x v="1"/>
    <s v="3108112845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6-05T00:00:00"/>
    <m/>
    <m/>
    <s v="فردى"/>
    <m/>
  </r>
  <r>
    <s v="CS12"/>
    <x v="497"/>
    <x v="497"/>
    <s v="نقدى"/>
    <s v="محمد بن يحي بن محمد عمري"/>
    <s v="مؤسسة"/>
    <x v="1"/>
    <s v="يجب اعادة طلبه"/>
    <x v="0"/>
    <d v="2023-06-02T00:00:00"/>
    <s v="مطابق"/>
    <x v="0"/>
    <x v="1"/>
    <s v="300736121800003"/>
    <x v="1"/>
    <x v="1"/>
    <d v="2024-10-08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6-06T00:00:00"/>
    <m/>
    <m/>
    <s v="فردى"/>
    <m/>
  </r>
  <r>
    <s v="CS12"/>
    <x v="498"/>
    <x v="498"/>
    <s v="نقدى"/>
    <s v="دانيه علي احمد بجلي"/>
    <s v="مؤسسة"/>
    <x v="1"/>
    <s v="يجب اعادة طلبه"/>
    <x v="0"/>
    <d v="2023-02-16T00:00:00"/>
    <s v="مطابق"/>
    <x v="0"/>
    <x v="1"/>
    <s v="3103368773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6-11T00:00:00"/>
    <m/>
    <m/>
    <s v="فردى"/>
    <m/>
  </r>
  <r>
    <s v="CS12"/>
    <x v="499"/>
    <x v="499"/>
    <s v="آجل"/>
    <s v=" عبدالعزيز يوسف بن عبده حزام للتجارة"/>
    <s v="مؤسسة"/>
    <x v="0"/>
    <s v="سارى"/>
    <x v="0"/>
    <d v="2023-10-15T00:00:00"/>
    <s v="مطابق"/>
    <x v="1"/>
    <x v="1"/>
    <s v="310273645200003"/>
    <x v="1"/>
    <x v="1"/>
    <d v="2024-04-28T00:00:00"/>
    <x v="1"/>
    <s v="موجود"/>
    <n v="100000"/>
    <d v="2023-04-10T00:00:00"/>
    <d v="2026-04-09T00:00:00"/>
    <n v="80000"/>
    <n v="80000"/>
    <s v="مطابق"/>
    <s v="مطابق"/>
    <s v="سارى"/>
    <s v="موجود"/>
    <d v="2023-06-25T00:00:00"/>
    <s v="يجب اعادة طلبه"/>
    <s v="موجود"/>
    <d v="2023-06-25T00:00:00"/>
    <s v="يجب اعادة طلبه"/>
    <s v="موجود"/>
    <m/>
    <s v="يجب اعادة طلبه"/>
    <s v="موجود"/>
    <m/>
    <s v="يجب اعادة طلبه"/>
    <s v="موجود"/>
    <d v="2023-07-13T00:00:00"/>
    <s v="يجب اعادة طلبه"/>
    <s v="غير موجود"/>
    <m/>
    <s v="يجب اعادة طلبه"/>
    <d v="2023-06-25T00:00:00"/>
    <s v="https://www.google.com/maps/place//@29.9568488,30.9302491,15z/data=!3m1!4b1?entry=ttu"/>
    <m/>
    <s v="فردى"/>
    <m/>
  </r>
  <r>
    <s v="CS12"/>
    <x v="500"/>
    <x v="500"/>
    <s v="نقدى"/>
    <s v="نايف علي محمد الشهرانى"/>
    <s v="مؤسسة"/>
    <x v="1"/>
    <s v="يجب اعادة طلبه"/>
    <x v="0"/>
    <d v="2023-05-25T00:00:00"/>
    <s v="مطابق"/>
    <x v="0"/>
    <x v="1"/>
    <s v="311311123500003"/>
    <x v="1"/>
    <x v="0"/>
    <m/>
    <x v="0"/>
    <s v="نقدى"/>
    <m/>
    <m/>
    <n v="0"/>
    <n v="0"/>
    <n v="0"/>
    <s v="مطابق"/>
    <m/>
    <s v="سارى"/>
    <s v="موجود"/>
    <d v="2023-01-10T00:00:00"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3-01-27T00:00:00"/>
    <s v="يجب اعادة طلبه"/>
    <s v="غير موجود"/>
    <m/>
    <s v="يجب اعادة طلبه"/>
    <d v="2023-03-26T00:00:00"/>
    <s v="https://maps.app.goo.gl/EQ4rhjcUsK6aS41Y9"/>
    <m/>
    <s v="فردى"/>
    <m/>
  </r>
  <r>
    <s v="CS13"/>
    <x v="501"/>
    <x v="501"/>
    <s v="نقدى"/>
    <m/>
    <m/>
    <x v="3"/>
    <s v="يجب اعادة طلبه"/>
    <x v="2"/>
    <m/>
    <s v=""/>
    <x v="0"/>
    <x v="2"/>
    <s v="بشار ديب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2-12-14T00:00:00"/>
    <m/>
    <m/>
    <s v="فردى"/>
    <m/>
  </r>
  <r>
    <s v="CS14"/>
    <x v="502"/>
    <x v="502"/>
    <s v="نقدى"/>
    <m/>
    <m/>
    <x v="3"/>
    <s v="يجب اعادة طلبه"/>
    <x v="2"/>
    <m/>
    <s v=""/>
    <x v="0"/>
    <x v="2"/>
    <s v="عمر الديب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3-03-26T00:00:00"/>
    <m/>
    <m/>
    <s v="فردى"/>
    <m/>
  </r>
  <r>
    <s v="LB07"/>
    <x v="503"/>
    <x v="503"/>
    <s v="نقدى"/>
    <m/>
    <s v=""/>
    <x v="3"/>
    <s v="يجب اعادة طلبه"/>
    <x v="1"/>
    <m/>
    <m/>
    <x v="0"/>
    <x v="1"/>
    <s v="3010273953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8-11T00:00:00"/>
    <m/>
    <m/>
    <s v="فردى"/>
    <m/>
  </r>
  <r>
    <s v="LB07"/>
    <x v="504"/>
    <x v="504"/>
    <s v="نقدى"/>
    <m/>
    <s v=""/>
    <x v="3"/>
    <s v="يجب اعادة طلبه"/>
    <x v="1"/>
    <m/>
    <m/>
    <x v="0"/>
    <x v="1"/>
    <s v="302186019700003"/>
    <x v="1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1-02-02T00:00:00"/>
    <m/>
    <m/>
    <s v="فردى"/>
    <m/>
  </r>
  <r>
    <s v="LB07"/>
    <x v="505"/>
    <x v="505"/>
    <s v="نقدى"/>
    <s v="عادل محمد مصطفي قطومة"/>
    <s v="مؤسسة"/>
    <x v="1"/>
    <s v="يجب اعادة طلبه"/>
    <x v="0"/>
    <d v="2022-03-20T00:00:00"/>
    <s v="مطابق"/>
    <x v="0"/>
    <x v="1"/>
    <s v="3008310587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4-25T00:00:00"/>
    <m/>
    <m/>
    <s v="فردى"/>
    <m/>
  </r>
  <r>
    <s v="LB07"/>
    <x v="506"/>
    <x v="506"/>
    <s v="نقدى"/>
    <m/>
    <s v=""/>
    <x v="1"/>
    <s v="يجب اعادة طلبه"/>
    <x v="1"/>
    <m/>
    <m/>
    <x v="0"/>
    <x v="1"/>
    <s v="3103512381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2-04-02T00:00:00"/>
    <m/>
    <m/>
    <s v="فردى"/>
    <m/>
  </r>
  <r>
    <s v="LB07"/>
    <x v="507"/>
    <x v="507"/>
    <s v="آجل"/>
    <s v="احمد مرضي صويلح الخزمري الزهراني"/>
    <s v="مؤسسة"/>
    <x v="2"/>
    <s v="يجب اعادة طلبه"/>
    <x v="0"/>
    <d v="2022-11-27T00:00:00"/>
    <s v="مطابق"/>
    <x v="0"/>
    <x v="1"/>
    <s v="300688392300003"/>
    <x v="1"/>
    <x v="0"/>
    <m/>
    <x v="0"/>
    <s v="موجود"/>
    <n v="30000"/>
    <m/>
    <n v="0"/>
    <n v="24000"/>
    <n v="2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28T00:00:00"/>
    <m/>
    <m/>
    <s v="فردى"/>
    <m/>
  </r>
  <r>
    <s v="LB07"/>
    <x v="508"/>
    <x v="508"/>
    <s v="آجل"/>
    <s v="عمر محمد سليمان المحمادي"/>
    <s v="مؤسسة"/>
    <x v="2"/>
    <s v="يجب اعادة طلبه"/>
    <x v="0"/>
    <d v="2023-09-28T00:00:00"/>
    <s v="مطابق"/>
    <x v="1"/>
    <x v="0"/>
    <s v=""/>
    <x v="0"/>
    <x v="0"/>
    <m/>
    <x v="0"/>
    <s v="موجود"/>
    <n v="20000"/>
    <d v="2021-01-20T00:00:00"/>
    <d v="2024-01-20T00:00:00"/>
    <n v="16000"/>
    <n v="16000"/>
    <s v="مطابق"/>
    <s v="مطابق"/>
    <s v="سارى"/>
    <s v="موجود"/>
    <n v="46154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28T00:00:00"/>
    <m/>
    <s v=" العميل ليس له رقم ضريبى على ساب ولا بطاقة ضريبية ضمن اوراق فتح الحساب + رقم السجل التجارى باسند الامر غير مطابق رقم السجل التجارى المرسل"/>
    <s v="فردى"/>
    <m/>
  </r>
  <r>
    <s v="LB07"/>
    <x v="509"/>
    <x v="509"/>
    <s v="نقدى"/>
    <s v="حمادى معلا مبيريك المحمادى"/>
    <s v="مؤسسة"/>
    <x v="1"/>
    <s v="يجب اعادة طلبه"/>
    <x v="0"/>
    <d v="2023-01-12T00:00:00"/>
    <s v="غير مطابق"/>
    <x v="0"/>
    <x v="1"/>
    <s v="300087762700003"/>
    <x v="1"/>
    <x v="0"/>
    <m/>
    <x v="0"/>
    <s v="نقدى"/>
    <m/>
    <m/>
    <n v="0"/>
    <n v="0"/>
    <n v="0"/>
    <s v="مطابق"/>
    <m/>
    <s v="سارى"/>
    <m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1-12T00:00:00"/>
    <m/>
    <m/>
    <s v="فردى"/>
    <m/>
  </r>
  <r>
    <s v="LB07"/>
    <x v="510"/>
    <x v="510"/>
    <s v="نقدى"/>
    <s v="خديجة بنت عبدالصمد على خان خوجه"/>
    <s v="مؤسسة"/>
    <x v="1"/>
    <s v="يجب اعادة طلبه"/>
    <x v="0"/>
    <d v="2023-07-17T00:00:00"/>
    <s v="مطابق"/>
    <x v="0"/>
    <x v="1"/>
    <s v="3000885958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7-21T00:00:00"/>
    <m/>
    <m/>
    <s v="فردى"/>
    <m/>
  </r>
  <r>
    <s v="LB07"/>
    <x v="511"/>
    <x v="511"/>
    <s v="آجل"/>
    <s v="عادل احمد على الخياصى الغامدى"/>
    <s v="مؤسسة"/>
    <x v="2"/>
    <s v="يجب اعادة طلبه"/>
    <x v="0"/>
    <d v="2024-09-20T00:00:00"/>
    <s v="مطابق"/>
    <x v="1"/>
    <x v="0"/>
    <s v="300088612200003"/>
    <x v="0"/>
    <x v="0"/>
    <m/>
    <x v="0"/>
    <s v="موجود"/>
    <n v="10000"/>
    <d v="2021-08-15T00:00:00"/>
    <d v="2024-08-14T00:00:00"/>
    <n v="8000"/>
    <n v="8000"/>
    <s v="مطابق"/>
    <s v="مطابق"/>
    <s v="سارى"/>
    <s v="موجود"/>
    <d v="2028-05-31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7-03T00:00:00"/>
    <m/>
    <m/>
    <s v="فردى"/>
    <m/>
  </r>
  <r>
    <s v="LB07"/>
    <x v="512"/>
    <x v="512"/>
    <s v="نقدى"/>
    <s v="نبيهه احمد محمد ابوزيد"/>
    <s v="مؤسسة"/>
    <x v="1"/>
    <s v="يجب اعادة طلبه"/>
    <x v="0"/>
    <d v="2023-07-23T00:00:00"/>
    <s v="مطابق"/>
    <x v="0"/>
    <x v="1"/>
    <s v="300088676100003"/>
    <x v="1"/>
    <x v="0"/>
    <m/>
    <x v="0"/>
    <s v="نقدى"/>
    <m/>
    <m/>
    <n v="0"/>
    <n v="0"/>
    <n v="0"/>
    <s v="مطابق"/>
    <m/>
    <s v="سارى"/>
    <m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2-16T00:00:00"/>
    <m/>
    <m/>
    <s v="فردى"/>
    <m/>
  </r>
  <r>
    <s v="LB07"/>
    <x v="513"/>
    <x v="513"/>
    <s v="نقدى"/>
    <s v="هياء محمد سالم البيشي"/>
    <s v="مؤسسة"/>
    <x v="1"/>
    <s v="يجب اعادة طلبه"/>
    <x v="0"/>
    <d v="2024-07-14T00:00:00"/>
    <s v="مطابق"/>
    <x v="1"/>
    <x v="1"/>
    <s v="310491645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6-10T00:00:00"/>
    <s v="https://maps.app.goo.gl/P63YLWF1roNT6org6"/>
    <m/>
    <s v="فردى"/>
    <m/>
  </r>
  <r>
    <s v="LB07"/>
    <x v="514"/>
    <x v="514"/>
    <s v="آجل"/>
    <s v="احمد محمد احمد الهندى"/>
    <s v="مؤسسة"/>
    <x v="0"/>
    <s v="سارى"/>
    <x v="0"/>
    <d v="2022-03-15T00:00:00"/>
    <s v="مطابق"/>
    <x v="0"/>
    <x v="1"/>
    <s v="300845381800003"/>
    <x v="1"/>
    <x v="0"/>
    <m/>
    <x v="0"/>
    <s v="موجود"/>
    <n v="30000"/>
    <m/>
    <n v="0"/>
    <n v="24000"/>
    <n v="24000"/>
    <s v="مطابق"/>
    <s v="مطابق"/>
    <s v="يجب اعادة طلبه"/>
    <s v="موجود"/>
    <n v="47053"/>
    <s v="سارى"/>
    <s v="موجود"/>
    <n v="47053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12-20T00:00:00"/>
    <m/>
    <m/>
    <s v="فردى"/>
    <m/>
  </r>
  <r>
    <s v="LB07"/>
    <x v="515"/>
    <x v="515"/>
    <s v="نقدى"/>
    <s v="محمد على عبده الفقيه"/>
    <s v="مؤسسة"/>
    <x v="1"/>
    <s v="يجب اعادة طلبه"/>
    <x v="0"/>
    <d v="2024-07-27T00:00:00"/>
    <s v="مطابق"/>
    <x v="1"/>
    <x v="1"/>
    <s v="301254077400003"/>
    <x v="1"/>
    <x v="1"/>
    <d v="2025-05-12T00:00:00"/>
    <x v="1"/>
    <s v="نقدى"/>
    <m/>
    <m/>
    <n v="0"/>
    <n v="0"/>
    <n v="0"/>
    <s v="مطابق"/>
    <m/>
    <s v="سارى"/>
    <s v="موجود"/>
    <d v="2030-07-23T00:00:00"/>
    <s v="سارى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3-05T00:00:00"/>
    <m/>
    <m/>
    <s v="فردى"/>
    <m/>
  </r>
  <r>
    <s v="LB07"/>
    <x v="516"/>
    <x v="516"/>
    <s v="آجل"/>
    <s v="نجاة سعيد احمد العمودي"/>
    <s v="مؤسسة"/>
    <x v="0"/>
    <s v="سارى"/>
    <x v="0"/>
    <d v="2021-01-03T00:00:00"/>
    <s v="مطابق"/>
    <x v="0"/>
    <x v="1"/>
    <s v="302013297500003"/>
    <x v="1"/>
    <x v="1"/>
    <d v="2020-12-19T00:00:00"/>
    <x v="0"/>
    <s v="موجود"/>
    <n v="600000"/>
    <m/>
    <n v="0"/>
    <n v="480000"/>
    <n v="30000"/>
    <s v="السند اكبر"/>
    <s v="مطابق"/>
    <s v="يجب اعادة طلبه"/>
    <s v="موجود"/>
    <n v="5093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1-01-28T00:00:00"/>
    <m/>
    <m/>
    <s v="فردى"/>
    <m/>
  </r>
  <r>
    <s v="LB07"/>
    <x v="517"/>
    <x v="517"/>
    <s v="نقدى"/>
    <m/>
    <s v="محدودة اجنبية"/>
    <x v="1"/>
    <s v="يجب اعادة طلبه"/>
    <x v="0"/>
    <d v="2023-11-14T00:00:00"/>
    <s v="مطابق"/>
    <x v="1"/>
    <x v="1"/>
    <s v="3100868212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0-17T00:00:00"/>
    <m/>
    <m/>
    <s v="فردى"/>
    <m/>
  </r>
  <r>
    <s v="LB07"/>
    <x v="518"/>
    <x v="518"/>
    <s v="نقدى"/>
    <s v="عبد الرحمن فيصل بن عابد الصحفى"/>
    <s v="مؤسسة"/>
    <x v="1"/>
    <s v="يجب اعادة طلبه"/>
    <x v="0"/>
    <d v="2023-06-18T00:00:00"/>
    <s v="مطابق"/>
    <x v="0"/>
    <x v="1"/>
    <s v="3115645817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1-12T00:00:00"/>
    <m/>
    <m/>
    <s v="فردى"/>
    <m/>
  </r>
  <r>
    <s v="LB07"/>
    <x v="519"/>
    <x v="519"/>
    <s v="نقدى"/>
    <s v="سعد جمعان حامد الحربى"/>
    <s v="مؤسسة"/>
    <x v="1"/>
    <s v="يجب اعادة طلبه"/>
    <x v="0"/>
    <d v="2023-05-04T00:00:00"/>
    <s v="مطابق"/>
    <x v="0"/>
    <x v="1"/>
    <s v="310389038900003"/>
    <x v="1"/>
    <x v="0"/>
    <m/>
    <x v="0"/>
    <s v="نقدى"/>
    <m/>
    <m/>
    <n v="0"/>
    <n v="0"/>
    <n v="0"/>
    <s v="مطابق"/>
    <m/>
    <s v="سارى"/>
    <s v="موجود"/>
    <d v="2034-07-01T00:00:00"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11-16T00:00:00"/>
    <m/>
    <m/>
    <s v="فردى"/>
    <m/>
  </r>
  <r>
    <s v="LB07"/>
    <x v="520"/>
    <x v="520"/>
    <s v="آجل"/>
    <s v="عبدالرحمن  عطيه بن رازن الصحفي"/>
    <s v="مؤسسة"/>
    <x v="0"/>
    <s v="سارى"/>
    <x v="0"/>
    <d v="2022-11-30T00:00:00"/>
    <s v="مطابق"/>
    <x v="0"/>
    <x v="1"/>
    <s v="311118698800003"/>
    <x v="1"/>
    <x v="0"/>
    <m/>
    <x v="0"/>
    <s v="موجود"/>
    <n v="30000"/>
    <m/>
    <n v="0"/>
    <n v="24000"/>
    <n v="24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2-01-22T00:00:00"/>
    <m/>
    <m/>
    <s v="فردى"/>
    <m/>
  </r>
  <r>
    <s v="LB07"/>
    <x v="521"/>
    <x v="521"/>
    <s v="آجل"/>
    <m/>
    <s v="محدودة اجنبية"/>
    <x v="0"/>
    <s v="سارى"/>
    <x v="0"/>
    <d v="2023-12-13T00:00:00"/>
    <s v="مطابق"/>
    <x v="1"/>
    <x v="1"/>
    <s v="311138684600003"/>
    <x v="1"/>
    <x v="1"/>
    <d v="2024-08-14T00:00:00"/>
    <x v="1"/>
    <s v="موجود"/>
    <n v="30000"/>
    <d v="2023-05-16T00:00:00"/>
    <d v="2026-05-15T00:00:00"/>
    <n v="24000"/>
    <n v="24000"/>
    <s v="مطابق"/>
    <s v="مطابق"/>
    <s v="سارى"/>
    <s v="غير موجود"/>
    <m/>
    <s v="يجب اعادة طلبه"/>
    <s v="موجود"/>
    <m/>
    <s v="يجب اعادة طلبه"/>
    <s v="غير موجود"/>
    <m/>
    <s v="يجب اعادة طلبه"/>
    <m/>
    <m/>
    <s v="يجب اعادة طلبه"/>
    <s v="موجود"/>
    <d v="2022-03-23T00:00:00"/>
    <s v="يجب اعادة طلبه"/>
    <s v="غير موجود"/>
    <m/>
    <s v="يجب اعادة طلبه"/>
    <d v="2023-05-20T00:00:00"/>
    <s v="https://maps.app.goo.gl/udtXRiE8CXfZc61G7"/>
    <m/>
    <s v="فردى"/>
    <m/>
  </r>
  <r>
    <s v="LB07"/>
    <x v="522"/>
    <x v="522"/>
    <s v="آجل"/>
    <s v="هناء زين محمد على"/>
    <s v="مؤسسة"/>
    <x v="0"/>
    <s v="سارى"/>
    <x v="0"/>
    <d v="2023-01-24T00:00:00"/>
    <s v="مطابق"/>
    <x v="0"/>
    <x v="1"/>
    <s v="311179583600003"/>
    <x v="1"/>
    <x v="1"/>
    <d v="2022-01-30T00:00:00"/>
    <x v="0"/>
    <s v="موجود"/>
    <n v="40000"/>
    <m/>
    <n v="0"/>
    <n v="32000"/>
    <n v="32000"/>
    <s v="مطابق"/>
    <s v="مطابق"/>
    <s v="يجب اعادة طلبه"/>
    <s v="موجود"/>
    <n v="46832"/>
    <s v="سارى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8-18T00:00:00"/>
    <s v="يجب اعادة طلبه"/>
    <s v="غير موجود"/>
    <m/>
    <s v="يجب اعادة طلبه"/>
    <d v="2022-03-21T00:00:00"/>
    <m/>
    <m/>
    <s v="فردى"/>
    <m/>
  </r>
  <r>
    <s v="LB07"/>
    <x v="523"/>
    <x v="523"/>
    <s v="آجل"/>
    <m/>
    <s v="محدودة اجنبية"/>
    <x v="0"/>
    <s v="سارى"/>
    <x v="0"/>
    <d v="2023-05-10T00:00:00"/>
    <s v="مطابق"/>
    <x v="0"/>
    <x v="1"/>
    <s v="311316475800003"/>
    <x v="1"/>
    <x v="1"/>
    <d v="2024-03-17T00:00:00"/>
    <x v="1"/>
    <s v="موجود"/>
    <n v="30000"/>
    <d v="2023-05-04T00:00:00"/>
    <d v="2026-05-03T00:00:00"/>
    <n v="24000"/>
    <n v="24000"/>
    <s v="مطابق"/>
    <s v="مطابق"/>
    <s v="سارى"/>
    <s v="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موجود"/>
    <d v="2023-04-22T00:00:00"/>
    <s v="يجب اعادة طلبه"/>
    <s v="غير موجود"/>
    <m/>
    <s v="يجب اعادة طلبه"/>
    <d v="2023-05-07T00:00:00"/>
    <s v="https://maps.google.com/maps?q=19.1182717%2C41.086845&amp;z=17&amp;hl=en"/>
    <m/>
    <s v="فردى"/>
    <m/>
  </r>
  <r>
    <s v="LB07"/>
    <x v="524"/>
    <x v="524"/>
    <s v="نقدى"/>
    <s v="ماجده عوض حسن المالكى"/>
    <s v="مؤسسة"/>
    <x v="1"/>
    <s v="يجب اعادة طلبه"/>
    <x v="0"/>
    <d v="2024-07-18T00:00:00"/>
    <s v="مطابق"/>
    <x v="1"/>
    <x v="1"/>
    <s v="311372043300003"/>
    <x v="1"/>
    <x v="1"/>
    <d v="2023-05-22T00:00:00"/>
    <x v="0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2-12-28T00:00:00"/>
    <m/>
    <m/>
    <s v="فردى"/>
    <m/>
  </r>
  <r>
    <s v="LB07"/>
    <x v="525"/>
    <x v="525"/>
    <s v="نقدى"/>
    <m/>
    <m/>
    <x v="3"/>
    <s v="يجب اعادة طلبه"/>
    <x v="2"/>
    <m/>
    <s v=""/>
    <x v="0"/>
    <x v="2"/>
    <s v="حسام شيخة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3-01-24T00:00:00"/>
    <m/>
    <m/>
    <s v="فردى"/>
    <m/>
  </r>
  <r>
    <s v="LB08"/>
    <x v="526"/>
    <x v="526"/>
    <s v="نقدى"/>
    <m/>
    <m/>
    <x v="3"/>
    <s v="يجب اعادة طلبه"/>
    <x v="2"/>
    <m/>
    <s v=""/>
    <x v="0"/>
    <x v="2"/>
    <s v="طارق الزحيلي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3-01-28T00:00:00"/>
    <m/>
    <m/>
    <s v="فردى"/>
    <m/>
  </r>
  <r>
    <s v="LB09"/>
    <x v="527"/>
    <x v="527"/>
    <s v="نقدى"/>
    <m/>
    <m/>
    <x v="3"/>
    <s v="يجب اعادة طلبه"/>
    <x v="2"/>
    <m/>
    <s v=""/>
    <x v="0"/>
    <x v="2"/>
    <s v="كريم صقر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3-01-19T00:00:00"/>
    <m/>
    <m/>
    <s v="فردى"/>
    <m/>
  </r>
  <r>
    <s v="SM"/>
    <x v="528"/>
    <x v="528"/>
    <s v="نقدى"/>
    <m/>
    <m/>
    <x v="3"/>
    <s v="يجب اعادة طلبه"/>
    <x v="2"/>
    <m/>
    <s v=""/>
    <x v="0"/>
    <x v="2"/>
    <s v="حاتم"/>
    <x v="0"/>
    <x v="2"/>
    <m/>
    <x v="0"/>
    <s v="نقدى"/>
    <m/>
    <m/>
    <n v="0"/>
    <n v="0"/>
    <n v="0"/>
    <s v="مطابق"/>
    <m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0-07-09T00:00:00"/>
    <m/>
    <m/>
    <s v="فردى"/>
    <m/>
  </r>
  <r>
    <s v="CS12"/>
    <x v="529"/>
    <x v="529"/>
    <s v="نقدى"/>
    <s v="زهراء علي احمد القاضي"/>
    <s v="مؤسسة"/>
    <x v="1"/>
    <s v="يجب اعادة طلبه"/>
    <x v="0"/>
    <d v="2023-05-26T00:00:00"/>
    <s v="مطابق"/>
    <x v="0"/>
    <x v="0"/>
    <s v="310229075200003"/>
    <x v="0"/>
    <x v="1"/>
    <d v="2023-11-12T00:00:00"/>
    <x v="0"/>
    <s v="نقدى"/>
    <m/>
    <m/>
    <n v="0"/>
    <n v="0"/>
    <n v="0"/>
    <s v="مطابق"/>
    <m/>
    <s v="سارى"/>
    <s v="موجود"/>
    <d v="2031-05-23T00:00:00"/>
    <s v="سارى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3-07-18T00:00:00"/>
    <m/>
    <m/>
    <m/>
    <m/>
  </r>
  <r>
    <s v="CS03"/>
    <x v="530"/>
    <x v="530"/>
    <s v="آجل"/>
    <m/>
    <s v="ذات مسئولية محدودة"/>
    <x v="4"/>
    <s v="سارى"/>
    <x v="0"/>
    <d v="2024-01-15T00:00:00"/>
    <s v="مطابق"/>
    <x v="1"/>
    <x v="1"/>
    <s v="310090548300003"/>
    <x v="1"/>
    <x v="0"/>
    <m/>
    <x v="0"/>
    <s v="مستثنى"/>
    <n v="15000"/>
    <d v="2023-04-18T00:00:00"/>
    <d v="2026-04-17T00:00:00"/>
    <n v="15000"/>
    <n v="1500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d v="2023-07-22T00:00:00"/>
    <m/>
    <m/>
    <s v="فرع"/>
    <m/>
  </r>
  <r>
    <s v="CS05"/>
    <x v="531"/>
    <x v="531"/>
    <s v="نقدى"/>
    <s v="ماجد بن احمد بن عباس الطويلب"/>
    <s v="مؤسسة"/>
    <x v="0"/>
    <s v="سارى"/>
    <x v="0"/>
    <d v="2024-01-22T00:00:00"/>
    <s v="مطابق"/>
    <x v="1"/>
    <x v="1"/>
    <s v="310314877900003"/>
    <x v="1"/>
    <x v="1"/>
    <d v="2025-08-28T00:00:00"/>
    <x v="1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موجود"/>
    <d v="2020-03-17T00:00:00"/>
    <s v="يجب اعادة طلبه"/>
    <m/>
    <m/>
    <s v="يجب اعادة طلبه"/>
    <d v="2023-08-03T00:00:00"/>
    <s v="https://www.google.com/maps/place/26%C2%B026'40.4%22N+50%C2%B006'34.1%22E/@26.4439992,50.1099017,16.92z/data=!4m4!3m3!8m2!3d26.444548!4d50.1094651?entry=ttu"/>
    <m/>
    <s v="فردى"/>
    <m/>
  </r>
  <r>
    <s v="CS03"/>
    <x v="532"/>
    <x v="532"/>
    <s v="نقدى"/>
    <s v="عبدالله احمد سالم باقازي"/>
    <s v="مؤسسة"/>
    <x v="1"/>
    <s v="يجب اعادة طلبه"/>
    <x v="0"/>
    <d v="2023-10-13T00:00:00"/>
    <s v="مطابق"/>
    <x v="1"/>
    <x v="1"/>
    <s v="310216873900003"/>
    <x v="1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m/>
    <m/>
    <s v="يجب اعادة طلبه"/>
    <d v="2023-08-07T00:00:00"/>
    <m/>
    <m/>
    <s v="فرع"/>
    <m/>
  </r>
  <r>
    <s v="CS01"/>
    <x v="533"/>
    <x v="533"/>
    <s v="نقدى"/>
    <s v="مریم عبداللطیف صالح السمحان"/>
    <s v="مؤسسة"/>
    <x v="1"/>
    <s v="يجب اعادة طلبه"/>
    <x v="0"/>
    <d v="2024-04-26T00:00:00"/>
    <s v="مطابق"/>
    <x v="1"/>
    <x v="0"/>
    <s v="311098274500003"/>
    <x v="0"/>
    <x v="1"/>
    <d v="2023-12-19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8-15T00:00:00"/>
    <m/>
    <m/>
    <s v="فردى"/>
    <m/>
  </r>
  <r>
    <s v="CS05"/>
    <x v="534"/>
    <x v="534"/>
    <s v="نقدى"/>
    <m/>
    <m/>
    <x v="0"/>
    <s v="سارى"/>
    <x v="1"/>
    <m/>
    <m/>
    <x v="0"/>
    <x v="1"/>
    <s v="300779176100003"/>
    <x v="1"/>
    <x v="1"/>
    <d v="2025-09-17T00:00:00"/>
    <x v="1"/>
    <s v="نقدى"/>
    <m/>
    <m/>
    <n v="0"/>
    <n v="0"/>
    <n v="0"/>
    <s v="مطابق"/>
    <m/>
    <s v="سارى"/>
    <s v="موجود"/>
    <d v="2029-10-03T00:00:00"/>
    <s v="سارى"/>
    <m/>
    <m/>
    <s v="يجب اعادة طلبه"/>
    <m/>
    <m/>
    <s v="يجب اعادة طلبه"/>
    <m/>
    <m/>
    <s v="يجب اعادة طلبه"/>
    <s v="موجود"/>
    <d v="2022-05-27T00:00:00"/>
    <s v="يجب اعادة طلبه"/>
    <m/>
    <m/>
    <s v="يجب اعادة طلبه"/>
    <d v="2023-08-20T00:00:00"/>
    <s v="https://maps.app.goo.gl/hboa1ZhuiKq8cEQTA"/>
    <s v="العميل وعد بارسال سجل تجاري محدث ومطابق لرقم الرخصة يوم 08/23"/>
    <m/>
    <m/>
  </r>
  <r>
    <s v="LB07"/>
    <x v="535"/>
    <x v="535"/>
    <s v="نقدى"/>
    <s v="عبدالله احمد متعب الزبيدي"/>
    <s v="مؤسسة"/>
    <x v="1"/>
    <s v="يجب اعادة طلبه"/>
    <x v="0"/>
    <d v="2025-12-04T00:00:00"/>
    <s v="مطابق"/>
    <x v="1"/>
    <x v="1"/>
    <s v="300744377400003"/>
    <x v="1"/>
    <x v="1"/>
    <d v="2028-04-18T00:00:00"/>
    <x v="1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3-08-21T00:00:00"/>
    <s v="https://maps.app.goo.gl/ZJovS8TTZ7cPcqtd8"/>
    <m/>
    <s v="فردى"/>
    <m/>
  </r>
  <r>
    <s v="CS05"/>
    <x v="536"/>
    <x v="536"/>
    <s v="نقدى"/>
    <m/>
    <m/>
    <x v="1"/>
    <s v="يجب اعادة طلبه"/>
    <x v="1"/>
    <m/>
    <m/>
    <x v="0"/>
    <x v="0"/>
    <s v="310047991100003"/>
    <x v="0"/>
    <x v="0"/>
    <m/>
    <x v="0"/>
    <s v="نقدى"/>
    <m/>
    <m/>
    <n v="0"/>
    <n v="0"/>
    <n v="0"/>
    <s v="مطابق"/>
    <m/>
    <s v="سارى"/>
    <s v="غير موجود"/>
    <m/>
    <s v="يجب اعادة طلبه"/>
    <m/>
    <m/>
    <s v="يجب اعادة طلبه"/>
    <m/>
    <m/>
    <s v="يجب اعادة طلبه"/>
    <m/>
    <m/>
    <s v="يجب اعادة طلبه"/>
    <s v="غير موجود"/>
    <m/>
    <s v="يجب اعادة طلبه"/>
    <m/>
    <m/>
    <s v="يجب اعادة طلبه"/>
    <d v="2023-08-26T00:00:00"/>
    <m/>
    <m/>
    <m/>
    <m/>
  </r>
  <r>
    <s v="CS01"/>
    <x v="537"/>
    <x v="537"/>
    <s v="نقدى"/>
    <s v="سليمان بن عبدالله بن عبدالعزيز البهيجي"/>
    <s v="مؤسسة"/>
    <x v="1"/>
    <s v="يجب اعادة طلبه"/>
    <x v="0"/>
    <d v="2026-04-25T00:00:00"/>
    <s v="مطابق"/>
    <x v="1"/>
    <x v="1"/>
    <s v="310598697100003"/>
    <x v="1"/>
    <x v="1"/>
    <d v="2024-01-04T00:00:00"/>
    <x v="1"/>
    <s v="نقدى"/>
    <m/>
    <m/>
    <n v="0"/>
    <n v="0"/>
    <n v="0"/>
    <s v="مطابق"/>
    <m/>
    <s v="سارى"/>
    <s v="غير موجود"/>
    <m/>
    <s v="يجب اعادة طلبه"/>
    <s v="غير موجود"/>
    <m/>
    <s v="يجب اعادة طلبه"/>
    <s v="غير موجود"/>
    <m/>
    <s v="يجب اعادة طلبه"/>
    <m/>
    <m/>
    <s v="يجب اعادة طلبه"/>
    <s v="غير موجود"/>
    <m/>
    <s v="يجب اعادة طلبه"/>
    <s v="غير موجود"/>
    <m/>
    <s v="يجب اعادة طلبه"/>
    <d v="2023-08-26T00:00:00"/>
    <m/>
    <m/>
    <s v="فردى"/>
    <m/>
  </r>
  <r>
    <s v="CS09"/>
    <x v="538"/>
    <x v="538"/>
    <s v="آجل"/>
    <m/>
    <s v="ذات مسئولية محدودة مختلطة"/>
    <x v="0"/>
    <s v="سارى"/>
    <x v="0"/>
    <d v="2023-02-16T00:00:00"/>
    <s v="مطابق"/>
    <x v="0"/>
    <x v="1"/>
    <s v="311242126900003"/>
    <x v="1"/>
    <x v="1"/>
    <d v="2024-01-06T00:00:00"/>
    <x v="1"/>
    <s v="موجود"/>
    <n v="62500"/>
    <m/>
    <n v="0"/>
    <n v="50000"/>
    <n v="50000"/>
    <s v="مطابق"/>
    <s v="مطابق"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غير موجود"/>
    <m/>
    <s v="يجب اعادة طلبه"/>
    <s v="موجود"/>
    <d v="2022-09-20T00:00:00"/>
    <s v="يجب اعادة طلبه"/>
    <s v="غير موجود"/>
    <m/>
    <s v="يجب اعادة طلبه"/>
    <d v="2023-08-30T00:00:00"/>
    <m/>
    <m/>
    <s v="فرع"/>
    <m/>
  </r>
  <r>
    <s v="LB07"/>
    <x v="539"/>
    <x v="539"/>
    <s v="آجل"/>
    <s v="مالك علي محمد الفقيه"/>
    <s v="مؤسسة"/>
    <x v="0"/>
    <s v="سارى"/>
    <x v="0"/>
    <d v="2028-05-05T00:00:00"/>
    <s v="مطابق"/>
    <x v="1"/>
    <x v="1"/>
    <s v="311674793500003"/>
    <x v="1"/>
    <x v="0"/>
    <m/>
    <x v="0"/>
    <s v="موجود"/>
    <n v="30000"/>
    <d v="2023-09-04T00:00:00"/>
    <d v="2026-09-03T00:00:00"/>
    <n v="24000"/>
    <n v="24000"/>
    <s v="مطابق"/>
    <s v="مطابق"/>
    <s v="سارى"/>
    <s v="موجود"/>
    <d v="2025-10-22T00:00:00"/>
    <s v="سارى"/>
    <s v="موجود"/>
    <d v="2025-10-22T00:00:00"/>
    <s v="سارى"/>
    <s v="موجود"/>
    <m/>
    <s v="يجب اعادة طلبه"/>
    <s v="موجود"/>
    <m/>
    <s v="يجب اعادة طلبه"/>
    <s v="موجود"/>
    <d v="2023-11-13T00:00:00"/>
    <s v="سارى"/>
    <s v="غير موجود"/>
    <m/>
    <s v="يجب اعادة طلبه"/>
    <d v="2023-09-05T00:00:00"/>
    <s v="https://maps.app.goo.gl/ngsFG2rbvD3JcCd2A"/>
    <m/>
    <s v="فردى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3:I544" firstHeaderRow="1" firstDataRow="1" firstDataCol="9"/>
  <pivotFields count="50">
    <pivotField compact="0" outline="0" showAll="0" defaultSubtotal="0"/>
    <pivotField axis="axisRow" compact="0" outline="0" showAll="0" defaultSubtotal="0">
      <items count="541">
        <item x="257"/>
        <item x="253"/>
        <item x="268"/>
        <item x="299"/>
        <item x="269"/>
        <item x="249"/>
        <item x="334"/>
        <item x="335"/>
        <item x="307"/>
        <item x="279"/>
        <item x="250"/>
        <item x="276"/>
        <item x="275"/>
        <item x="273"/>
        <item x="306"/>
        <item x="282"/>
        <item x="267"/>
        <item x="317"/>
        <item x="316"/>
        <item x="353"/>
        <item x="281"/>
        <item x="270"/>
        <item x="290"/>
        <item x="291"/>
        <item x="261"/>
        <item x="305"/>
        <item x="260"/>
        <item x="322"/>
        <item x="263"/>
        <item x="262"/>
        <item x="254"/>
        <item x="351"/>
        <item x="295"/>
        <item x="311"/>
        <item x="272"/>
        <item x="259"/>
        <item x="303"/>
        <item x="354"/>
        <item x="304"/>
        <item x="350"/>
        <item x="314"/>
        <item x="325"/>
        <item x="355"/>
        <item x="326"/>
        <item x="292"/>
        <item x="278"/>
        <item x="284"/>
        <item x="256"/>
        <item x="251"/>
        <item x="329"/>
        <item x="285"/>
        <item x="301"/>
        <item x="293"/>
        <item x="327"/>
        <item x="252"/>
        <item x="337"/>
        <item x="298"/>
        <item x="332"/>
        <item x="352"/>
        <item x="258"/>
        <item x="294"/>
        <item x="342"/>
        <item x="255"/>
        <item x="348"/>
        <item x="347"/>
        <item x="297"/>
        <item x="271"/>
        <item x="345"/>
        <item x="344"/>
        <item x="310"/>
        <item x="341"/>
        <item x="287"/>
        <item x="343"/>
        <item x="349"/>
        <item x="340"/>
        <item x="338"/>
        <item x="266"/>
        <item x="321"/>
        <item x="319"/>
        <item x="320"/>
        <item x="286"/>
        <item x="323"/>
        <item x="265"/>
        <item x="264"/>
        <item x="328"/>
        <item x="308"/>
        <item x="313"/>
        <item x="330"/>
        <item x="318"/>
        <item x="302"/>
        <item x="274"/>
        <item x="309"/>
        <item x="324"/>
        <item x="331"/>
        <item x="296"/>
        <item x="315"/>
        <item x="7"/>
        <item x="110"/>
        <item x="51"/>
        <item x="36"/>
        <item x="100"/>
        <item x="4"/>
        <item x="102"/>
        <item x="58"/>
        <item x="54"/>
        <item x="69"/>
        <item x="5"/>
        <item x="68"/>
        <item x="6"/>
        <item x="115"/>
        <item x="8"/>
        <item x="9"/>
        <item x="101"/>
        <item x="116"/>
        <item x="40"/>
        <item x="10"/>
        <item x="79"/>
        <item x="32"/>
        <item x="67"/>
        <item x="89"/>
        <item x="75"/>
        <item x="55"/>
        <item x="108"/>
        <item x="15"/>
        <item x="87"/>
        <item x="11"/>
        <item x="103"/>
        <item x="86"/>
        <item x="12"/>
        <item x="121"/>
        <item x="216"/>
        <item x="454"/>
        <item x="122"/>
        <item x="123"/>
        <item x="124"/>
        <item x="125"/>
        <item x="126"/>
        <item x="127"/>
        <item x="128"/>
        <item x="443"/>
        <item x="130"/>
        <item x="133"/>
        <item x="207"/>
        <item x="129"/>
        <item x="206"/>
        <item x="13"/>
        <item x="194"/>
        <item x="453"/>
        <item x="119"/>
        <item x="132"/>
        <item x="37"/>
        <item x="201"/>
        <item x="200"/>
        <item x="445"/>
        <item x="134"/>
        <item x="135"/>
        <item x="136"/>
        <item x="52"/>
        <item x="49"/>
        <item x="461"/>
        <item x="137"/>
        <item x="111"/>
        <item x="213"/>
        <item x="14"/>
        <item x="139"/>
        <item x="436"/>
        <item x="468"/>
        <item x="140"/>
        <item x="141"/>
        <item x="441"/>
        <item x="435"/>
        <item x="46"/>
        <item x="88"/>
        <item x="212"/>
        <item x="173"/>
        <item x="80"/>
        <item x="142"/>
        <item x="452"/>
        <item x="433"/>
        <item x="434"/>
        <item x="143"/>
        <item x="145"/>
        <item x="146"/>
        <item x="147"/>
        <item x="148"/>
        <item x="150"/>
        <item x="151"/>
        <item x="152"/>
        <item x="153"/>
        <item x="154"/>
        <item x="440"/>
        <item x="449"/>
        <item x="155"/>
        <item x="288"/>
        <item x="156"/>
        <item x="437"/>
        <item x="157"/>
        <item x="469"/>
        <item x="205"/>
        <item x="438"/>
        <item x="203"/>
        <item x="158"/>
        <item x="465"/>
        <item x="159"/>
        <item x="439"/>
        <item x="35"/>
        <item x="78"/>
        <item x="446"/>
        <item x="66"/>
        <item x="192"/>
        <item x="62"/>
        <item x="204"/>
        <item x="77"/>
        <item x="217"/>
        <item x="0"/>
        <item x="29"/>
        <item x="202"/>
        <item x="160"/>
        <item x="161"/>
        <item x="214"/>
        <item x="167"/>
        <item x="467"/>
        <item x="162"/>
        <item x="163"/>
        <item x="172"/>
        <item x="186"/>
        <item x="164"/>
        <item x="442"/>
        <item x="83"/>
        <item x="41"/>
        <item x="120"/>
        <item x="209"/>
        <item x="70"/>
        <item x="165"/>
        <item x="97"/>
        <item x="131"/>
        <item x="455"/>
        <item x="45"/>
        <item x="470"/>
        <item x="166"/>
        <item x="444"/>
        <item x="168"/>
        <item x="114"/>
        <item x="464"/>
        <item x="105"/>
        <item x="57"/>
        <item x="50"/>
        <item x="169"/>
        <item x="170"/>
        <item x="208"/>
        <item x="138"/>
        <item x="95"/>
        <item x="149"/>
        <item x="85"/>
        <item x="74"/>
        <item x="198"/>
        <item x="199"/>
        <item x="98"/>
        <item x="463"/>
        <item x="171"/>
        <item x="174"/>
        <item x="175"/>
        <item x="176"/>
        <item x="451"/>
        <item x="177"/>
        <item x="178"/>
        <item x="179"/>
        <item x="180"/>
        <item x="181"/>
        <item x="182"/>
        <item x="183"/>
        <item x="184"/>
        <item x="185"/>
        <item x="187"/>
        <item x="188"/>
        <item x="16"/>
        <item x="17"/>
        <item x="18"/>
        <item x="47"/>
        <item x="1"/>
        <item x="106"/>
        <item x="20"/>
        <item x="59"/>
        <item x="73"/>
        <item x="82"/>
        <item x="21"/>
        <item x="81"/>
        <item x="22"/>
        <item x="23"/>
        <item x="39"/>
        <item x="24"/>
        <item x="109"/>
        <item x="19"/>
        <item x="25"/>
        <item x="31"/>
        <item x="26"/>
        <item x="48"/>
        <item x="53"/>
        <item x="28"/>
        <item x="27"/>
        <item x="112"/>
        <item x="44"/>
        <item x="117"/>
        <item x="104"/>
        <item x="64"/>
        <item x="34"/>
        <item x="60"/>
        <item x="72"/>
        <item x="2"/>
        <item x="43"/>
        <item x="3"/>
        <item x="61"/>
        <item x="113"/>
        <item x="99"/>
        <item x="33"/>
        <item x="56"/>
        <item x="91"/>
        <item x="118"/>
        <item x="42"/>
        <item x="71"/>
        <item x="76"/>
        <item x="92"/>
        <item x="93"/>
        <item x="30"/>
        <item x="65"/>
        <item x="84"/>
        <item x="38"/>
        <item x="107"/>
        <item x="94"/>
        <item x="96"/>
        <item x="63"/>
        <item x="359"/>
        <item x="382"/>
        <item x="365"/>
        <item x="357"/>
        <item x="378"/>
        <item x="374"/>
        <item x="507"/>
        <item x="516"/>
        <item x="508"/>
        <item x="388"/>
        <item x="386"/>
        <item x="360"/>
        <item x="504"/>
        <item x="415"/>
        <item x="397"/>
        <item x="400"/>
        <item x="416"/>
        <item x="375"/>
        <item x="370"/>
        <item x="361"/>
        <item x="385"/>
        <item x="396"/>
        <item x="389"/>
        <item x="511"/>
        <item x="346"/>
        <item x="362"/>
        <item x="391"/>
        <item x="379"/>
        <item x="380"/>
        <item x="394"/>
        <item x="503"/>
        <item x="392"/>
        <item x="358"/>
        <item x="367"/>
        <item x="371"/>
        <item x="368"/>
        <item x="363"/>
        <item x="376"/>
        <item x="390"/>
        <item x="403"/>
        <item x="412"/>
        <item x="366"/>
        <item x="405"/>
        <item x="364"/>
        <item x="514"/>
        <item x="356"/>
        <item x="406"/>
        <item x="387"/>
        <item x="399"/>
        <item x="401"/>
        <item x="520"/>
        <item x="402"/>
        <item x="404"/>
        <item x="408"/>
        <item x="407"/>
        <item x="409"/>
        <item x="522"/>
        <item x="506"/>
        <item x="372"/>
        <item x="369"/>
        <item x="505"/>
        <item x="410"/>
        <item x="411"/>
        <item x="413"/>
        <item x="414"/>
        <item x="373"/>
        <item x="393"/>
        <item x="384"/>
        <item x="510"/>
        <item x="381"/>
        <item x="383"/>
        <item x="395"/>
        <item x="517"/>
        <item x="519"/>
        <item x="377"/>
        <item x="512"/>
        <item x="515"/>
        <item x="312"/>
        <item x="280"/>
        <item x="300"/>
        <item x="277"/>
        <item x="289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50"/>
        <item x="466"/>
        <item x="462"/>
        <item x="448"/>
        <item x="195"/>
        <item x="524"/>
        <item x="509"/>
        <item x="518"/>
        <item x="500"/>
        <item x="242"/>
        <item x="226"/>
        <item x="227"/>
        <item x="232"/>
        <item x="243"/>
        <item x="239"/>
        <item x="244"/>
        <item x="246"/>
        <item x="235"/>
        <item x="233"/>
        <item x="218"/>
        <item x="219"/>
        <item x="220"/>
        <item x="221"/>
        <item x="247"/>
        <item x="238"/>
        <item x="222"/>
        <item x="228"/>
        <item x="234"/>
        <item x="223"/>
        <item x="224"/>
        <item x="225"/>
        <item x="231"/>
        <item x="248"/>
        <item x="236"/>
        <item x="237"/>
        <item x="229"/>
        <item x="241"/>
        <item x="240"/>
        <item x="245"/>
        <item x="430"/>
        <item x="423"/>
        <item x="427"/>
        <item x="421"/>
        <item x="429"/>
        <item x="417"/>
        <item x="424"/>
        <item x="428"/>
        <item x="420"/>
        <item x="422"/>
        <item x="425"/>
        <item x="426"/>
        <item x="419"/>
        <item x="431"/>
        <item x="418"/>
        <item x="210"/>
        <item x="215"/>
        <item x="471"/>
        <item x="211"/>
        <item x="196"/>
        <item x="197"/>
        <item x="189"/>
        <item x="336"/>
        <item x="333"/>
        <item x="283"/>
        <item x="447"/>
        <item x="489"/>
        <item x="490"/>
        <item x="491"/>
        <item x="492"/>
        <item x="493"/>
        <item x="523"/>
        <item x="521"/>
        <item m="1" x="540"/>
        <item x="90"/>
        <item x="144"/>
        <item x="190"/>
        <item x="191"/>
        <item x="193"/>
        <item x="230"/>
        <item x="339"/>
        <item x="398"/>
        <item x="432"/>
        <item x="456"/>
        <item x="457"/>
        <item x="458"/>
        <item x="459"/>
        <item x="460"/>
        <item x="472"/>
        <item x="494"/>
        <item x="495"/>
        <item x="496"/>
        <item x="497"/>
        <item x="498"/>
        <item x="499"/>
        <item x="501"/>
        <item x="502"/>
        <item x="513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</items>
    </pivotField>
    <pivotField axis="axisRow" compact="0" outline="0" showAll="0" defaultSubtotal="0">
      <items count="623">
        <item x="1"/>
        <item x="26"/>
        <item x="143"/>
        <item x="433"/>
        <item x="434"/>
        <item m="1" x="614"/>
        <item m="1" x="544"/>
        <item x="64"/>
        <item m="1" x="611"/>
        <item x="343"/>
        <item x="61"/>
        <item x="31"/>
        <item m="1" x="593"/>
        <item x="254"/>
        <item m="1" x="613"/>
        <item x="84"/>
        <item x="277"/>
        <item x="80"/>
        <item x="452"/>
        <item m="1" x="589"/>
        <item x="188"/>
        <item x="187"/>
        <item x="89"/>
        <item x="448"/>
        <item m="1" x="607"/>
        <item x="334"/>
        <item x="284"/>
        <item x="212"/>
        <item x="2"/>
        <item x="119"/>
        <item m="1" x="554"/>
        <item x="174"/>
        <item x="136"/>
        <item x="353"/>
        <item x="178"/>
        <item m="1" x="555"/>
        <item x="118"/>
        <item x="167"/>
        <item x="36"/>
        <item x="437"/>
        <item x="439"/>
        <item x="438"/>
        <item x="373"/>
        <item x="395"/>
        <item x="135"/>
        <item x="132"/>
        <item x="37"/>
        <item x="359"/>
        <item x="461"/>
        <item x="379"/>
        <item x="124"/>
        <item x="442"/>
        <item x="164"/>
        <item x="134"/>
        <item x="482"/>
        <item x="479"/>
        <item x="182"/>
        <item x="208"/>
        <item x="87"/>
        <item x="463"/>
        <item x="331"/>
        <item x="429"/>
        <item x="316"/>
        <item m="1" x="591"/>
        <item x="484"/>
        <item x="201"/>
        <item x="375"/>
        <item x="85"/>
        <item x="470"/>
        <item x="443"/>
        <item x="356"/>
        <item x="33"/>
        <item x="335"/>
        <item x="62"/>
        <item x="346"/>
        <item x="97"/>
        <item x="483"/>
        <item x="451"/>
        <item x="199"/>
        <item x="79"/>
        <item x="377"/>
        <item x="120"/>
        <item x="385"/>
        <item x="213"/>
        <item x="390"/>
        <item x="285"/>
        <item x="348"/>
        <item x="462"/>
        <item x="185"/>
        <item m="1" x="590"/>
        <item x="197"/>
        <item x="291"/>
        <item x="154"/>
        <item x="480"/>
        <item x="156"/>
        <item x="444"/>
        <item m="1" x="608"/>
        <item x="486"/>
        <item x="517"/>
        <item x="166"/>
        <item x="241"/>
        <item x="341"/>
        <item x="153"/>
        <item m="1" x="541"/>
        <item x="417"/>
        <item x="311"/>
        <item x="413"/>
        <item x="7"/>
        <item x="198"/>
        <item x="88"/>
        <item x="98"/>
        <item x="372"/>
        <item x="217"/>
        <item x="391"/>
        <item x="196"/>
        <item x="454"/>
        <item x="310"/>
        <item m="1" x="604"/>
        <item x="236"/>
        <item x="68"/>
        <item x="446"/>
        <item x="511"/>
        <item m="1" x="587"/>
        <item x="78"/>
        <item x="376"/>
        <item x="378"/>
        <item x="263"/>
        <item m="1" x="595"/>
        <item x="173"/>
        <item x="195"/>
        <item m="1" x="592"/>
        <item m="1" x="565"/>
        <item m="1" x="599"/>
        <item m="1" x="620"/>
        <item x="425"/>
        <item m="1" x="569"/>
        <item x="23"/>
        <item x="232"/>
        <item x="242"/>
        <item m="1" x="618"/>
        <item x="237"/>
        <item x="266"/>
        <item x="59"/>
        <item m="1" x="598"/>
        <item m="1" x="560"/>
        <item x="109"/>
        <item m="1" x="558"/>
        <item m="1" x="571"/>
        <item x="231"/>
        <item m="1" x="578"/>
        <item m="1" x="547"/>
        <item x="57"/>
        <item m="1" x="582"/>
        <item m="1" x="552"/>
        <item x="19"/>
        <item x="50"/>
        <item m="1" x="572"/>
        <item x="105"/>
        <item x="419"/>
        <item x="371"/>
        <item x="72"/>
        <item m="1" x="573"/>
        <item m="1" x="583"/>
        <item x="117"/>
        <item x="239"/>
        <item x="29"/>
        <item x="73"/>
        <item x="25"/>
        <item x="82"/>
        <item x="211"/>
        <item x="75"/>
        <item x="71"/>
        <item x="338"/>
        <item m="1" x="600"/>
        <item m="1" x="586"/>
        <item x="474"/>
        <item x="86"/>
        <item x="148"/>
        <item m="1" x="564"/>
        <item x="412"/>
        <item x="279"/>
        <item x="505"/>
        <item m="1" x="551"/>
        <item x="165"/>
        <item x="274"/>
        <item x="255"/>
        <item x="113"/>
        <item x="514"/>
        <item x="507"/>
        <item x="308"/>
        <item x="157"/>
        <item x="312"/>
        <item x="116"/>
        <item x="313"/>
        <item x="320"/>
        <item x="281"/>
        <item x="326"/>
        <item x="141"/>
        <item x="278"/>
        <item x="92"/>
        <item x="428"/>
        <item x="357"/>
        <item x="382"/>
        <item x="431"/>
        <item x="469"/>
        <item x="430"/>
        <item x="43"/>
        <item x="426"/>
        <item m="1" x="561"/>
        <item x="389"/>
        <item x="170"/>
        <item x="420"/>
        <item x="65"/>
        <item x="186"/>
        <item x="302"/>
        <item x="422"/>
        <item x="330"/>
        <item x="351"/>
        <item x="445"/>
        <item x="386"/>
        <item x="440"/>
        <item x="142"/>
        <item x="299"/>
        <item x="149"/>
        <item x="510"/>
        <item m="1" x="619"/>
        <item x="58"/>
        <item x="252"/>
        <item x="524"/>
        <item x="290"/>
        <item x="347"/>
        <item x="318"/>
        <item x="415"/>
        <item m="1" x="605"/>
        <item m="1" x="548"/>
        <item x="488"/>
        <item x="399"/>
        <item x="337"/>
        <item x="275"/>
        <item x="324"/>
        <item x="54"/>
        <item x="137"/>
        <item x="69"/>
        <item x="300"/>
        <item x="393"/>
        <item x="344"/>
        <item x="384"/>
        <item m="1" x="612"/>
        <item x="297"/>
        <item x="365"/>
        <item x="245"/>
        <item x="464"/>
        <item m="1" x="540"/>
        <item x="240"/>
        <item m="1" x="549"/>
        <item m="1" x="601"/>
        <item x="256"/>
        <item x="366"/>
        <item x="55"/>
        <item m="1" x="553"/>
        <item x="362"/>
        <item x="264"/>
        <item m="1" x="557"/>
        <item x="383"/>
        <item x="269"/>
        <item x="175"/>
        <item x="273"/>
        <item x="298"/>
        <item x="367"/>
        <item x="410"/>
        <item x="329"/>
        <item x="262"/>
        <item m="1" x="579"/>
        <item x="234"/>
        <item x="3"/>
        <item m="1" x="616"/>
        <item x="361"/>
        <item x="4"/>
        <item x="481"/>
        <item x="152"/>
        <item m="1" x="567"/>
        <item x="106"/>
        <item x="508"/>
        <item m="1" x="570"/>
        <item x="121"/>
        <item x="101"/>
        <item x="47"/>
        <item x="111"/>
        <item m="1" x="575"/>
        <item x="28"/>
        <item x="205"/>
        <item m="1" x="621"/>
        <item x="349"/>
        <item x="402"/>
        <item x="327"/>
        <item x="315"/>
        <item m="1" x="559"/>
        <item x="394"/>
        <item x="388"/>
        <item x="171"/>
        <item x="411"/>
        <item x="270"/>
        <item x="286"/>
        <item x="503"/>
        <item x="70"/>
        <item x="179"/>
        <item x="257"/>
        <item x="151"/>
        <item m="1" x="584"/>
        <item m="1" x="566"/>
        <item x="282"/>
        <item x="487"/>
        <item x="56"/>
        <item x="509"/>
        <item m="1" x="580"/>
        <item x="129"/>
        <item x="424"/>
        <item x="485"/>
        <item x="381"/>
        <item x="45"/>
        <item x="81"/>
        <item x="138"/>
        <item x="139"/>
        <item x="32"/>
        <item x="160"/>
        <item x="161"/>
        <item m="1" x="622"/>
        <item x="512"/>
        <item x="67"/>
        <item x="401"/>
        <item x="321"/>
        <item m="1" x="546"/>
        <item x="210"/>
        <item x="209"/>
        <item x="176"/>
        <item x="74"/>
        <item x="418"/>
        <item x="216"/>
        <item m="1" x="585"/>
        <item x="354"/>
        <item x="473"/>
        <item x="206"/>
        <item x="397"/>
        <item m="1" x="603"/>
        <item x="355"/>
        <item x="93"/>
        <item x="450"/>
        <item x="204"/>
        <item x="289"/>
        <item x="253"/>
        <item x="94"/>
        <item x="380"/>
        <item x="307"/>
        <item x="30"/>
        <item x="519"/>
        <item m="1" x="617"/>
        <item x="468"/>
        <item x="260"/>
        <item x="155"/>
        <item x="406"/>
        <item x="414"/>
        <item x="112"/>
        <item x="133"/>
        <item x="368"/>
        <item x="403"/>
        <item x="477"/>
        <item x="95"/>
        <item x="114"/>
        <item m="1" x="550"/>
        <item x="96"/>
        <item x="130"/>
        <item x="194"/>
        <item x="360"/>
        <item x="317"/>
        <item x="147"/>
        <item x="146"/>
        <item x="145"/>
        <item x="172"/>
        <item m="1" x="597"/>
        <item x="295"/>
        <item x="51"/>
        <item x="475"/>
        <item x="229"/>
        <item m="1" x="581"/>
        <item m="1" x="609"/>
        <item x="323"/>
        <item m="1" x="606"/>
        <item x="150"/>
        <item x="294"/>
        <item x="52"/>
        <item x="305"/>
        <item x="44"/>
        <item x="83"/>
        <item x="449"/>
        <item x="364"/>
        <item x="249"/>
        <item x="272"/>
        <item x="177"/>
        <item x="163"/>
        <item x="162"/>
        <item m="1" x="596"/>
        <item x="203"/>
        <item x="478"/>
        <item x="504"/>
        <item x="60"/>
        <item x="280"/>
        <item x="184"/>
        <item m="1" x="562"/>
        <item x="322"/>
        <item x="131"/>
        <item x="465"/>
        <item x="66"/>
        <item x="0"/>
        <item x="271"/>
        <item x="466"/>
        <item m="1" x="576"/>
        <item x="215"/>
        <item x="500"/>
        <item x="40"/>
        <item x="258"/>
        <item x="76"/>
        <item x="287"/>
        <item x="392"/>
        <item x="416"/>
        <item x="314"/>
        <item x="276"/>
        <item x="77"/>
        <item x="301"/>
        <item x="125"/>
        <item x="48"/>
        <item x="268"/>
        <item x="251"/>
        <item m="1" x="545"/>
        <item x="261"/>
        <item x="183"/>
        <item x="421"/>
        <item m="1" x="574"/>
        <item x="35"/>
        <item x="202"/>
        <item x="38"/>
        <item x="515"/>
        <item x="476"/>
        <item x="127"/>
        <item x="128"/>
        <item x="296"/>
        <item x="91"/>
        <item x="41"/>
        <item x="400"/>
        <item x="158"/>
        <item x="363"/>
        <item x="342"/>
        <item m="1" x="594"/>
        <item x="319"/>
        <item x="238"/>
        <item x="250"/>
        <item x="350"/>
        <item m="1" x="568"/>
        <item x="304"/>
        <item x="288"/>
        <item x="214"/>
        <item x="53"/>
        <item x="42"/>
        <item x="267"/>
        <item x="340"/>
        <item x="405"/>
        <item x="181"/>
        <item x="159"/>
        <item x="396"/>
        <item x="107"/>
        <item x="516"/>
        <item m="1" x="563"/>
        <item x="352"/>
        <item x="345"/>
        <item x="180"/>
        <item x="325"/>
        <item m="1" x="610"/>
        <item x="207"/>
        <item x="200"/>
        <item x="387"/>
        <item x="309"/>
        <item x="522"/>
        <item x="168"/>
        <item x="192"/>
        <item x="408"/>
        <item x="404"/>
        <item m="1" x="615"/>
        <item x="520"/>
        <item x="407"/>
        <item x="39"/>
        <item m="1" x="577"/>
        <item x="455"/>
        <item m="1" x="556"/>
        <item x="336"/>
        <item x="333"/>
        <item x="283"/>
        <item x="374"/>
        <item x="370"/>
        <item x="447"/>
        <item x="489"/>
        <item x="490"/>
        <item x="491"/>
        <item x="492"/>
        <item x="493"/>
        <item x="523"/>
        <item m="1" x="588"/>
        <item m="1" x="543"/>
        <item x="90"/>
        <item x="122"/>
        <item x="123"/>
        <item x="126"/>
        <item x="140"/>
        <item x="144"/>
        <item x="169"/>
        <item x="190"/>
        <item m="1" x="542"/>
        <item x="193"/>
        <item x="230"/>
        <item x="259"/>
        <item x="292"/>
        <item x="293"/>
        <item x="306"/>
        <item x="328"/>
        <item x="332"/>
        <item x="339"/>
        <item x="398"/>
        <item x="409"/>
        <item x="427"/>
        <item x="432"/>
        <item x="435"/>
        <item x="441"/>
        <item x="456"/>
        <item x="457"/>
        <item x="458"/>
        <item x="460"/>
        <item x="467"/>
        <item x="472"/>
        <item x="494"/>
        <item x="495"/>
        <item x="496"/>
        <item x="497"/>
        <item x="498"/>
        <item x="499"/>
        <item x="501"/>
        <item x="502"/>
        <item x="513"/>
        <item x="521"/>
        <item x="525"/>
        <item x="526"/>
        <item x="527"/>
        <item x="528"/>
        <item x="191"/>
        <item x="358"/>
        <item x="369"/>
        <item x="436"/>
        <item m="1" x="602"/>
        <item x="189"/>
        <item x="423"/>
        <item x="529"/>
        <item x="530"/>
        <item x="471"/>
        <item x="531"/>
        <item x="532"/>
        <item x="34"/>
        <item x="459"/>
        <item x="533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4"/>
        <item x="27"/>
        <item x="46"/>
        <item x="49"/>
        <item x="63"/>
        <item x="99"/>
        <item x="100"/>
        <item x="102"/>
        <item x="103"/>
        <item x="104"/>
        <item x="108"/>
        <item x="110"/>
        <item x="115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33"/>
        <item x="235"/>
        <item x="243"/>
        <item x="244"/>
        <item x="246"/>
        <item x="247"/>
        <item x="248"/>
        <item x="265"/>
        <item x="506"/>
        <item x="518"/>
        <item x="534"/>
        <item x="535"/>
        <item x="536"/>
        <item x="537"/>
        <item x="303"/>
        <item x="453"/>
        <item x="538"/>
        <item x="539"/>
      </items>
    </pivotField>
    <pivotField compact="0" outline="0" showAll="0"/>
    <pivotField compact="0" outline="0" showAll="0" defaultSubtotal="0"/>
    <pivotField compact="0" outline="0" showAll="0"/>
    <pivotField axis="axisRow" compact="0" outline="0" showAll="0" defaultSubtotal="0">
      <items count="6">
        <item x="2"/>
        <item x="1"/>
        <item x="0"/>
        <item m="1" x="5"/>
        <item x="3"/>
        <item x="4"/>
      </items>
    </pivotField>
    <pivotField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3">
        <item x="1"/>
        <item x="0"/>
        <item m="1" x="2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/>
    <pivotField compact="0" outline="0" showAll="0"/>
  </pivotFields>
  <rowFields count="9">
    <field x="1"/>
    <field x="2"/>
    <field x="6"/>
    <field x="8"/>
    <field x="11"/>
    <field x="12"/>
    <field x="14"/>
    <field x="15"/>
    <field x="17"/>
  </rowFields>
  <rowItems count="541">
    <i>
      <x/>
      <x v="306"/>
      <x v="4"/>
      <x/>
      <x v="1"/>
      <x/>
      <x v="1"/>
      <x v="2"/>
      <x v="1"/>
    </i>
    <i>
      <x v="1"/>
      <x v="349"/>
      <x v="4"/>
      <x/>
      <x v="1"/>
      <x v="1"/>
      <x/>
      <x v="2"/>
      <x v="1"/>
    </i>
    <i>
      <x v="2"/>
      <x v="430"/>
      <x v="2"/>
      <x/>
      <x v="1"/>
      <x/>
      <x v="1"/>
      <x/>
      <x v="1"/>
    </i>
    <i>
      <x v="3"/>
      <x v="222"/>
      <x v="2"/>
      <x v="1"/>
      <x v="1"/>
      <x v="1"/>
      <x/>
      <x/>
      <x v="1"/>
    </i>
    <i>
      <x v="4"/>
      <x v="264"/>
      <x v="2"/>
      <x v="1"/>
      <x/>
      <x/>
      <x v="1"/>
      <x/>
      <x v="1"/>
    </i>
    <i>
      <x v="5"/>
      <x v="395"/>
      <x v="4"/>
      <x/>
      <x v="1"/>
      <x/>
      <x v="1"/>
      <x v="2"/>
      <x v="1"/>
    </i>
    <i>
      <x v="6"/>
      <x v="25"/>
      <x v="2"/>
      <x v="1"/>
      <x v="1"/>
      <x v="1"/>
      <x/>
      <x/>
      <x v="1"/>
    </i>
    <i>
      <x v="7"/>
      <x v="72"/>
      <x v="1"/>
      <x/>
      <x v="1"/>
      <x v="1"/>
      <x/>
      <x/>
      <x v="1"/>
    </i>
    <i>
      <x v="8"/>
      <x v="352"/>
      <x v="2"/>
      <x v="1"/>
      <x v="1"/>
      <x v="1"/>
      <x/>
      <x/>
      <x v="1"/>
    </i>
    <i>
      <x v="9"/>
      <x v="180"/>
      <x/>
      <x/>
      <x v="1"/>
      <x/>
      <x v="1"/>
      <x/>
      <x v="1"/>
    </i>
    <i>
      <x v="10"/>
      <x v="454"/>
      <x v="4"/>
      <x/>
      <x v="1"/>
      <x/>
      <x v="1"/>
      <x v="2"/>
      <x v="1"/>
    </i>
    <i>
      <x v="11"/>
      <x v="425"/>
      <x v="2"/>
      <x v="1"/>
      <x/>
      <x v="1"/>
      <x/>
      <x/>
      <x v="1"/>
    </i>
    <i>
      <x v="12"/>
      <x v="238"/>
      <x v="1"/>
      <x v="1"/>
      <x v="1"/>
      <x v="1"/>
      <x/>
      <x/>
      <x v="1"/>
    </i>
    <i>
      <x v="13"/>
      <x v="266"/>
      <x v="2"/>
      <x/>
      <x v="1"/>
      <x/>
      <x v="1"/>
      <x/>
      <x v="1"/>
    </i>
    <i>
      <x v="14"/>
      <x v="520"/>
      <x v="2"/>
      <x v="1"/>
      <x/>
      <x v="1"/>
      <x/>
      <x v="1"/>
      <x/>
    </i>
    <i>
      <x v="15"/>
      <x v="310"/>
      <x v="2"/>
      <x/>
      <x v="1"/>
      <x/>
      <x v="1"/>
      <x/>
      <x v="1"/>
    </i>
    <i>
      <x v="16"/>
      <x v="462"/>
      <x v="1"/>
      <x v="1"/>
      <x/>
      <x v="1"/>
      <x/>
      <x v="1"/>
      <x v="1"/>
    </i>
    <i>
      <x v="17"/>
      <x v="373"/>
      <x v="2"/>
      <x v="1"/>
      <x/>
      <x v="1"/>
      <x/>
      <x v="1"/>
      <x/>
    </i>
    <i>
      <x v="18"/>
      <x v="62"/>
      <x v="2"/>
      <x/>
      <x v="1"/>
      <x/>
      <x v="1"/>
      <x/>
      <x v="1"/>
    </i>
    <i>
      <x v="19"/>
      <x v="33"/>
      <x v="4"/>
      <x/>
      <x v="1"/>
      <x v="1"/>
      <x/>
      <x v="2"/>
      <x v="1"/>
    </i>
    <i>
      <x v="20"/>
      <x v="195"/>
      <x v="2"/>
      <x v="1"/>
      <x/>
      <x v="1"/>
      <x/>
      <x v="1"/>
      <x v="1"/>
    </i>
    <i>
      <x v="21"/>
      <x v="301"/>
      <x v="2"/>
      <x/>
      <x v="1"/>
      <x/>
      <x v="1"/>
      <x/>
      <x v="1"/>
    </i>
    <i>
      <x v="22"/>
      <x v="229"/>
      <x v="2"/>
      <x v="1"/>
      <x v="1"/>
      <x/>
      <x v="1"/>
      <x v="1"/>
      <x v="1"/>
    </i>
    <i>
      <x v="23"/>
      <x v="91"/>
      <x v="2"/>
      <x v="1"/>
      <x v="1"/>
      <x v="1"/>
      <x/>
      <x/>
      <x v="1"/>
    </i>
    <i>
      <x v="24"/>
      <x v="433"/>
      <x v="4"/>
      <x/>
      <x v="1"/>
      <x v="1"/>
      <x/>
      <x v="2"/>
      <x v="1"/>
    </i>
    <i>
      <x v="25"/>
      <x v="390"/>
      <x v="2"/>
      <x v="1"/>
      <x v="1"/>
      <x/>
      <x v="1"/>
      <x/>
      <x v="1"/>
    </i>
    <i>
      <x v="26"/>
      <x v="357"/>
      <x v="4"/>
      <x/>
      <x v="1"/>
      <x v="1"/>
      <x/>
      <x v="2"/>
      <x v="1"/>
    </i>
    <i>
      <x v="27"/>
      <x v="408"/>
      <x v="2"/>
      <x/>
      <x v="1"/>
      <x/>
      <x v="1"/>
      <x/>
      <x v="1"/>
    </i>
    <i>
      <x v="28"/>
      <x v="126"/>
      <x v="4"/>
      <x/>
      <x v="1"/>
      <x v="1"/>
      <x/>
      <x v="2"/>
      <x v="1"/>
    </i>
    <i>
      <x v="29"/>
      <x v="271"/>
      <x v="4"/>
      <x/>
      <x v="1"/>
      <x v="1"/>
      <x/>
      <x v="2"/>
      <x v="1"/>
    </i>
    <i>
      <x v="30"/>
      <x v="13"/>
      <x v="4"/>
      <x/>
      <x v="1"/>
      <x v="1"/>
      <x/>
      <x v="2"/>
      <x v="1"/>
    </i>
    <i>
      <x v="31"/>
      <x v="217"/>
      <x v="4"/>
      <x/>
      <x v="1"/>
      <x v="1"/>
      <x/>
      <x v="2"/>
      <x v="1"/>
    </i>
    <i>
      <x v="32"/>
      <x v="379"/>
      <x v="1"/>
      <x/>
      <x v="1"/>
      <x v="1"/>
      <x/>
      <x/>
      <x v="1"/>
    </i>
    <i>
      <x v="33"/>
      <x v="105"/>
      <x v="4"/>
      <x/>
      <x v="1"/>
      <x v="1"/>
      <x/>
      <x v="2"/>
      <x v="1"/>
    </i>
    <i>
      <x v="34"/>
      <x v="396"/>
      <x v="1"/>
      <x/>
      <x v="1"/>
      <x/>
      <x v="1"/>
      <x/>
      <x v="1"/>
    </i>
    <i>
      <x v="35"/>
      <x v="517"/>
      <x v="2"/>
      <x v="1"/>
      <x/>
      <x v="1"/>
      <x/>
      <x/>
      <x v="1"/>
    </i>
    <i>
      <x v="36"/>
      <x v="619"/>
      <x v="2"/>
      <x v="1"/>
      <x v="1"/>
      <x v="1"/>
      <x/>
      <x v="1"/>
      <x/>
    </i>
    <i>
      <x v="37"/>
      <x v="339"/>
      <x v="4"/>
      <x/>
      <x v="1"/>
      <x v="1"/>
      <x/>
      <x v="2"/>
      <x v="1"/>
    </i>
    <i>
      <x v="38"/>
      <x v="457"/>
      <x v="2"/>
      <x/>
      <x v="1"/>
      <x/>
      <x v="1"/>
      <x/>
      <x v="1"/>
    </i>
    <i>
      <x v="39"/>
      <x v="455"/>
      <x v="4"/>
      <x/>
      <x v="1"/>
      <x v="1"/>
      <x/>
      <x v="2"/>
      <x v="1"/>
    </i>
    <i>
      <x v="40"/>
      <x v="424"/>
      <x v="4"/>
      <x/>
      <x v="1"/>
      <x v="1"/>
      <x/>
      <x v="2"/>
      <x v="1"/>
    </i>
    <i>
      <x v="41"/>
      <x v="474"/>
      <x v="2"/>
      <x/>
      <x v="1"/>
      <x/>
      <x v="1"/>
      <x/>
      <x v="1"/>
    </i>
    <i>
      <x v="42"/>
      <x v="344"/>
      <x v="4"/>
      <x/>
      <x v="1"/>
      <x v="1"/>
      <x/>
      <x v="2"/>
      <x v="1"/>
    </i>
    <i>
      <x v="43"/>
      <x v="196"/>
      <x v="4"/>
      <x/>
      <x v="1"/>
      <x v="1"/>
      <x/>
      <x v="2"/>
      <x v="1"/>
    </i>
    <i>
      <x v="44"/>
      <x v="518"/>
      <x v="2"/>
      <x/>
      <x v="1"/>
      <x/>
      <x v="1"/>
      <x/>
      <x v="1"/>
    </i>
    <i>
      <x v="45"/>
      <x v="198"/>
      <x v="2"/>
      <x/>
      <x v="1"/>
      <x/>
      <x v="1"/>
      <x/>
      <x v="1"/>
    </i>
    <i>
      <x v="46"/>
      <x v="26"/>
      <x v="2"/>
      <x v="1"/>
      <x/>
      <x v="1"/>
      <x/>
      <x/>
      <x v="1"/>
    </i>
    <i>
      <x v="47"/>
      <x v="256"/>
      <x v="4"/>
      <x/>
      <x v="1"/>
      <x v="1"/>
      <x/>
      <x v="2"/>
      <x v="1"/>
    </i>
    <i>
      <x v="48"/>
      <x v="431"/>
      <x v="4"/>
      <x/>
      <x v="1"/>
      <x/>
      <x v="1"/>
      <x v="2"/>
      <x v="1"/>
    </i>
    <i>
      <x v="49"/>
      <x v="270"/>
      <x v="2"/>
      <x v="1"/>
      <x v="1"/>
      <x v="1"/>
      <x/>
      <x v="1"/>
      <x/>
    </i>
    <i>
      <x v="50"/>
      <x v="85"/>
      <x v="2"/>
      <x/>
      <x v="1"/>
      <x/>
      <x v="1"/>
      <x/>
      <x v="1"/>
    </i>
    <i>
      <x v="51"/>
      <x v="427"/>
      <x v="4"/>
      <x/>
      <x v="1"/>
      <x v="1"/>
      <x/>
      <x v="2"/>
      <x v="1"/>
    </i>
    <i>
      <x v="52"/>
      <x v="519"/>
      <x v="2"/>
      <x v="1"/>
      <x/>
      <x v="1"/>
      <x/>
      <x v="1"/>
      <x/>
    </i>
    <i>
      <x v="53"/>
      <x v="294"/>
      <x v="4"/>
      <x/>
      <x v="1"/>
      <x v="1"/>
      <x/>
      <x v="2"/>
      <x v="1"/>
    </i>
    <i>
      <x v="54"/>
      <x v="227"/>
      <x v="4"/>
      <x/>
      <x v="1"/>
      <x v="1"/>
      <x/>
      <x v="2"/>
      <x v="1"/>
    </i>
    <i>
      <x v="55"/>
      <x v="237"/>
      <x v="4"/>
      <x/>
      <x v="1"/>
      <x v="1"/>
      <x/>
      <x v="2"/>
      <x v="1"/>
    </i>
    <i>
      <x v="56"/>
      <x v="267"/>
      <x v="2"/>
      <x/>
      <x v="1"/>
      <x/>
      <x v="1"/>
      <x/>
      <x v="1"/>
    </i>
    <i>
      <x v="57"/>
      <x v="522"/>
      <x v="1"/>
      <x v="1"/>
      <x/>
      <x v="1"/>
      <x/>
      <x/>
      <x v="1"/>
    </i>
    <i>
      <x v="58"/>
      <x v="471"/>
      <x v="4"/>
      <x/>
      <x v="1"/>
      <x v="1"/>
      <x/>
      <x v="2"/>
      <x v="1"/>
    </i>
    <i>
      <x v="59"/>
      <x v="419"/>
      <x v="4"/>
      <x/>
      <x v="1"/>
      <x v="1"/>
      <x/>
      <x v="2"/>
      <x v="1"/>
    </i>
    <i>
      <x v="60"/>
      <x v="388"/>
      <x v="2"/>
      <x/>
      <x v="1"/>
      <x/>
      <x v="1"/>
      <x/>
      <x v="1"/>
    </i>
    <i>
      <x v="61"/>
      <x v="450"/>
      <x v="4"/>
      <x/>
      <x v="1"/>
      <x v="1"/>
      <x/>
      <x v="2"/>
      <x v="1"/>
    </i>
    <i>
      <x v="62"/>
      <x v="185"/>
      <x v="4"/>
      <x/>
      <x v="1"/>
      <x v="1"/>
      <x/>
      <x v="2"/>
      <x v="1"/>
    </i>
    <i>
      <x v="63"/>
      <x v="86"/>
      <x v="1"/>
      <x v="1"/>
      <x v="1"/>
      <x v="1"/>
      <x/>
      <x/>
      <x v="1"/>
    </i>
    <i>
      <x v="64"/>
      <x v="230"/>
      <x v="1"/>
      <x v="1"/>
      <x v="1"/>
      <x v="1"/>
      <x/>
      <x/>
      <x v="1"/>
    </i>
    <i>
      <x v="65"/>
      <x v="248"/>
      <x v="2"/>
      <x/>
      <x v="1"/>
      <x/>
      <x v="1"/>
      <x/>
      <x v="1"/>
    </i>
    <i>
      <x v="66"/>
      <x v="413"/>
      <x v="2"/>
      <x v="1"/>
      <x v="1"/>
      <x/>
      <x v="1"/>
      <x/>
      <x v="1"/>
    </i>
    <i>
      <x v="67"/>
      <x v="472"/>
      <x v="1"/>
      <x v="1"/>
      <x v="1"/>
      <x v="1"/>
      <x/>
      <x/>
      <x v="1"/>
    </i>
    <i>
      <x v="68"/>
      <x v="245"/>
      <x v="2"/>
      <x v="1"/>
      <x v="1"/>
      <x v="1"/>
      <x/>
      <x/>
      <x v="1"/>
    </i>
    <i>
      <x v="69"/>
      <x v="116"/>
      <x v="2"/>
      <x v="1"/>
      <x v="1"/>
      <x v="1"/>
      <x/>
      <x/>
      <x v="1"/>
    </i>
    <i>
      <x v="70"/>
      <x v="101"/>
      <x v="1"/>
      <x v="1"/>
      <x v="1"/>
      <x v="1"/>
      <x/>
      <x/>
      <x v="1"/>
    </i>
    <i>
      <x v="71"/>
      <x v="421"/>
      <x v="2"/>
      <x/>
      <x v="1"/>
      <x/>
      <x v="1"/>
      <x/>
      <x v="1"/>
    </i>
    <i>
      <x v="72"/>
      <x v="9"/>
      <x v="1"/>
      <x v="1"/>
      <x/>
      <x/>
      <x v="1"/>
      <x/>
      <x v="1"/>
    </i>
    <i>
      <x v="73"/>
      <x v="292"/>
      <x v="4"/>
      <x/>
      <x v="1"/>
      <x v="1"/>
      <x/>
      <x v="2"/>
      <x v="1"/>
    </i>
    <i>
      <x v="74"/>
      <x v="463"/>
      <x v="1"/>
      <x v="1"/>
      <x v="1"/>
      <x/>
      <x v="1"/>
      <x/>
      <x v="1"/>
    </i>
    <i>
      <x v="75"/>
      <x v="172"/>
      <x v="1"/>
      <x v="1"/>
      <x v="1"/>
      <x v="1"/>
      <x/>
      <x v="1"/>
      <x/>
    </i>
    <i>
      <x v="76"/>
      <x v="141"/>
      <x v="1"/>
      <x/>
      <x v="1"/>
      <x v="1"/>
      <x/>
      <x/>
      <x v="1"/>
    </i>
    <i>
      <x v="77"/>
      <x v="330"/>
      <x v="1"/>
      <x v="1"/>
      <x v="1"/>
      <x/>
      <x v="1"/>
      <x/>
      <x v="1"/>
    </i>
    <i>
      <x v="78"/>
      <x v="452"/>
      <x v="1"/>
      <x v="1"/>
      <x v="1"/>
      <x/>
      <x v="1"/>
      <x/>
      <x v="1"/>
    </i>
    <i>
      <x v="79"/>
      <x v="194"/>
      <x v="2"/>
      <x v="1"/>
      <x v="1"/>
      <x v="1"/>
      <x/>
      <x v="1"/>
      <x v="1"/>
    </i>
    <i>
      <x v="80"/>
      <x v="302"/>
      <x v="2"/>
      <x v="1"/>
      <x v="1"/>
      <x v="1"/>
      <x/>
      <x/>
      <x v="1"/>
    </i>
    <i>
      <x v="81"/>
      <x v="385"/>
      <x v="2"/>
      <x v="1"/>
      <x v="1"/>
      <x v="1"/>
      <x/>
      <x/>
      <x v="1"/>
    </i>
    <i>
      <x v="82"/>
      <x v="612"/>
      <x v="1"/>
      <x/>
      <x v="1"/>
      <x/>
      <x v="1"/>
      <x/>
      <x v="1"/>
    </i>
    <i>
      <x v="83"/>
      <x v="261"/>
      <x v="1"/>
      <x v="1"/>
      <x v="1"/>
      <x v="1"/>
      <x/>
      <x/>
      <x v="1"/>
    </i>
    <i>
      <x v="84"/>
      <x v="521"/>
      <x v="1"/>
      <x v="1"/>
      <x v="1"/>
      <x v="1"/>
      <x/>
      <x/>
      <x v="1"/>
    </i>
    <i>
      <x v="85"/>
      <x v="189"/>
      <x v="2"/>
      <x v="1"/>
      <x v="1"/>
      <x v="1"/>
      <x/>
      <x/>
      <x v="1"/>
    </i>
    <i>
      <x v="86"/>
      <x v="193"/>
      <x v="2"/>
      <x v="1"/>
      <x/>
      <x v="1"/>
      <x/>
      <x/>
      <x v="1"/>
    </i>
    <i>
      <x v="87"/>
      <x v="216"/>
      <x v="1"/>
      <x v="1"/>
      <x/>
      <x v="1"/>
      <x/>
      <x/>
      <x v="1"/>
    </i>
    <i>
      <x v="88"/>
      <x v="231"/>
      <x v="1"/>
      <x v="1"/>
      <x v="1"/>
      <x v="1"/>
      <x/>
      <x/>
      <x v="1"/>
    </i>
    <i>
      <x v="89"/>
      <x v="214"/>
      <x v="1"/>
      <x v="1"/>
      <x v="1"/>
      <x v="1"/>
      <x/>
      <x/>
      <x v="1"/>
    </i>
    <i>
      <x v="90"/>
      <x v="184"/>
      <x v="1"/>
      <x v="1"/>
      <x v="1"/>
      <x v="1"/>
      <x/>
      <x/>
      <x v="1"/>
    </i>
    <i>
      <x v="91"/>
      <x v="479"/>
      <x v="1"/>
      <x v="1"/>
      <x/>
      <x v="1"/>
      <x/>
      <x v="1"/>
      <x/>
    </i>
    <i>
      <x v="92"/>
      <x v="239"/>
      <x v="2"/>
      <x v="1"/>
      <x v="1"/>
      <x v="1"/>
      <x/>
      <x v="1"/>
      <x v="1"/>
    </i>
    <i>
      <x v="93"/>
      <x v="60"/>
      <x v="1"/>
      <x v="1"/>
      <x v="1"/>
      <x v="1"/>
      <x/>
      <x/>
      <x v="1"/>
    </i>
    <i>
      <x v="94"/>
      <x v="444"/>
      <x v="2"/>
      <x v="1"/>
      <x/>
      <x v="1"/>
      <x/>
      <x v="1"/>
      <x/>
    </i>
    <i>
      <x v="95"/>
      <x v="295"/>
      <x v="1"/>
      <x v="1"/>
      <x v="1"/>
      <x/>
      <x v="1"/>
      <x/>
      <x v="1"/>
    </i>
    <i>
      <x v="96"/>
      <x v="107"/>
      <x v="2"/>
      <x v="1"/>
      <x v="1"/>
      <x/>
      <x v="1"/>
      <x/>
      <x v="1"/>
    </i>
    <i>
      <x v="97"/>
      <x v="592"/>
      <x v="1"/>
      <x/>
      <x v="1"/>
      <x/>
      <x v="1"/>
      <x/>
      <x v="1"/>
    </i>
    <i>
      <x v="98"/>
      <x v="380"/>
      <x v="1"/>
      <x/>
      <x v="1"/>
      <x v="1"/>
      <x/>
      <x/>
      <x v="1"/>
    </i>
    <i>
      <x v="99"/>
      <x v="38"/>
      <x v="2"/>
      <x v="1"/>
      <x v="1"/>
      <x v="1"/>
      <x/>
      <x/>
      <x v="1"/>
    </i>
    <i>
      <x v="100"/>
      <x v="587"/>
      <x v="1"/>
      <x/>
      <x v="1"/>
      <x v="1"/>
      <x/>
      <x/>
      <x v="1"/>
    </i>
    <i>
      <x v="101"/>
      <x v="277"/>
      <x v="2"/>
      <x v="1"/>
      <x v="1"/>
      <x v="1"/>
      <x/>
      <x/>
      <x v="1"/>
    </i>
    <i>
      <x v="102"/>
      <x v="588"/>
      <x v="1"/>
      <x/>
      <x v="1"/>
      <x v="1"/>
      <x/>
      <x v="1"/>
      <x v="1"/>
    </i>
    <i>
      <x v="103"/>
      <x v="226"/>
      <x v="2"/>
      <x/>
      <x v="1"/>
      <x/>
      <x v="1"/>
      <x/>
      <x v="1"/>
    </i>
    <i>
      <x v="104"/>
      <x v="240"/>
      <x v="1"/>
      <x/>
      <x v="1"/>
      <x v="1"/>
      <x/>
      <x/>
      <x v="1"/>
    </i>
    <i>
      <x v="105"/>
      <x v="242"/>
      <x v="2"/>
      <x v="1"/>
      <x v="1"/>
      <x v="1"/>
      <x/>
      <x/>
      <x v="1"/>
    </i>
    <i>
      <x v="106"/>
      <x v="565"/>
      <x v="1"/>
      <x/>
      <x v="1"/>
      <x/>
      <x v="1"/>
      <x/>
      <x v="1"/>
    </i>
    <i>
      <x v="107"/>
      <x v="119"/>
      <x v="1"/>
      <x/>
      <x v="1"/>
      <x v="1"/>
      <x/>
      <x/>
      <x v="1"/>
    </i>
    <i>
      <x v="108"/>
      <x v="566"/>
      <x v="1"/>
      <x/>
      <x v="1"/>
      <x/>
      <x v="1"/>
      <x/>
      <x v="1"/>
    </i>
    <i>
      <x v="109"/>
      <x v="593"/>
      <x v="1"/>
      <x/>
      <x v="1"/>
      <x v="1"/>
      <x/>
      <x/>
      <x v="1"/>
    </i>
    <i>
      <x v="110"/>
      <x v="567"/>
      <x v="1"/>
      <x/>
      <x v="1"/>
      <x/>
      <x v="1"/>
      <x/>
      <x v="1"/>
    </i>
    <i>
      <x v="111"/>
      <x v="568"/>
      <x v="1"/>
      <x/>
      <x v="1"/>
      <x/>
      <x v="1"/>
      <x/>
      <x v="1"/>
    </i>
    <i>
      <x v="112"/>
      <x v="285"/>
      <x v="1"/>
      <x v="1"/>
      <x/>
      <x v="1"/>
      <x/>
      <x v="1"/>
      <x/>
    </i>
    <i>
      <x v="113"/>
      <x v="192"/>
      <x v="1"/>
      <x/>
      <x v="1"/>
      <x v="1"/>
      <x/>
      <x/>
      <x v="1"/>
    </i>
    <i>
      <x v="114"/>
      <x v="418"/>
      <x v="2"/>
      <x v="1"/>
      <x v="1"/>
      <x/>
      <x v="1"/>
      <x/>
      <x v="1"/>
    </i>
    <i>
      <x v="115"/>
      <x v="569"/>
      <x v="1"/>
      <x/>
      <x v="1"/>
      <x/>
      <x v="1"/>
      <x/>
      <x v="1"/>
    </i>
    <i>
      <x v="116"/>
      <x v="79"/>
      <x v="2"/>
      <x v="1"/>
      <x/>
      <x v="1"/>
      <x/>
      <x v="1"/>
      <x/>
    </i>
    <i>
      <x v="117"/>
      <x v="323"/>
      <x v="2"/>
      <x/>
      <x v="1"/>
      <x/>
      <x v="1"/>
      <x/>
      <x v="1"/>
    </i>
    <i>
      <x v="118"/>
      <x v="328"/>
      <x v="2"/>
      <x v="1"/>
      <x v="1"/>
      <x/>
      <x v="1"/>
      <x/>
      <x v="1"/>
    </i>
    <i>
      <x v="119"/>
      <x v="22"/>
      <x v="2"/>
      <x v="1"/>
      <x v="1"/>
      <x v="1"/>
      <x/>
      <x v="1"/>
      <x v="1"/>
    </i>
    <i>
      <x v="120"/>
      <x v="170"/>
      <x v="2"/>
      <x v="1"/>
      <x v="1"/>
      <x/>
      <x v="1"/>
      <x/>
      <x v="1"/>
    </i>
    <i>
      <x v="121"/>
      <x v="258"/>
      <x v="2"/>
      <x v="1"/>
      <x/>
      <x v="1"/>
      <x/>
      <x/>
      <x v="1"/>
    </i>
    <i>
      <x v="122"/>
      <x v="591"/>
      <x v="1"/>
      <x/>
      <x v="1"/>
      <x v="1"/>
      <x/>
      <x/>
      <x v="1"/>
    </i>
    <i>
      <x v="123"/>
      <x v="574"/>
      <x v="2"/>
      <x v="1"/>
      <x v="1"/>
      <x/>
      <x v="1"/>
      <x/>
      <x v="1"/>
    </i>
    <i>
      <x v="124"/>
      <x v="58"/>
      <x/>
      <x v="1"/>
      <x v="1"/>
      <x v="1"/>
      <x/>
      <x/>
      <x v="1"/>
    </i>
    <i>
      <x v="125"/>
      <x v="570"/>
      <x v="1"/>
      <x/>
      <x v="1"/>
      <x/>
      <x v="1"/>
      <x/>
      <x v="1"/>
    </i>
    <i>
      <x v="126"/>
      <x v="589"/>
      <x v="1"/>
      <x/>
      <x v="1"/>
      <x v="1"/>
      <x/>
      <x/>
      <x v="1"/>
    </i>
    <i>
      <x v="127"/>
      <x v="176"/>
      <x v="2"/>
      <x v="1"/>
      <x/>
      <x v="1"/>
      <x/>
      <x v="1"/>
      <x/>
    </i>
    <i>
      <x v="128"/>
      <x v="571"/>
      <x v="1"/>
      <x/>
      <x v="1"/>
      <x/>
      <x v="1"/>
      <x/>
      <x v="1"/>
    </i>
    <i>
      <x v="129"/>
      <x v="284"/>
      <x v="2"/>
      <x v="1"/>
      <x/>
      <x v="1"/>
      <x/>
      <x v="1"/>
      <x v="1"/>
    </i>
    <i>
      <x v="130"/>
      <x v="337"/>
      <x v="4"/>
      <x/>
      <x v="1"/>
      <x/>
      <x v="1"/>
      <x/>
      <x v="1"/>
    </i>
    <i>
      <x v="131"/>
      <x v="115"/>
      <x v="2"/>
      <x v="1"/>
      <x v="1"/>
      <x v="1"/>
      <x/>
      <x/>
      <x v="1"/>
    </i>
    <i>
      <x v="132"/>
      <x v="507"/>
      <x v="2"/>
      <x v="1"/>
      <x/>
      <x v="1"/>
      <x/>
      <x v="1"/>
      <x v="1"/>
    </i>
    <i>
      <x v="133"/>
      <x v="508"/>
      <x v="2"/>
      <x v="1"/>
      <x v="1"/>
      <x v="1"/>
      <x/>
      <x/>
      <x v="1"/>
    </i>
    <i>
      <x v="134"/>
      <x v="50"/>
      <x v="2"/>
      <x v="1"/>
      <x v="1"/>
      <x v="1"/>
      <x/>
      <x v="1"/>
      <x/>
    </i>
    <i>
      <x v="135"/>
      <x v="428"/>
      <x v="2"/>
      <x v="1"/>
      <x v="1"/>
      <x v="1"/>
      <x/>
      <x v="1"/>
      <x/>
    </i>
    <i>
      <x v="136"/>
      <x v="509"/>
      <x v="2"/>
      <x v="1"/>
      <x/>
      <x v="1"/>
      <x/>
      <x v="1"/>
      <x/>
    </i>
    <i>
      <x v="137"/>
      <x v="442"/>
      <x v="2"/>
      <x v="1"/>
      <x v="1"/>
      <x v="1"/>
      <x/>
      <x v="1"/>
      <x v="1"/>
    </i>
    <i>
      <x v="138"/>
      <x v="443"/>
      <x v="2"/>
      <x v="1"/>
      <x v="1"/>
      <x v="1"/>
      <x/>
      <x/>
      <x v="1"/>
    </i>
    <i>
      <x v="139"/>
      <x v="69"/>
      <x v="1"/>
      <x v="1"/>
      <x v="1"/>
      <x v="1"/>
      <x/>
      <x/>
      <x v="1"/>
    </i>
    <i>
      <x v="140"/>
      <x v="370"/>
      <x v="4"/>
      <x/>
      <x v="1"/>
      <x v="1"/>
      <x/>
      <x v="2"/>
      <x v="1"/>
    </i>
    <i>
      <x v="141"/>
      <x v="362"/>
      <x v="4"/>
      <x/>
      <x v="1"/>
      <x v="1"/>
      <x/>
      <x v="2"/>
      <x v="1"/>
    </i>
    <i>
      <x v="142"/>
      <x v="476"/>
      <x v="4"/>
      <x/>
      <x v="1"/>
      <x v="1"/>
      <x/>
      <x v="2"/>
      <x v="1"/>
    </i>
    <i>
      <x v="143"/>
      <x v="315"/>
      <x v="1"/>
      <x v="1"/>
      <x v="1"/>
      <x v="1"/>
      <x/>
      <x v="1"/>
      <x v="1"/>
    </i>
    <i>
      <x v="144"/>
      <x v="341"/>
      <x v="4"/>
      <x/>
      <x v="1"/>
      <x v="1"/>
      <x/>
      <x v="2"/>
      <x v="1"/>
    </i>
    <i>
      <x v="145"/>
      <x v="572"/>
      <x v="1"/>
      <x/>
      <x v="1"/>
      <x/>
      <x v="1"/>
      <x/>
      <x v="1"/>
    </i>
    <i>
      <x v="146"/>
      <x v="371"/>
      <x/>
      <x v="1"/>
      <x v="1"/>
      <x v="1"/>
      <x/>
      <x/>
      <x v="1"/>
    </i>
    <i>
      <x v="147"/>
      <x v="620"/>
      <x v="2"/>
      <x v="1"/>
      <x v="1"/>
      <x v="1"/>
      <x/>
      <x v="1"/>
      <x/>
    </i>
    <i>
      <x v="148"/>
      <x v="29"/>
      <x v="1"/>
      <x/>
      <x v="1"/>
      <x v="1"/>
      <x/>
      <x/>
      <x v="1"/>
    </i>
    <i>
      <x v="149"/>
      <x v="45"/>
      <x v="2"/>
      <x/>
      <x v="1"/>
      <x v="1"/>
      <x/>
      <x/>
      <x v="1"/>
    </i>
    <i>
      <x v="150"/>
      <x v="46"/>
      <x v="2"/>
      <x/>
      <x v="1"/>
      <x v="1"/>
      <x/>
      <x/>
      <x v="1"/>
    </i>
    <i>
      <x v="151"/>
      <x v="65"/>
      <x v="4"/>
      <x/>
      <x v="1"/>
      <x v="1"/>
      <x/>
      <x v="2"/>
      <x v="1"/>
    </i>
    <i>
      <x v="152"/>
      <x v="477"/>
      <x v="4"/>
      <x/>
      <x v="1"/>
      <x v="1"/>
      <x/>
      <x v="2"/>
      <x v="1"/>
    </i>
    <i>
      <x v="153"/>
      <x v="218"/>
      <x v="2"/>
      <x v="1"/>
      <x/>
      <x v="1"/>
      <x/>
      <x v="1"/>
      <x v="1"/>
    </i>
    <i>
      <x v="154"/>
      <x v="53"/>
      <x v="2"/>
      <x/>
      <x v="1"/>
      <x v="1"/>
      <x/>
      <x v="1"/>
      <x/>
    </i>
    <i>
      <x v="155"/>
      <x v="44"/>
      <x v="2"/>
      <x v="1"/>
      <x v="1"/>
      <x v="1"/>
      <x/>
      <x v="1"/>
      <x/>
    </i>
    <i>
      <x v="156"/>
      <x v="32"/>
      <x v="1"/>
      <x v="1"/>
      <x v="1"/>
      <x v="1"/>
      <x/>
      <x/>
      <x v="1"/>
    </i>
    <i>
      <x v="157"/>
      <x v="389"/>
      <x v="2"/>
      <x v="1"/>
      <x v="1"/>
      <x/>
      <x v="1"/>
      <x/>
      <x v="1"/>
    </i>
    <i>
      <x v="158"/>
      <x v="584"/>
      <x v="1"/>
      <x/>
      <x v="1"/>
      <x v="1"/>
      <x/>
      <x/>
      <x v="1"/>
    </i>
    <i>
      <x v="159"/>
      <x v="48"/>
      <x v="1"/>
      <x/>
      <x v="1"/>
      <x v="1"/>
      <x/>
      <x/>
      <x v="1"/>
    </i>
    <i>
      <x v="160"/>
      <x v="241"/>
      <x v="2"/>
      <x v="1"/>
      <x v="1"/>
      <x v="1"/>
      <x/>
      <x v="1"/>
      <x v="1"/>
    </i>
    <i>
      <x v="161"/>
      <x v="287"/>
      <x v="1"/>
      <x/>
      <x v="1"/>
      <x v="1"/>
      <x/>
      <x/>
      <x v="1"/>
    </i>
    <i>
      <x v="162"/>
      <x v="83"/>
      <x v="4"/>
      <x/>
      <x v="1"/>
      <x v="1"/>
      <x/>
      <x v="2"/>
      <x v="1"/>
    </i>
    <i>
      <x v="163"/>
      <x v="573"/>
      <x v="1"/>
      <x/>
      <x v="1"/>
      <x/>
      <x v="1"/>
      <x/>
      <x v="1"/>
    </i>
    <i>
      <x v="164"/>
      <x v="322"/>
      <x v="2"/>
      <x/>
      <x v="1"/>
      <x v="1"/>
      <x/>
      <x/>
      <x v="1"/>
    </i>
    <i>
      <x v="165"/>
      <x v="553"/>
      <x v="1"/>
      <x v="1"/>
      <x/>
      <x v="1"/>
      <x/>
      <x/>
      <x v="1"/>
    </i>
    <i>
      <x v="166"/>
      <x v="356"/>
      <x v="4"/>
      <x/>
      <x v="1"/>
      <x v="1"/>
      <x/>
      <x v="2"/>
      <x v="1"/>
    </i>
    <i>
      <x v="167"/>
      <x v="510"/>
      <x v="2"/>
      <x v="1"/>
      <x v="1"/>
      <x v="1"/>
      <x/>
      <x v="1"/>
      <x/>
    </i>
    <i>
      <x v="168"/>
      <x v="197"/>
      <x v="2"/>
      <x v="1"/>
      <x v="1"/>
      <x v="1"/>
      <x/>
      <x/>
      <x v="1"/>
    </i>
    <i>
      <x v="169"/>
      <x v="529"/>
      <x v="1"/>
      <x/>
      <x v="1"/>
      <x/>
      <x v="1"/>
      <x/>
      <x v="1"/>
    </i>
    <i>
      <x v="170"/>
      <x v="528"/>
      <x v="1"/>
      <x v="1"/>
      <x v="1"/>
      <x v="1"/>
      <x/>
      <x/>
      <x v="1"/>
    </i>
    <i>
      <x v="171"/>
      <x v="583"/>
      <x v="1"/>
      <x/>
      <x v="1"/>
      <x v="1"/>
      <x/>
      <x/>
      <x v="1"/>
    </i>
    <i>
      <x v="172"/>
      <x v="109"/>
      <x v="1"/>
      <x/>
      <x v="1"/>
      <x v="1"/>
      <x/>
      <x/>
      <x v="1"/>
    </i>
    <i>
      <x v="173"/>
      <x v="27"/>
      <x v="1"/>
      <x/>
      <x v="1"/>
      <x/>
      <x v="1"/>
      <x/>
      <x v="1"/>
    </i>
    <i>
      <x v="174"/>
      <x v="128"/>
      <x v="4"/>
      <x/>
      <x v="1"/>
      <x v="1"/>
      <x/>
      <x v="2"/>
      <x v="1"/>
    </i>
    <i>
      <x v="175"/>
      <x v="17"/>
      <x/>
      <x v="1"/>
      <x/>
      <x v="1"/>
      <x/>
      <x v="1"/>
      <x/>
    </i>
    <i>
      <x v="176"/>
      <x v="221"/>
      <x v="2"/>
      <x v="1"/>
      <x/>
      <x v="1"/>
      <x/>
      <x v="1"/>
      <x v="1"/>
    </i>
    <i>
      <x v="177"/>
      <x v="18"/>
      <x v="1"/>
      <x/>
      <x v="1"/>
      <x/>
      <x v="1"/>
      <x/>
      <x v="1"/>
    </i>
    <i>
      <x v="178"/>
      <x v="3"/>
      <x v="2"/>
      <x/>
      <x v="1"/>
      <x v="1"/>
      <x/>
      <x/>
      <x v="1"/>
    </i>
    <i>
      <x v="179"/>
      <x v="4"/>
      <x v="2"/>
      <x/>
      <x v="1"/>
      <x v="1"/>
      <x/>
      <x/>
      <x v="1"/>
    </i>
    <i>
      <x v="180"/>
      <x v="2"/>
      <x v="2"/>
      <x v="1"/>
      <x v="1"/>
      <x v="1"/>
      <x/>
      <x v="1"/>
      <x v="1"/>
    </i>
    <i>
      <x v="181"/>
      <x v="376"/>
      <x v="2"/>
      <x v="1"/>
      <x v="1"/>
      <x v="1"/>
      <x/>
      <x/>
      <x v="1"/>
    </i>
    <i>
      <x v="182"/>
      <x v="375"/>
      <x v="2"/>
      <x v="1"/>
      <x v="1"/>
      <x v="1"/>
      <x/>
      <x/>
      <x v="1"/>
    </i>
    <i>
      <x v="183"/>
      <x v="374"/>
      <x v="1"/>
      <x/>
      <x v="1"/>
      <x v="1"/>
      <x/>
      <x/>
      <x v="1"/>
    </i>
    <i>
      <x v="184"/>
      <x v="177"/>
      <x/>
      <x v="1"/>
      <x/>
      <x/>
      <x v="1"/>
      <x v="1"/>
      <x v="1"/>
    </i>
    <i>
      <x v="185"/>
      <x v="387"/>
      <x v="2"/>
      <x v="1"/>
      <x v="1"/>
      <x v="1"/>
      <x/>
      <x/>
      <x v="1"/>
    </i>
    <i>
      <x v="186"/>
      <x v="307"/>
      <x v="2"/>
      <x v="1"/>
      <x v="1"/>
      <x/>
      <x v="1"/>
      <x/>
      <x v="1"/>
    </i>
    <i>
      <x v="187"/>
      <x v="279"/>
      <x/>
      <x v="1"/>
      <x v="1"/>
      <x v="1"/>
      <x/>
      <x/>
      <x v="1"/>
    </i>
    <i>
      <x v="188"/>
      <x v="102"/>
      <x v="1"/>
      <x/>
      <x v="1"/>
      <x v="1"/>
      <x/>
      <x v="1"/>
      <x/>
    </i>
    <i>
      <x v="189"/>
      <x v="92"/>
      <x v="1"/>
      <x v="1"/>
      <x v="1"/>
      <x v="1"/>
      <x/>
      <x v="1"/>
      <x v="1"/>
    </i>
    <i>
      <x v="190"/>
      <x v="220"/>
      <x v="2"/>
      <x/>
      <x v="1"/>
      <x v="1"/>
      <x/>
      <x/>
      <x v="1"/>
    </i>
    <i>
      <x v="191"/>
      <x v="393"/>
      <x v="2"/>
      <x v="1"/>
      <x v="1"/>
      <x/>
      <x v="1"/>
      <x/>
      <x v="1"/>
    </i>
    <i>
      <x v="192"/>
      <x v="358"/>
      <x v="2"/>
      <x v="1"/>
      <x v="1"/>
      <x/>
      <x v="1"/>
      <x/>
      <x v="1"/>
    </i>
    <i>
      <x v="193"/>
      <x v="458"/>
      <x v="2"/>
      <x v="1"/>
      <x v="1"/>
      <x v="1"/>
      <x/>
      <x/>
      <x v="1"/>
    </i>
    <i>
      <x v="194"/>
      <x v="94"/>
      <x v="1"/>
      <x v="1"/>
      <x v="1"/>
      <x v="1"/>
      <x/>
      <x/>
      <x v="1"/>
    </i>
    <i>
      <x v="195"/>
      <x v="39"/>
      <x v="2"/>
      <x v="1"/>
      <x v="1"/>
      <x v="1"/>
      <x/>
      <x v="1"/>
      <x v="1"/>
    </i>
    <i>
      <x v="196"/>
      <x v="190"/>
      <x v="2"/>
      <x v="1"/>
      <x v="1"/>
      <x v="1"/>
      <x/>
      <x v="1"/>
      <x v="1"/>
    </i>
    <i>
      <x v="197"/>
      <x v="204"/>
      <x/>
      <x v="1"/>
      <x v="1"/>
      <x/>
      <x v="1"/>
      <x/>
      <x v="1"/>
    </i>
    <i>
      <x v="198"/>
      <x v="290"/>
      <x v="4"/>
      <x/>
      <x v="1"/>
      <x v="1"/>
      <x/>
      <x v="2"/>
      <x v="1"/>
    </i>
    <i>
      <x v="199"/>
      <x v="41"/>
      <x v="2"/>
      <x/>
      <x v="1"/>
      <x v="1"/>
      <x/>
      <x/>
      <x v="1"/>
    </i>
    <i>
      <x v="200"/>
      <x v="401"/>
      <x v="4"/>
      <x/>
      <x v="1"/>
      <x v="1"/>
      <x/>
      <x v="2"/>
      <x v="1"/>
    </i>
    <i>
      <x v="201"/>
      <x v="448"/>
      <x v="2"/>
      <x v="1"/>
      <x v="1"/>
      <x v="1"/>
      <x/>
      <x/>
      <x v="1"/>
    </i>
    <i>
      <x v="202"/>
      <x v="410"/>
      <x v="4"/>
      <x/>
      <x v="1"/>
      <x v="1"/>
      <x/>
      <x v="2"/>
      <x v="1"/>
    </i>
    <i>
      <x v="203"/>
      <x v="466"/>
      <x v="2"/>
      <x v="1"/>
      <x/>
      <x v="1"/>
      <x/>
      <x v="1"/>
      <x/>
    </i>
    <i>
      <x v="204"/>
      <x v="40"/>
      <x v="2"/>
      <x/>
      <x v="1"/>
      <x v="1"/>
      <x/>
      <x/>
      <x v="1"/>
    </i>
    <i>
      <x v="205"/>
      <x v="437"/>
      <x v="2"/>
      <x v="1"/>
      <x v="1"/>
      <x/>
      <x v="1"/>
      <x/>
      <x v="1"/>
    </i>
    <i>
      <x v="206"/>
      <x v="123"/>
      <x v="2"/>
      <x v="1"/>
      <x/>
      <x v="1"/>
      <x/>
      <x v="1"/>
      <x/>
    </i>
    <i>
      <x v="207"/>
      <x v="120"/>
      <x v="2"/>
      <x v="1"/>
      <x v="1"/>
      <x/>
      <x v="1"/>
      <x/>
      <x v="1"/>
    </i>
    <i>
      <x v="208"/>
      <x v="411"/>
      <x v="2"/>
      <x/>
      <x v="1"/>
      <x/>
      <x v="1"/>
      <x/>
      <x v="1"/>
    </i>
    <i>
      <x v="209"/>
      <x v="482"/>
      <x/>
      <x v="1"/>
      <x/>
      <x v="1"/>
      <x/>
      <x v="1"/>
      <x/>
    </i>
    <i>
      <x v="210"/>
      <x v="73"/>
      <x v="1"/>
      <x/>
      <x v="1"/>
      <x v="1"/>
      <x/>
      <x/>
      <x v="1"/>
    </i>
    <i>
      <x v="211"/>
      <x v="347"/>
      <x v="4"/>
      <x/>
      <x v="1"/>
      <x v="1"/>
      <x/>
      <x v="2"/>
      <x v="1"/>
    </i>
    <i>
      <x v="212"/>
      <x v="426"/>
      <x v="2"/>
      <x v="1"/>
      <x v="1"/>
      <x/>
      <x v="1"/>
      <x/>
      <x v="1"/>
    </i>
    <i>
      <x v="213"/>
      <x v="112"/>
      <x v="4"/>
      <x/>
      <x v="1"/>
      <x v="1"/>
      <x/>
      <x v="2"/>
      <x v="1"/>
    </i>
    <i>
      <x v="214"/>
      <x v="412"/>
      <x v="2"/>
      <x v="1"/>
      <x v="1"/>
      <x/>
      <x v="1"/>
      <x/>
      <x v="1"/>
    </i>
    <i>
      <x v="215"/>
      <x v="165"/>
      <x v="2"/>
      <x v="1"/>
      <x v="1"/>
      <x/>
      <x v="1"/>
      <x/>
      <x v="1"/>
    </i>
    <i>
      <x v="216"/>
      <x v="438"/>
      <x v="4"/>
      <x/>
      <x v="1"/>
      <x v="1"/>
      <x/>
      <x v="2"/>
      <x v="1"/>
    </i>
    <i>
      <x v="217"/>
      <x v="324"/>
      <x v="2"/>
      <x v="1"/>
      <x v="1"/>
      <x v="1"/>
      <x/>
      <x/>
      <x v="1"/>
    </i>
    <i>
      <x v="218"/>
      <x v="325"/>
      <x v="2"/>
      <x v="1"/>
      <x v="1"/>
      <x v="1"/>
      <x/>
      <x/>
      <x v="1"/>
    </i>
    <i>
      <x v="219"/>
      <x v="459"/>
      <x v="4"/>
      <x/>
      <x v="1"/>
      <x v="1"/>
      <x/>
      <x v="2"/>
      <x v="1"/>
    </i>
    <i>
      <x v="220"/>
      <x v="37"/>
      <x v="4"/>
      <x/>
      <x v="1"/>
      <x v="1"/>
      <x/>
      <x v="2"/>
      <x v="1"/>
    </i>
    <i>
      <x v="221"/>
      <x v="534"/>
      <x v="4"/>
      <x/>
      <x v="1"/>
      <x v="1"/>
      <x/>
      <x v="2"/>
      <x v="1"/>
    </i>
    <i>
      <x v="222"/>
      <x v="399"/>
      <x v="2"/>
      <x v="1"/>
      <x/>
      <x v="1"/>
      <x/>
      <x v="1"/>
      <x/>
    </i>
    <i>
      <x v="223"/>
      <x v="398"/>
      <x v="2"/>
      <x/>
      <x v="1"/>
      <x v="1"/>
      <x/>
      <x/>
      <x v="1"/>
    </i>
    <i>
      <x v="224"/>
      <x v="377"/>
      <x v="4"/>
      <x/>
      <x v="1"/>
      <x v="1"/>
      <x/>
      <x v="2"/>
      <x v="1"/>
    </i>
    <i>
      <x v="225"/>
      <x v="213"/>
      <x v="1"/>
      <x v="1"/>
      <x v="1"/>
      <x v="1"/>
      <x/>
      <x v="1"/>
      <x v="1"/>
    </i>
    <i>
      <x v="226"/>
      <x v="52"/>
      <x v="1"/>
      <x v="1"/>
      <x v="1"/>
      <x v="1"/>
      <x/>
      <x/>
      <x v="1"/>
    </i>
    <i>
      <x v="227"/>
      <x v="51"/>
      <x v="2"/>
      <x/>
      <x v="1"/>
      <x v="1"/>
      <x/>
      <x/>
      <x v="1"/>
    </i>
    <i>
      <x v="228"/>
      <x v="392"/>
      <x v="2"/>
      <x/>
      <x v="1"/>
      <x/>
      <x v="1"/>
      <x/>
      <x v="1"/>
    </i>
    <i>
      <x v="229"/>
      <x v="446"/>
      <x v="2"/>
      <x v="1"/>
      <x v="1"/>
      <x v="1"/>
      <x/>
      <x/>
      <x v="1"/>
    </i>
    <i>
      <x v="230"/>
      <x v="81"/>
      <x v="2"/>
      <x v="1"/>
      <x/>
      <x v="1"/>
      <x/>
      <x v="1"/>
      <x v="1"/>
    </i>
    <i>
      <x v="231"/>
      <x v="333"/>
      <x v="4"/>
      <x/>
      <x v="1"/>
      <x v="1"/>
      <x/>
      <x v="2"/>
      <x v="1"/>
    </i>
    <i>
      <x v="232"/>
      <x v="304"/>
      <x v="2"/>
      <x v="1"/>
      <x v="1"/>
      <x/>
      <x v="1"/>
      <x/>
      <x v="1"/>
    </i>
    <i>
      <x v="233"/>
      <x v="183"/>
      <x v="2"/>
      <x/>
      <x v="1"/>
      <x/>
      <x v="1"/>
      <x/>
      <x v="1"/>
    </i>
    <i>
      <x v="234"/>
      <x v="75"/>
      <x v="1"/>
      <x/>
      <x v="1"/>
      <x v="1"/>
      <x/>
      <x/>
      <x v="1"/>
    </i>
    <i>
      <x v="235"/>
      <x v="409"/>
      <x v="4"/>
      <x/>
      <x v="1"/>
      <x v="1"/>
      <x/>
      <x v="2"/>
      <x v="1"/>
    </i>
    <i>
      <x v="236"/>
      <x v="490"/>
      <x v="2"/>
      <x v="1"/>
      <x/>
      <x v="1"/>
      <x/>
      <x v="1"/>
      <x v="1"/>
    </i>
    <i>
      <x v="237"/>
      <x v="319"/>
      <x v="2"/>
      <x v="1"/>
      <x v="1"/>
      <x v="1"/>
      <x/>
      <x/>
      <x v="1"/>
    </i>
    <i>
      <x v="238"/>
      <x v="68"/>
      <x v="1"/>
      <x/>
      <x v="1"/>
      <x v="1"/>
      <x/>
      <x/>
      <x v="1"/>
    </i>
    <i>
      <x v="239"/>
      <x v="99"/>
      <x v="2"/>
      <x v="1"/>
      <x v="1"/>
      <x v="1"/>
      <x/>
      <x/>
      <x v="1"/>
    </i>
    <i>
      <x v="240"/>
      <x v="95"/>
      <x v="2"/>
      <x v="1"/>
      <x v="1"/>
      <x v="1"/>
      <x/>
      <x v="1"/>
      <x v="1"/>
    </i>
    <i>
      <x v="241"/>
      <x v="481"/>
      <x v="2"/>
      <x v="1"/>
      <x v="1"/>
      <x v="1"/>
      <x/>
      <x/>
      <x v="1"/>
    </i>
    <i>
      <x v="242"/>
      <x v="367"/>
      <x v="1"/>
      <x/>
      <x v="1"/>
      <x v="1"/>
      <x/>
      <x/>
      <x v="1"/>
    </i>
    <i>
      <x v="243"/>
      <x v="251"/>
      <x v="4"/>
      <x/>
      <x v="1"/>
      <x v="1"/>
      <x/>
      <x v="2"/>
      <x v="1"/>
    </i>
    <i>
      <x v="244"/>
      <x v="157"/>
      <x v="1"/>
      <x/>
      <x v="1"/>
      <x v="1"/>
      <x/>
      <x/>
      <x v="1"/>
    </i>
    <i>
      <x v="245"/>
      <x v="151"/>
      <x v="2"/>
      <x/>
      <x v="1"/>
      <x/>
      <x v="1"/>
      <x/>
      <x v="1"/>
    </i>
    <i>
      <x v="246"/>
      <x v="155"/>
      <x v="2"/>
      <x v="1"/>
      <x v="1"/>
      <x/>
      <x v="1"/>
      <x/>
      <x v="1"/>
    </i>
    <i>
      <x v="247"/>
      <x v="512"/>
      <x v="1"/>
      <x v="1"/>
      <x/>
      <x v="1"/>
      <x/>
      <x v="1"/>
      <x v="1"/>
    </i>
    <i>
      <x v="248"/>
      <x v="210"/>
      <x v="2"/>
      <x v="1"/>
      <x v="1"/>
      <x v="1"/>
      <x/>
      <x/>
      <x v="1"/>
    </i>
    <i>
      <x v="249"/>
      <x v="57"/>
      <x v="4"/>
      <x/>
      <x v="1"/>
      <x v="1"/>
      <x/>
      <x v="2"/>
      <x v="1"/>
    </i>
    <i>
      <x v="250"/>
      <x v="321"/>
      <x v="4"/>
      <x/>
      <x v="1"/>
      <x v="1"/>
      <x/>
      <x v="2"/>
      <x v="1"/>
    </i>
    <i>
      <x v="251"/>
      <x v="366"/>
      <x v="1"/>
      <x v="1"/>
      <x v="1"/>
      <x v="1"/>
      <x/>
      <x v="1"/>
      <x v="1"/>
    </i>
    <i>
      <x v="252"/>
      <x v="223"/>
      <x v="4"/>
      <x/>
      <x v="1"/>
      <x v="1"/>
      <x/>
      <x v="2"/>
      <x v="1"/>
    </i>
    <i>
      <x v="253"/>
      <x v="67"/>
      <x v="2"/>
      <x v="1"/>
      <x/>
      <x v="1"/>
      <x/>
      <x/>
      <x v="1"/>
    </i>
    <i>
      <x v="254"/>
      <x v="335"/>
      <x v="1"/>
      <x/>
      <x v="1"/>
      <x v="1"/>
      <x/>
      <x/>
      <x v="1"/>
    </i>
    <i>
      <x v="255"/>
      <x v="108"/>
      <x v="4"/>
      <x/>
      <x v="1"/>
      <x v="1"/>
      <x/>
      <x v="2"/>
      <x v="1"/>
    </i>
    <i>
      <x v="256"/>
      <x v="78"/>
      <x v="4"/>
      <x/>
      <x v="1"/>
      <x v="1"/>
      <x/>
      <x v="2"/>
      <x v="1"/>
    </i>
    <i>
      <x v="257"/>
      <x v="110"/>
      <x v="1"/>
      <x/>
      <x v="1"/>
      <x v="1"/>
      <x/>
      <x/>
      <x v="1"/>
    </i>
    <i>
      <x v="258"/>
      <x v="59"/>
      <x v="4"/>
      <x/>
      <x v="1"/>
      <x v="1"/>
      <x/>
      <x v="2"/>
      <x v="1"/>
    </i>
    <i>
      <x v="259"/>
      <x v="299"/>
      <x v="1"/>
      <x v="1"/>
      <x/>
      <x v="1"/>
      <x/>
      <x/>
      <x v="1"/>
    </i>
    <i>
      <x v="260"/>
      <x v="31"/>
      <x v="1"/>
      <x v="1"/>
      <x v="1"/>
      <x v="1"/>
      <x/>
      <x v="1"/>
      <x v="1"/>
    </i>
    <i>
      <x v="261"/>
      <x v="265"/>
      <x v="1"/>
      <x v="1"/>
      <x v="1"/>
      <x v="1"/>
      <x/>
      <x/>
      <x v="1"/>
    </i>
    <i>
      <x v="262"/>
      <x v="334"/>
      <x v="2"/>
      <x v="1"/>
      <x v="1"/>
      <x v="1"/>
      <x/>
      <x v="1"/>
      <x/>
    </i>
    <i>
      <x v="263"/>
      <x v="77"/>
      <x v="1"/>
      <x v="1"/>
      <x/>
      <x v="1"/>
      <x/>
      <x/>
      <x v="1"/>
    </i>
    <i>
      <x v="264"/>
      <x v="397"/>
      <x v="1"/>
      <x v="1"/>
      <x/>
      <x v="1"/>
      <x/>
      <x v="1"/>
      <x v="1"/>
    </i>
    <i>
      <x v="265"/>
      <x v="34"/>
      <x v="1"/>
      <x v="1"/>
      <x/>
      <x/>
      <x v="1"/>
      <x/>
      <x v="1"/>
    </i>
    <i>
      <x v="266"/>
      <x v="305"/>
      <x v="2"/>
      <x v="1"/>
      <x v="1"/>
      <x v="1"/>
      <x/>
      <x/>
      <x v="1"/>
    </i>
    <i>
      <x v="267"/>
      <x v="473"/>
      <x v="1"/>
      <x v="1"/>
      <x v="1"/>
      <x/>
      <x v="1"/>
      <x/>
      <x v="1"/>
    </i>
    <i>
      <x v="268"/>
      <x v="465"/>
      <x v="2"/>
      <x v="1"/>
      <x v="1"/>
      <x v="1"/>
      <x/>
      <x v="1"/>
      <x v="1"/>
    </i>
    <i>
      <x v="269"/>
      <x v="56"/>
      <x v="2"/>
      <x v="1"/>
      <x v="1"/>
      <x v="1"/>
      <x/>
      <x v="1"/>
      <x v="1"/>
    </i>
    <i>
      <x v="270"/>
      <x v="434"/>
      <x v="1"/>
      <x v="1"/>
      <x v="1"/>
      <x v="1"/>
      <x/>
      <x v="1"/>
      <x/>
    </i>
    <i>
      <x v="271"/>
      <x v="406"/>
      <x v="1"/>
      <x v="1"/>
      <x/>
      <x v="1"/>
      <x/>
      <x v="1"/>
      <x/>
    </i>
    <i>
      <x v="272"/>
      <x v="88"/>
      <x v="1"/>
      <x/>
      <x v="1"/>
      <x/>
      <x v="1"/>
      <x/>
      <x v="1"/>
    </i>
    <i>
      <x v="273"/>
      <x v="21"/>
      <x v="1"/>
      <x/>
      <x v="1"/>
      <x v="1"/>
      <x/>
      <x/>
      <x v="1"/>
    </i>
    <i>
      <x v="274"/>
      <x v="20"/>
      <x v="1"/>
      <x/>
      <x v="1"/>
      <x v="1"/>
      <x/>
      <x/>
      <x v="1"/>
    </i>
    <i>
      <x v="275"/>
      <x v="575"/>
      <x v="1"/>
      <x/>
      <x v="1"/>
      <x/>
      <x v="1"/>
      <x/>
      <x v="1"/>
    </i>
    <i>
      <x v="276"/>
      <x v="576"/>
      <x v="1"/>
      <x/>
      <x v="1"/>
      <x/>
      <x v="1"/>
      <x/>
      <x v="1"/>
    </i>
    <i>
      <x v="277"/>
      <x v="577"/>
      <x v="1"/>
      <x/>
      <x v="1"/>
      <x/>
      <x v="1"/>
      <x/>
      <x v="1"/>
    </i>
    <i>
      <x v="278"/>
      <x v="286"/>
      <x v="2"/>
      <x/>
      <x v="1"/>
      <x/>
      <x v="1"/>
      <x/>
      <x v="1"/>
    </i>
    <i>
      <x v="279"/>
      <x/>
      <x v="2"/>
      <x v="1"/>
      <x v="1"/>
      <x/>
      <x v="1"/>
      <x/>
      <x v="1"/>
    </i>
    <i>
      <x v="280"/>
      <x v="281"/>
      <x v="1"/>
      <x/>
      <x v="1"/>
      <x v="1"/>
      <x/>
      <x/>
      <x v="1"/>
    </i>
    <i>
      <x v="281"/>
      <x v="578"/>
      <x v="1"/>
      <x/>
      <x v="1"/>
      <x/>
      <x v="1"/>
      <x/>
      <x v="1"/>
    </i>
    <i>
      <x v="282"/>
      <x v="142"/>
      <x v="2"/>
      <x/>
      <x v="1"/>
      <x/>
      <x v="1"/>
      <x/>
      <x v="1"/>
    </i>
    <i>
      <x v="283"/>
      <x v="166"/>
      <x v="2"/>
      <x/>
      <x v="1"/>
      <x/>
      <x v="1"/>
      <x/>
      <x v="1"/>
    </i>
    <i>
      <x v="284"/>
      <x v="168"/>
      <x v="2"/>
      <x v="1"/>
      <x v="1"/>
      <x/>
      <x v="1"/>
      <x/>
      <x v="1"/>
    </i>
    <i>
      <x v="285"/>
      <x v="579"/>
      <x v="1"/>
      <x/>
      <x v="1"/>
      <x/>
      <x v="1"/>
      <x/>
      <x v="1"/>
    </i>
    <i>
      <x v="286"/>
      <x v="320"/>
      <x v="2"/>
      <x/>
      <x v="1"/>
      <x/>
      <x v="1"/>
      <x/>
      <x v="1"/>
    </i>
    <i>
      <x v="287"/>
      <x v="580"/>
      <x v="1"/>
      <x/>
      <x v="1"/>
      <x/>
      <x v="1"/>
      <x/>
      <x v="1"/>
    </i>
    <i>
      <x v="288"/>
      <x v="136"/>
      <x v="1"/>
      <x/>
      <x v="1"/>
      <x/>
      <x v="1"/>
      <x/>
      <x v="1"/>
    </i>
    <i>
      <x v="289"/>
      <x v="488"/>
      <x v="1"/>
      <x v="1"/>
      <x/>
      <x v="1"/>
      <x/>
      <x v="1"/>
      <x/>
    </i>
    <i>
      <x v="290"/>
      <x v="581"/>
      <x v="1"/>
      <x/>
      <x v="1"/>
      <x/>
      <x v="1"/>
      <x/>
      <x v="1"/>
    </i>
    <i>
      <x v="291"/>
      <x v="145"/>
      <x v="1"/>
      <x/>
      <x v="1"/>
      <x v="1"/>
      <x/>
      <x/>
      <x v="1"/>
    </i>
    <i>
      <x v="292"/>
      <x v="154"/>
      <x v="2"/>
      <x v="1"/>
      <x v="1"/>
      <x v="1"/>
      <x/>
      <x/>
      <x v="1"/>
    </i>
    <i>
      <x v="293"/>
      <x v="167"/>
      <x v="1"/>
      <x/>
      <x v="1"/>
      <x/>
      <x v="1"/>
      <x/>
      <x v="1"/>
    </i>
    <i>
      <x v="294"/>
      <x v="11"/>
      <x v="2"/>
      <x v="1"/>
      <x v="1"/>
      <x/>
      <x v="1"/>
      <x/>
      <x v="1"/>
    </i>
    <i>
      <x v="295"/>
      <x v="1"/>
      <x v="1"/>
      <x/>
      <x v="1"/>
      <x/>
      <x v="1"/>
      <x/>
      <x v="1"/>
    </i>
    <i>
      <x v="296"/>
      <x v="429"/>
      <x v="2"/>
      <x v="1"/>
      <x/>
      <x v="1"/>
      <x/>
      <x v="1"/>
      <x/>
    </i>
    <i>
      <x v="297"/>
      <x v="460"/>
      <x v="2"/>
      <x v="1"/>
      <x v="1"/>
      <x v="1"/>
      <x/>
      <x/>
      <x v="1"/>
    </i>
    <i>
      <x v="298"/>
      <x v="289"/>
      <x v="2"/>
      <x v="1"/>
      <x v="1"/>
      <x v="1"/>
      <x/>
      <x/>
      <x v="1"/>
    </i>
    <i>
      <x v="299"/>
      <x v="582"/>
      <x v="1"/>
      <x/>
      <x v="1"/>
      <x/>
      <x v="1"/>
      <x/>
      <x v="1"/>
    </i>
    <i>
      <x v="300"/>
      <x v="361"/>
      <x v="1"/>
      <x/>
      <x v="1"/>
      <x v="1"/>
      <x/>
      <x/>
      <x v="1"/>
    </i>
    <i>
      <x v="301"/>
      <x v="391"/>
      <x v="2"/>
      <x v="1"/>
      <x v="1"/>
      <x v="1"/>
      <x/>
      <x/>
      <x v="1"/>
    </i>
    <i>
      <x v="302"/>
      <x v="163"/>
      <x v="1"/>
      <x/>
      <x v="1"/>
      <x v="1"/>
      <x/>
      <x/>
      <x v="1"/>
    </i>
    <i>
      <x v="303"/>
      <x v="590"/>
      <x v="1"/>
      <x/>
      <x v="1"/>
      <x v="1"/>
      <x/>
      <x/>
      <x v="1"/>
    </i>
    <i>
      <x v="304"/>
      <x v="7"/>
      <x v="2"/>
      <x v="1"/>
      <x v="1"/>
      <x/>
      <x v="1"/>
      <x/>
      <x v="1"/>
    </i>
    <i>
      <x v="305"/>
      <x v="562"/>
      <x v="1"/>
      <x v="1"/>
      <x v="1"/>
      <x v="1"/>
      <x/>
      <x v="1"/>
      <x/>
    </i>
    <i>
      <x v="306"/>
      <x v="404"/>
      <x v="2"/>
      <x v="1"/>
      <x v="1"/>
      <x/>
      <x v="1"/>
      <x/>
      <x v="1"/>
    </i>
    <i>
      <x v="307"/>
      <x v="160"/>
      <x v="2"/>
      <x v="1"/>
      <x v="1"/>
      <x/>
      <x v="1"/>
      <x/>
      <x v="1"/>
    </i>
    <i>
      <x v="308"/>
      <x v="28"/>
      <x v="2"/>
      <x v="1"/>
      <x v="1"/>
      <x/>
      <x v="1"/>
      <x/>
      <x v="1"/>
    </i>
    <i>
      <x v="309"/>
      <x v="206"/>
      <x v="2"/>
      <x v="1"/>
      <x v="1"/>
      <x v="1"/>
      <x/>
      <x/>
      <x v="1"/>
    </i>
    <i>
      <x v="310"/>
      <x v="274"/>
      <x v="2"/>
      <x v="1"/>
      <x/>
      <x v="1"/>
      <x/>
      <x v="1"/>
      <x/>
    </i>
    <i>
      <x v="311"/>
      <x v="10"/>
      <x v="1"/>
      <x/>
      <x v="1"/>
      <x v="1"/>
      <x/>
      <x/>
      <x v="1"/>
    </i>
    <i>
      <x v="312"/>
      <x v="186"/>
      <x v="1"/>
      <x/>
      <x v="1"/>
      <x v="1"/>
      <x/>
      <x/>
      <x v="1"/>
    </i>
    <i>
      <x v="313"/>
      <x v="586"/>
      <x v="1"/>
      <x/>
      <x v="1"/>
      <x v="1"/>
      <x/>
      <x/>
      <x v="1"/>
    </i>
    <i>
      <x v="314"/>
      <x v="71"/>
      <x v="2"/>
      <x v="1"/>
      <x/>
      <x/>
      <x v="1"/>
      <x/>
      <x v="1"/>
    </i>
    <i>
      <x v="315"/>
      <x v="312"/>
      <x v="2"/>
      <x v="1"/>
      <x v="1"/>
      <x v="1"/>
      <x/>
      <x/>
      <x v="1"/>
    </i>
    <i>
      <x v="316"/>
      <x v="445"/>
      <x v="1"/>
      <x/>
      <x v="1"/>
      <x/>
      <x v="1"/>
      <x/>
      <x v="1"/>
    </i>
    <i>
      <x v="317"/>
      <x v="36"/>
      <x v="1"/>
      <x/>
      <x v="1"/>
      <x v="1"/>
      <x/>
      <x/>
      <x v="1"/>
    </i>
    <i>
      <x v="318"/>
      <x v="461"/>
      <x v="2"/>
      <x v="1"/>
      <x v="1"/>
      <x/>
      <x v="1"/>
      <x/>
      <x v="1"/>
    </i>
    <i>
      <x v="319"/>
      <x v="171"/>
      <x v="2"/>
      <x v="1"/>
      <x v="1"/>
      <x v="1"/>
      <x/>
      <x/>
      <x v="1"/>
    </i>
    <i>
      <x v="320"/>
      <x v="420"/>
      <x v="2"/>
      <x v="1"/>
      <x v="1"/>
      <x v="1"/>
      <x/>
      <x/>
      <x v="1"/>
    </i>
    <i>
      <x v="321"/>
      <x v="199"/>
      <x v="1"/>
      <x/>
      <x v="1"/>
      <x/>
      <x v="1"/>
      <x/>
      <x v="1"/>
    </i>
    <i>
      <x v="322"/>
      <x v="345"/>
      <x v="1"/>
      <x/>
      <x v="1"/>
      <x v="1"/>
      <x/>
      <x/>
      <x v="1"/>
    </i>
    <i>
      <x v="323"/>
      <x v="353"/>
      <x v="2"/>
      <x/>
      <x v="1"/>
      <x/>
      <x v="1"/>
      <x v="1"/>
      <x v="1"/>
    </i>
    <i>
      <x v="324"/>
      <x v="212"/>
      <x v="2"/>
      <x v="1"/>
      <x/>
      <x v="1"/>
      <x/>
      <x/>
      <x v="1"/>
    </i>
    <i>
      <x v="325"/>
      <x v="15"/>
      <x v="2"/>
      <x v="1"/>
      <x v="1"/>
      <x v="1"/>
      <x/>
      <x v="1"/>
      <x v="1"/>
    </i>
    <i>
      <x v="326"/>
      <x v="439"/>
      <x v="2"/>
      <x v="1"/>
      <x/>
      <x/>
      <x v="1"/>
      <x/>
      <x v="1"/>
    </i>
    <i>
      <x v="327"/>
      <x v="468"/>
      <x v="1"/>
      <x/>
      <x v="1"/>
      <x v="1"/>
      <x/>
      <x/>
      <x v="1"/>
    </i>
    <i>
      <x v="328"/>
      <x v="350"/>
      <x v="1"/>
      <x v="1"/>
      <x/>
      <x v="1"/>
      <x/>
      <x v="1"/>
      <x v="1"/>
    </i>
    <i>
      <x v="329"/>
      <x v="369"/>
      <x v="1"/>
      <x v="1"/>
      <x v="1"/>
      <x v="1"/>
      <x/>
      <x/>
      <x v="1"/>
    </i>
    <i>
      <x v="330"/>
      <x v="585"/>
      <x v="1"/>
      <x/>
      <x v="1"/>
      <x v="1"/>
      <x/>
      <x/>
      <x v="1"/>
    </i>
    <i>
      <x v="331"/>
      <x v="47"/>
      <x v="4"/>
      <x/>
      <x v="1"/>
      <x v="1"/>
      <x/>
      <x v="2"/>
      <x v="1"/>
    </i>
    <i>
      <x v="332"/>
      <x v="202"/>
      <x/>
      <x v="1"/>
      <x v="1"/>
      <x v="1"/>
      <x/>
      <x/>
      <x v="1"/>
    </i>
    <i>
      <x v="333"/>
      <x v="249"/>
      <x v="4"/>
      <x/>
      <x v="1"/>
      <x v="1"/>
      <x/>
      <x v="2"/>
      <x v="1"/>
    </i>
    <i>
      <x v="334"/>
      <x v="201"/>
      <x v="4"/>
      <x/>
      <x v="1"/>
      <x/>
      <x v="1"/>
      <x v="2"/>
      <x v="1"/>
    </i>
    <i>
      <x v="335"/>
      <x v="125"/>
      <x/>
      <x v="1"/>
      <x v="1"/>
      <x v="1"/>
      <x/>
      <x/>
      <x v="1"/>
    </i>
    <i>
      <x v="336"/>
      <x v="495"/>
      <x v="1"/>
      <x v="1"/>
      <x v="1"/>
      <x v="1"/>
      <x/>
      <x/>
      <x v="1"/>
    </i>
    <i>
      <x v="337"/>
      <x v="188"/>
      <x/>
      <x v="1"/>
      <x v="1"/>
      <x v="1"/>
      <x/>
      <x/>
      <x v="1"/>
    </i>
    <i>
      <x v="338"/>
      <x v="469"/>
      <x v="2"/>
      <x v="1"/>
      <x v="1"/>
      <x v="1"/>
      <x/>
      <x v="1"/>
      <x v="1"/>
    </i>
    <i>
      <x v="339"/>
      <x v="282"/>
      <x/>
      <x v="1"/>
      <x/>
      <x/>
      <x v="1"/>
      <x/>
      <x v="1"/>
    </i>
    <i>
      <x v="340"/>
      <x v="298"/>
      <x/>
      <x/>
      <x v="1"/>
      <x v="1"/>
      <x/>
      <x/>
      <x v="1"/>
    </i>
    <i>
      <x v="341"/>
      <x v="219"/>
      <x v="2"/>
      <x v="1"/>
      <x v="1"/>
      <x v="1"/>
      <x/>
      <x v="1"/>
      <x v="1"/>
    </i>
    <i>
      <x v="342"/>
      <x v="372"/>
      <x v="4"/>
      <x/>
      <x v="1"/>
      <x v="1"/>
      <x/>
      <x v="2"/>
      <x v="1"/>
    </i>
    <i>
      <x v="343"/>
      <x v="403"/>
      <x v="4"/>
      <x/>
      <x v="1"/>
      <x v="1"/>
      <x/>
      <x v="2"/>
      <x v="1"/>
    </i>
    <i>
      <x v="344"/>
      <x v="232"/>
      <x v="4"/>
      <x/>
      <x v="1"/>
      <x v="1"/>
      <x/>
      <x v="2"/>
      <x v="1"/>
    </i>
    <i>
      <x v="345"/>
      <x v="342"/>
      <x v="1"/>
      <x v="1"/>
      <x v="1"/>
      <x v="1"/>
      <x/>
      <x v="1"/>
      <x v="1"/>
    </i>
    <i>
      <x v="346"/>
      <x v="447"/>
      <x v="4"/>
      <x/>
      <x v="1"/>
      <x v="1"/>
      <x/>
      <x v="2"/>
      <x v="1"/>
    </i>
    <i>
      <x v="347"/>
      <x v="423"/>
      <x v="4"/>
      <x/>
      <x v="1"/>
      <x v="1"/>
      <x/>
      <x v="2"/>
      <x v="1"/>
    </i>
    <i>
      <x v="348"/>
      <x v="66"/>
      <x v="1"/>
      <x v="1"/>
      <x v="1"/>
      <x v="1"/>
      <x/>
      <x/>
      <x v="1"/>
    </i>
    <i>
      <x v="349"/>
      <x v="496"/>
      <x v="1"/>
      <x v="1"/>
      <x/>
      <x v="1"/>
      <x/>
      <x v="1"/>
      <x v="1"/>
    </i>
    <i>
      <x v="350"/>
      <x v="276"/>
      <x v="4"/>
      <x/>
      <x v="1"/>
      <x v="1"/>
      <x/>
      <x v="2"/>
      <x v="1"/>
    </i>
    <i>
      <x v="351"/>
      <x v="82"/>
      <x/>
      <x v="1"/>
      <x v="1"/>
      <x v="1"/>
      <x/>
      <x/>
      <x v="1"/>
    </i>
    <i>
      <x v="352"/>
      <x v="467"/>
      <x v="1"/>
      <x v="1"/>
      <x v="1"/>
      <x v="1"/>
      <x/>
      <x v="1"/>
      <x/>
    </i>
    <i>
      <x v="353"/>
      <x v="209"/>
      <x v="4"/>
      <x/>
      <x v="1"/>
      <x v="1"/>
      <x/>
      <x v="2"/>
      <x v="1"/>
    </i>
    <i>
      <x v="354"/>
      <x v="121"/>
      <x/>
      <x v="1"/>
      <x/>
      <x/>
      <x v="1"/>
      <x/>
      <x v="1"/>
    </i>
    <i>
      <x v="355"/>
      <x v="74"/>
      <x v="4"/>
      <x/>
      <x v="1"/>
      <x v="1"/>
      <x/>
      <x v="2"/>
      <x v="1"/>
    </i>
    <i>
      <x v="356"/>
      <x v="260"/>
      <x v="4"/>
      <x/>
      <x v="1"/>
      <x v="1"/>
      <x/>
      <x v="2"/>
      <x v="1"/>
    </i>
    <i>
      <x v="357"/>
      <x v="113"/>
      <x/>
      <x v="1"/>
      <x v="1"/>
      <x v="1"/>
      <x/>
      <x/>
      <x v="1"/>
    </i>
    <i>
      <x v="358"/>
      <x v="49"/>
      <x/>
      <x v="1"/>
      <x v="1"/>
      <x v="1"/>
      <x/>
      <x/>
      <x v="1"/>
    </i>
    <i>
      <x v="359"/>
      <x v="351"/>
      <x/>
      <x v="1"/>
      <x/>
      <x v="1"/>
      <x/>
      <x/>
      <x v="1"/>
    </i>
    <i>
      <x v="360"/>
      <x v="297"/>
      <x v="4"/>
      <x/>
      <x v="1"/>
      <x v="1"/>
      <x/>
      <x v="2"/>
      <x v="1"/>
    </i>
    <i>
      <x v="361"/>
      <x v="303"/>
      <x v="4"/>
      <x/>
      <x v="1"/>
      <x v="1"/>
      <x/>
      <x v="2"/>
      <x v="1"/>
    </i>
    <i>
      <x v="362"/>
      <x v="422"/>
      <x v="4"/>
      <x/>
      <x v="1"/>
      <x v="1"/>
      <x/>
      <x v="2"/>
      <x v="1"/>
    </i>
    <i>
      <x v="363"/>
      <x v="551"/>
      <x v="1"/>
      <x v="1"/>
      <x/>
      <x v="1"/>
      <x/>
      <x/>
      <x v="1"/>
    </i>
    <i>
      <x v="364"/>
      <x v="268"/>
      <x v="4"/>
      <x/>
      <x v="1"/>
      <x v="1"/>
      <x/>
      <x v="2"/>
      <x v="1"/>
    </i>
    <i>
      <x v="365"/>
      <x v="159"/>
      <x v="1"/>
      <x/>
      <x v="1"/>
      <x/>
      <x v="1"/>
      <x/>
      <x v="1"/>
    </i>
    <i>
      <x v="366"/>
      <x v="363"/>
      <x v="4"/>
      <x/>
      <x v="1"/>
      <x v="1"/>
      <x/>
      <x v="2"/>
      <x v="1"/>
    </i>
    <i>
      <x v="367"/>
      <x v="449"/>
      <x v="4"/>
      <x/>
      <x v="1"/>
      <x v="1"/>
      <x/>
      <x v="2"/>
      <x v="1"/>
    </i>
    <i>
      <x v="368"/>
      <x v="124"/>
      <x v="1"/>
      <x v="1"/>
      <x v="1"/>
      <x v="1"/>
      <x/>
      <x v="1"/>
      <x/>
    </i>
    <i>
      <x v="369"/>
      <x v="84"/>
      <x/>
      <x v="1"/>
      <x v="1"/>
      <x v="1"/>
      <x/>
      <x/>
      <x v="1"/>
    </i>
    <i>
      <x v="370"/>
      <x v="364"/>
      <x v="4"/>
      <x/>
      <x v="1"/>
      <x v="1"/>
      <x/>
      <x v="2"/>
      <x v="1"/>
    </i>
    <i>
      <x v="371"/>
      <x v="179"/>
      <x v="4"/>
      <x/>
      <x v="1"/>
      <x v="1"/>
      <x/>
      <x v="2"/>
      <x v="1"/>
    </i>
    <i>
      <x v="372"/>
      <x v="257"/>
      <x v="4"/>
      <x/>
      <x v="1"/>
      <x v="1"/>
      <x/>
      <x v="2"/>
      <x v="1"/>
    </i>
    <i>
      <x v="373"/>
      <x v="464"/>
      <x v="4"/>
      <x/>
      <x v="1"/>
      <x v="1"/>
      <x/>
      <x v="2"/>
      <x v="1"/>
    </i>
    <i>
      <x v="374"/>
      <x v="394"/>
      <x v="4"/>
      <x/>
      <x v="1"/>
      <x v="1"/>
      <x/>
      <x v="2"/>
      <x v="1"/>
    </i>
    <i>
      <x v="375"/>
      <x v="187"/>
      <x v="2"/>
      <x v="1"/>
      <x v="1"/>
      <x v="1"/>
      <x/>
      <x/>
      <x v="1"/>
    </i>
    <i>
      <x v="376"/>
      <x v="70"/>
      <x v="1"/>
      <x/>
      <x v="1"/>
      <x v="1"/>
      <x/>
      <x/>
      <x v="1"/>
    </i>
    <i>
      <x v="377"/>
      <x v="359"/>
      <x v="4"/>
      <x/>
      <x v="1"/>
      <x v="1"/>
      <x/>
      <x v="2"/>
      <x v="1"/>
    </i>
    <i>
      <x v="378"/>
      <x v="478"/>
      <x v="1"/>
      <x v="1"/>
      <x/>
      <x v="1"/>
      <x/>
      <x/>
      <x v="1"/>
    </i>
    <i>
      <x v="379"/>
      <x v="236"/>
      <x v="1"/>
      <x v="1"/>
      <x v="1"/>
      <x v="1"/>
      <x/>
      <x/>
      <x v="1"/>
    </i>
    <i>
      <x v="380"/>
      <x v="329"/>
      <x v="1"/>
      <x v="1"/>
      <x v="1"/>
      <x v="1"/>
      <x/>
      <x/>
      <x v="1"/>
    </i>
    <i>
      <x v="381"/>
      <x v="486"/>
      <x v="2"/>
      <x v="1"/>
      <x v="1"/>
      <x v="1"/>
      <x/>
      <x/>
      <x v="1"/>
    </i>
    <i>
      <x v="382"/>
      <x v="293"/>
      <x v="1"/>
      <x v="1"/>
      <x v="1"/>
      <x v="1"/>
      <x/>
      <x/>
      <x v="1"/>
    </i>
    <i>
      <x v="383"/>
      <x v="484"/>
      <x v="1"/>
      <x v="1"/>
      <x v="1"/>
      <x v="1"/>
      <x/>
      <x/>
      <x v="1"/>
    </i>
    <i>
      <x v="384"/>
      <x v="483"/>
      <x v="1"/>
      <x v="1"/>
      <x/>
      <x v="1"/>
      <x/>
      <x/>
      <x v="1"/>
    </i>
    <i>
      <x v="385"/>
      <x v="487"/>
      <x v="1"/>
      <x/>
      <x v="1"/>
      <x v="1"/>
      <x/>
      <x v="1"/>
      <x v="1"/>
    </i>
    <i>
      <x v="386"/>
      <x v="525"/>
      <x v="1"/>
      <x v="1"/>
      <x v="1"/>
      <x v="1"/>
      <x/>
      <x/>
      <x v="1"/>
    </i>
    <i>
      <x v="387"/>
      <x v="480"/>
      <x v="2"/>
      <x v="1"/>
      <x v="1"/>
      <x v="1"/>
      <x/>
      <x v="1"/>
      <x v="1"/>
    </i>
    <i>
      <x v="388"/>
      <x v="613"/>
      <x v="1"/>
      <x/>
      <x v="1"/>
      <x v="1"/>
      <x/>
      <x/>
      <x v="1"/>
    </i>
    <i>
      <x v="389"/>
      <x v="111"/>
      <x v="1"/>
      <x/>
      <x v="1"/>
      <x v="1"/>
      <x/>
      <x/>
      <x v="1"/>
    </i>
    <i>
      <x v="390"/>
      <x v="552"/>
      <x v="1"/>
      <x v="1"/>
      <x v="1"/>
      <x v="1"/>
      <x/>
      <x/>
      <x v="1"/>
    </i>
    <i>
      <x v="391"/>
      <x v="181"/>
      <x v="1"/>
      <x v="1"/>
      <x v="1"/>
      <x v="1"/>
      <x/>
      <x/>
      <x v="1"/>
    </i>
    <i>
      <x v="392"/>
      <x v="269"/>
      <x v="1"/>
      <x v="1"/>
      <x/>
      <x v="1"/>
      <x/>
      <x/>
      <x v="1"/>
    </i>
    <i>
      <x v="393"/>
      <x v="300"/>
      <x v="1"/>
      <x v="1"/>
      <x v="1"/>
      <x v="1"/>
      <x/>
      <x/>
      <x v="1"/>
    </i>
    <i>
      <x v="394"/>
      <x v="106"/>
      <x v="1"/>
      <x/>
      <x v="1"/>
      <x v="1"/>
      <x/>
      <x v="1"/>
      <x v="1"/>
    </i>
    <i>
      <x v="395"/>
      <x v="360"/>
      <x v="1"/>
      <x v="1"/>
      <x/>
      <x v="1"/>
      <x/>
      <x v="1"/>
      <x/>
    </i>
    <i>
      <x v="396"/>
      <x v="42"/>
      <x v="1"/>
      <x v="1"/>
      <x v="1"/>
      <x v="1"/>
      <x/>
      <x/>
      <x v="1"/>
    </i>
    <i>
      <x v="397"/>
      <x v="244"/>
      <x v="1"/>
      <x v="1"/>
      <x v="1"/>
      <x v="1"/>
      <x/>
      <x/>
      <x v="1"/>
    </i>
    <i>
      <x v="398"/>
      <x v="246"/>
      <x/>
      <x v="1"/>
      <x v="1"/>
      <x v="1"/>
      <x/>
      <x v="1"/>
      <x v="1"/>
    </i>
    <i>
      <x v="399"/>
      <x v="224"/>
      <x v="1"/>
      <x v="1"/>
      <x v="1"/>
      <x v="1"/>
      <x/>
      <x/>
      <x v="1"/>
    </i>
    <i>
      <x v="400"/>
      <x v="318"/>
      <x v="1"/>
      <x v="1"/>
      <x/>
      <x v="1"/>
      <x/>
      <x/>
      <x v="1"/>
    </i>
    <i>
      <x v="401"/>
      <x v="263"/>
      <x/>
      <x v="1"/>
      <x v="1"/>
      <x v="1"/>
      <x/>
      <x/>
      <x v="1"/>
    </i>
    <i>
      <x v="402"/>
      <x v="43"/>
      <x v="1"/>
      <x v="1"/>
      <x v="1"/>
      <x v="1"/>
      <x/>
      <x v="1"/>
      <x v="1"/>
    </i>
    <i>
      <x v="403"/>
      <x v="98"/>
      <x v="1"/>
      <x v="1"/>
      <x/>
      <x v="1"/>
      <x/>
      <x/>
      <x v="1"/>
    </i>
    <i>
      <x v="404"/>
      <x v="354"/>
      <x v="1"/>
      <x v="1"/>
      <x v="1"/>
      <x v="1"/>
      <x/>
      <x/>
      <x v="1"/>
    </i>
    <i>
      <x v="405"/>
      <x v="80"/>
      <x/>
      <x/>
      <x v="1"/>
      <x v="1"/>
      <x/>
      <x/>
      <x v="1"/>
    </i>
    <i>
      <x v="406"/>
      <x v="327"/>
      <x v="1"/>
      <x v="1"/>
      <x v="1"/>
      <x v="1"/>
      <x/>
      <x/>
      <x v="1"/>
    </i>
    <i>
      <x v="407"/>
      <x v="440"/>
      <x v="1"/>
      <x v="1"/>
      <x/>
      <x v="1"/>
      <x/>
      <x v="1"/>
      <x/>
    </i>
    <i>
      <x v="408"/>
      <x v="191"/>
      <x v="1"/>
      <x v="1"/>
      <x v="1"/>
      <x v="1"/>
      <x/>
      <x/>
      <x v="1"/>
    </i>
    <i>
      <x v="409"/>
      <x v="405"/>
      <x v="1"/>
      <x/>
      <x v="1"/>
      <x v="1"/>
      <x/>
      <x v="1"/>
      <x v="1"/>
    </i>
    <i>
      <x v="410"/>
      <x v="243"/>
      <x v="1"/>
      <x v="1"/>
      <x v="1"/>
      <x v="1"/>
      <x/>
      <x/>
      <x v="1"/>
    </i>
    <i>
      <x v="411"/>
      <x v="16"/>
      <x v="2"/>
      <x v="1"/>
      <x/>
      <x v="1"/>
      <x/>
      <x v="1"/>
      <x v="1"/>
    </i>
    <i>
      <x v="412"/>
      <x v="348"/>
      <x v="1"/>
      <x v="1"/>
      <x/>
      <x v="1"/>
      <x/>
      <x v="1"/>
      <x/>
    </i>
    <i>
      <x v="413"/>
      <x v="340"/>
      <x v="2"/>
      <x v="1"/>
      <x v="1"/>
      <x v="1"/>
      <x/>
      <x/>
      <x v="1"/>
    </i>
    <i>
      <x v="414"/>
      <x v="175"/>
      <x v="2"/>
      <x v="1"/>
      <x/>
      <x v="1"/>
      <x/>
      <x/>
      <x v="1"/>
    </i>
    <i>
      <x v="415"/>
      <x v="381"/>
      <x v="2"/>
      <x v="1"/>
      <x/>
      <x v="1"/>
      <x/>
      <x v="1"/>
      <x/>
    </i>
    <i>
      <x v="416"/>
      <x v="441"/>
      <x v="2"/>
      <x v="1"/>
      <x v="1"/>
      <x v="1"/>
      <x/>
      <x v="1"/>
      <x/>
    </i>
    <i>
      <x v="417"/>
      <x v="365"/>
      <x/>
      <x v="1"/>
      <x v="1"/>
      <x v="1"/>
      <x/>
      <x v="1"/>
      <x/>
    </i>
    <i>
      <x v="418"/>
      <x v="402"/>
      <x v="2"/>
      <x v="1"/>
      <x/>
      <x v="1"/>
      <x/>
      <x v="1"/>
      <x v="1"/>
    </i>
    <i>
      <x v="419"/>
      <x v="55"/>
      <x v="1"/>
      <x v="1"/>
      <x/>
      <x v="1"/>
      <x/>
      <x v="1"/>
      <x/>
    </i>
    <i>
      <x v="420"/>
      <x v="93"/>
      <x v="1"/>
      <x/>
      <x v="1"/>
      <x v="1"/>
      <x/>
      <x v="1"/>
      <x/>
    </i>
    <i>
      <x v="421"/>
      <x v="278"/>
      <x v="2"/>
      <x v="1"/>
      <x/>
      <x v="1"/>
      <x/>
      <x v="1"/>
      <x/>
    </i>
    <i>
      <x v="422"/>
      <x v="54"/>
      <x v="1"/>
      <x v="1"/>
      <x v="1"/>
      <x v="1"/>
      <x/>
      <x v="1"/>
      <x/>
    </i>
    <i>
      <x v="423"/>
      <x v="76"/>
      <x v="1"/>
      <x v="1"/>
      <x v="1"/>
      <x v="1"/>
      <x/>
      <x v="1"/>
      <x v="1"/>
    </i>
    <i>
      <x v="424"/>
      <x v="64"/>
      <x v="2"/>
      <x v="1"/>
      <x v="1"/>
      <x v="1"/>
      <x/>
      <x v="1"/>
      <x v="1"/>
    </i>
    <i>
      <x v="425"/>
      <x v="317"/>
      <x v="2"/>
      <x v="1"/>
      <x/>
      <x v="1"/>
      <x/>
      <x v="1"/>
      <x v="1"/>
    </i>
    <i>
      <x v="426"/>
      <x v="97"/>
      <x v="2"/>
      <x v="1"/>
      <x v="1"/>
      <x v="1"/>
      <x/>
      <x v="1"/>
      <x v="1"/>
    </i>
    <i>
      <x v="427"/>
      <x v="311"/>
      <x v="1"/>
      <x v="1"/>
      <x/>
      <x v="1"/>
      <x/>
      <x/>
      <x v="1"/>
    </i>
    <i>
      <x v="428"/>
      <x v="235"/>
      <x v="2"/>
      <x v="1"/>
      <x/>
      <x v="1"/>
      <x/>
      <x v="1"/>
      <x v="1"/>
    </i>
    <i>
      <x v="429"/>
      <x v="346"/>
      <x v="2"/>
      <x v="1"/>
      <x/>
      <x v="1"/>
      <x/>
      <x v="1"/>
      <x/>
    </i>
    <i>
      <x v="430"/>
      <x v="414"/>
      <x v="1"/>
      <x v="1"/>
      <x v="1"/>
      <x/>
      <x v="1"/>
      <x/>
      <x v="1"/>
    </i>
    <i>
      <x v="431"/>
      <x v="87"/>
      <x v="1"/>
      <x/>
      <x v="1"/>
      <x v="1"/>
      <x/>
      <x/>
      <x v="1"/>
    </i>
    <i>
      <x v="432"/>
      <x v="23"/>
      <x v="1"/>
      <x v="1"/>
      <x/>
      <x v="1"/>
      <x/>
      <x v="1"/>
      <x v="1"/>
    </i>
    <i>
      <x v="433"/>
      <x v="129"/>
      <x v="1"/>
      <x v="1"/>
      <x v="1"/>
      <x v="1"/>
      <x/>
      <x v="1"/>
      <x/>
    </i>
    <i>
      <x v="434"/>
      <x v="228"/>
      <x v="1"/>
      <x v="1"/>
      <x/>
      <x v="1"/>
      <x/>
      <x v="1"/>
      <x v="1"/>
    </i>
    <i>
      <x v="435"/>
      <x v="313"/>
      <x v="1"/>
      <x v="1"/>
      <x v="1"/>
      <x v="1"/>
      <x/>
      <x/>
      <x v="1"/>
    </i>
    <i>
      <x v="436"/>
      <x v="614"/>
      <x v="1"/>
      <x v="1"/>
      <x v="1"/>
      <x v="1"/>
      <x/>
      <x/>
      <x v="1"/>
    </i>
    <i>
      <x v="437"/>
      <x v="417"/>
      <x v="1"/>
      <x v="1"/>
      <x v="1"/>
      <x v="1"/>
      <x/>
      <x/>
      <x v="1"/>
    </i>
    <i>
      <x v="438"/>
      <x v="138"/>
      <x v="1"/>
      <x/>
      <x v="1"/>
      <x/>
      <x v="1"/>
      <x/>
      <x v="1"/>
    </i>
    <i>
      <x v="439"/>
      <x v="602"/>
      <x v="4"/>
      <x/>
      <x v="1"/>
      <x v="1"/>
      <x/>
      <x v="2"/>
      <x v="1"/>
    </i>
    <i>
      <x v="440"/>
      <x v="603"/>
      <x v="4"/>
      <x/>
      <x v="1"/>
      <x v="1"/>
      <x/>
      <x v="2"/>
      <x v="1"/>
    </i>
    <i>
      <x v="441"/>
      <x v="137"/>
      <x v="2"/>
      <x v="1"/>
      <x v="1"/>
      <x/>
      <x v="1"/>
      <x/>
      <x v="1"/>
    </i>
    <i>
      <x v="442"/>
      <x v="607"/>
      <x v="4"/>
      <x/>
      <x v="1"/>
      <x v="1"/>
      <x/>
      <x v="2"/>
      <x v="1"/>
    </i>
    <i>
      <x v="443"/>
      <x v="164"/>
      <x v="2"/>
      <x/>
      <x v="1"/>
      <x v="1"/>
      <x/>
      <x/>
      <x v="1"/>
    </i>
    <i>
      <x v="444"/>
      <x v="608"/>
      <x v="4"/>
      <x/>
      <x v="1"/>
      <x v="1"/>
      <x/>
      <x v="2"/>
      <x v="1"/>
    </i>
    <i>
      <x v="445"/>
      <x v="609"/>
      <x v="4"/>
      <x/>
      <x v="1"/>
      <x v="1"/>
      <x/>
      <x v="2"/>
      <x v="1"/>
    </i>
    <i>
      <x v="446"/>
      <x v="606"/>
      <x v="2"/>
      <x/>
      <x v="1"/>
      <x/>
      <x v="1"/>
      <x/>
      <x v="1"/>
    </i>
    <i>
      <x v="447"/>
      <x v="605"/>
      <x v="2"/>
      <x v="1"/>
      <x v="1"/>
      <x/>
      <x v="1"/>
      <x/>
      <x v="1"/>
    </i>
    <i>
      <x v="448"/>
      <x v="594"/>
      <x v="4"/>
      <x/>
      <x v="1"/>
      <x/>
      <x v="1"/>
      <x v="2"/>
      <x v="1"/>
    </i>
    <i>
      <x v="449"/>
      <x v="595"/>
      <x v="4"/>
      <x/>
      <x v="1"/>
      <x/>
      <x v="1"/>
      <x v="2"/>
      <x v="1"/>
    </i>
    <i>
      <x v="450"/>
      <x v="596"/>
      <x v="4"/>
      <x/>
      <x v="1"/>
      <x/>
      <x v="1"/>
      <x v="2"/>
      <x v="1"/>
    </i>
    <i>
      <x v="451"/>
      <x v="597"/>
      <x v="4"/>
      <x/>
      <x v="1"/>
      <x/>
      <x v="1"/>
      <x v="2"/>
      <x v="1"/>
    </i>
    <i>
      <x v="452"/>
      <x v="610"/>
      <x v="4"/>
      <x/>
      <x v="1"/>
      <x v="1"/>
      <x/>
      <x v="2"/>
      <x v="1"/>
    </i>
    <i>
      <x v="453"/>
      <x v="453"/>
      <x v="1"/>
      <x v="1"/>
      <x/>
      <x v="1"/>
      <x/>
      <x v="1"/>
      <x/>
    </i>
    <i>
      <x v="454"/>
      <x v="598"/>
      <x v="4"/>
      <x/>
      <x v="1"/>
      <x/>
      <x v="1"/>
      <x v="2"/>
      <x v="1"/>
    </i>
    <i>
      <x v="455"/>
      <x v="604"/>
      <x v="4"/>
      <x/>
      <x v="1"/>
      <x v="1"/>
      <x/>
      <x v="2"/>
      <x v="1"/>
    </i>
    <i>
      <x v="456"/>
      <x v="273"/>
      <x v="2"/>
      <x v="1"/>
      <x v="1"/>
      <x/>
      <x v="1"/>
      <x/>
      <x v="1"/>
    </i>
    <i>
      <x v="457"/>
      <x v="599"/>
      <x v="4"/>
      <x/>
      <x v="1"/>
      <x/>
      <x v="1"/>
      <x v="2"/>
      <x v="1"/>
    </i>
    <i>
      <x v="458"/>
      <x v="600"/>
      <x v="4"/>
      <x/>
      <x v="1"/>
      <x/>
      <x v="1"/>
      <x v="2"/>
      <x v="1"/>
    </i>
    <i>
      <x v="459"/>
      <x v="601"/>
      <x v="4"/>
      <x/>
      <x v="1"/>
      <x/>
      <x v="1"/>
      <x v="2"/>
      <x v="1"/>
    </i>
    <i>
      <x v="460"/>
      <x v="148"/>
      <x v="1"/>
      <x/>
      <x v="1"/>
      <x/>
      <x v="1"/>
      <x/>
      <x v="1"/>
    </i>
    <i>
      <x v="461"/>
      <x v="611"/>
      <x v="4"/>
      <x/>
      <x v="1"/>
      <x v="1"/>
      <x v="1"/>
      <x v="2"/>
      <x v="1"/>
    </i>
    <i>
      <x v="462"/>
      <x v="118"/>
      <x v="2"/>
      <x v="1"/>
      <x v="1"/>
      <x v="1"/>
      <x/>
      <x/>
      <x v="1"/>
    </i>
    <i>
      <x v="463"/>
      <x v="140"/>
      <x v="2"/>
      <x v="1"/>
      <x v="1"/>
      <x/>
      <x v="1"/>
      <x/>
      <x v="1"/>
    </i>
    <i>
      <x v="464"/>
      <x v="382"/>
      <x v="4"/>
      <x/>
      <x v="1"/>
      <x v="1"/>
      <x/>
      <x v="2"/>
      <x v="1"/>
    </i>
    <i>
      <x v="465"/>
      <x v="100"/>
      <x v="2"/>
      <x v="1"/>
      <x v="1"/>
      <x/>
      <x v="1"/>
      <x/>
      <x v="1"/>
    </i>
    <i>
      <x v="466"/>
      <x v="253"/>
      <x v="2"/>
      <x v="1"/>
      <x v="1"/>
      <x/>
      <x v="1"/>
      <x/>
      <x v="1"/>
    </i>
    <i>
      <x v="467"/>
      <x v="250"/>
      <x v="4"/>
      <x/>
      <x v="1"/>
      <x v="1"/>
      <x/>
      <x v="2"/>
      <x v="1"/>
    </i>
    <i>
      <x v="468"/>
      <x v="205"/>
      <x v="1"/>
      <x/>
      <x v="1"/>
      <x/>
      <x v="1"/>
      <x/>
      <x v="1"/>
    </i>
    <i>
      <x v="469"/>
      <x v="556"/>
      <x v="1"/>
      <x v="1"/>
      <x v="1"/>
      <x/>
      <x v="1"/>
      <x/>
      <x v="1"/>
    </i>
    <i>
      <x v="470"/>
      <x v="526"/>
      <x v="1"/>
      <x v="1"/>
      <x/>
      <x v="1"/>
      <x/>
      <x v="1"/>
      <x/>
    </i>
    <i>
      <x v="471"/>
      <x v="435"/>
      <x v="2"/>
      <x v="1"/>
      <x v="1"/>
      <x/>
      <x v="1"/>
      <x/>
      <x v="1"/>
    </i>
    <i>
      <x v="472"/>
      <x v="61"/>
      <x v="2"/>
      <x v="1"/>
      <x v="1"/>
      <x v="1"/>
      <x/>
      <x/>
      <x v="1"/>
    </i>
    <i>
      <x v="473"/>
      <x v="104"/>
      <x v="1"/>
      <x v="1"/>
      <x v="1"/>
      <x v="1"/>
      <x/>
      <x/>
      <x v="1"/>
    </i>
    <i>
      <x v="474"/>
      <x v="316"/>
      <x v="2"/>
      <x v="1"/>
      <x v="1"/>
      <x v="1"/>
      <x/>
      <x/>
      <x v="1"/>
    </i>
    <i>
      <x v="475"/>
      <x v="200"/>
      <x v="2"/>
      <x v="1"/>
      <x v="1"/>
      <x v="1"/>
      <x/>
      <x/>
      <x v="1"/>
    </i>
    <i>
      <x v="476"/>
      <x v="211"/>
      <x v="1"/>
      <x v="1"/>
      <x v="1"/>
      <x v="1"/>
      <x/>
      <x/>
      <x v="1"/>
    </i>
    <i>
      <x v="477"/>
      <x v="215"/>
      <x v="1"/>
      <x v="1"/>
      <x v="1"/>
      <x/>
      <x v="1"/>
      <x/>
      <x v="1"/>
    </i>
    <i>
      <x v="478"/>
      <x v="134"/>
      <x v="2"/>
      <x v="1"/>
      <x v="1"/>
      <x v="1"/>
      <x/>
      <x v="1"/>
      <x v="1"/>
    </i>
    <i>
      <x v="479"/>
      <x v="207"/>
      <x v="2"/>
      <x v="1"/>
      <x/>
      <x v="1"/>
      <x/>
      <x v="1"/>
      <x v="1"/>
    </i>
    <i>
      <x v="480"/>
      <x v="158"/>
      <x v="1"/>
      <x v="1"/>
      <x/>
      <x v="1"/>
      <x/>
      <x v="1"/>
      <x v="1"/>
    </i>
    <i>
      <x v="481"/>
      <x v="203"/>
      <x v="1"/>
      <x v="1"/>
      <x/>
      <x v="1"/>
      <x/>
      <x/>
      <x v="1"/>
    </i>
    <i>
      <x v="482"/>
      <x v="336"/>
      <x v="1"/>
      <x v="1"/>
      <x/>
      <x v="1"/>
      <x/>
      <x/>
      <x v="1"/>
    </i>
    <i>
      <x v="483"/>
      <x v="332"/>
      <x v="4"/>
      <x/>
      <x v="1"/>
      <x v="1"/>
      <x/>
      <x v="2"/>
      <x v="1"/>
    </i>
    <i>
      <x v="484"/>
      <x v="416"/>
      <x v="4"/>
      <x/>
      <x v="1"/>
      <x v="1"/>
      <x/>
      <x v="2"/>
      <x v="1"/>
    </i>
    <i>
      <x v="485"/>
      <x v="559"/>
      <x v="4"/>
      <x/>
      <x v="1"/>
      <x/>
      <x v="1"/>
      <x v="2"/>
      <x v="1"/>
    </i>
    <i>
      <x v="486"/>
      <x v="169"/>
      <x v="4"/>
      <x/>
      <x v="1"/>
      <x v="1"/>
      <x/>
      <x v="2"/>
      <x v="1"/>
    </i>
    <i>
      <x v="487"/>
      <x v="114"/>
      <x v="1"/>
      <x v="1"/>
      <x v="1"/>
      <x v="1"/>
      <x/>
      <x/>
      <x v="1"/>
    </i>
    <i>
      <x v="488"/>
      <x v="90"/>
      <x v="2"/>
      <x v="1"/>
      <x/>
      <x v="1"/>
      <x/>
      <x v="1"/>
      <x/>
    </i>
    <i>
      <x v="489"/>
      <x v="555"/>
      <x v="5"/>
      <x v="1"/>
      <x/>
      <x v="1"/>
      <x/>
      <x v="1"/>
      <x/>
    </i>
    <i>
      <x v="490"/>
      <x v="492"/>
      <x v="1"/>
      <x v="1"/>
      <x v="1"/>
      <x v="1"/>
      <x/>
      <x v="1"/>
      <x/>
    </i>
    <i>
      <x v="491"/>
      <x v="493"/>
      <x v="1"/>
      <x v="1"/>
      <x v="1"/>
      <x v="1"/>
      <x/>
      <x v="1"/>
      <x v="1"/>
    </i>
    <i>
      <x v="492"/>
      <x v="494"/>
      <x v="1"/>
      <x v="1"/>
      <x/>
      <x v="1"/>
      <x/>
      <x v="1"/>
      <x/>
    </i>
    <i>
      <x v="493"/>
      <x v="497"/>
      <x v="2"/>
      <x v="1"/>
      <x/>
      <x v="1"/>
      <x/>
      <x v="1"/>
      <x/>
    </i>
    <i>
      <x v="494"/>
      <x v="498"/>
      <x v="2"/>
      <x v="1"/>
      <x/>
      <x v="1"/>
      <x/>
      <x v="1"/>
      <x/>
    </i>
    <i>
      <x v="495"/>
      <x v="499"/>
      <x v="1"/>
      <x/>
      <x v="1"/>
      <x v="1"/>
      <x/>
      <x v="1"/>
      <x v="1"/>
    </i>
    <i>
      <x v="496"/>
      <x v="500"/>
      <x v="1"/>
      <x v="1"/>
      <x/>
      <x v="1"/>
      <x/>
      <x/>
      <x v="1"/>
    </i>
    <i>
      <x v="497"/>
      <x v="501"/>
      <x v="1"/>
      <x v="1"/>
      <x/>
      <x v="1"/>
      <x/>
      <x v="1"/>
      <x/>
    </i>
    <i>
      <x v="498"/>
      <x v="502"/>
      <x v="1"/>
      <x v="1"/>
      <x/>
      <x v="1"/>
      <x/>
      <x v="1"/>
      <x/>
    </i>
    <i>
      <x v="499"/>
      <x v="503"/>
      <x v="2"/>
      <x v="1"/>
      <x v="1"/>
      <x v="1"/>
      <x/>
      <x v="1"/>
      <x/>
    </i>
    <i>
      <x v="500"/>
      <x v="545"/>
      <x v="2"/>
      <x v="1"/>
      <x/>
      <x v="1"/>
      <x/>
      <x v="1"/>
      <x/>
    </i>
    <i>
      <x v="502"/>
      <x v="506"/>
      <x v="4"/>
      <x v="2"/>
      <x v="1"/>
      <x v="2"/>
      <x v="1"/>
      <x v="2"/>
      <x v="1"/>
    </i>
    <i>
      <x v="503"/>
      <x v="511"/>
      <x v="4"/>
      <x v="2"/>
      <x v="1"/>
      <x v="2"/>
      <x v="1"/>
      <x v="2"/>
      <x v="1"/>
    </i>
    <i>
      <x v="504"/>
      <x v="513"/>
      <x v="1"/>
      <x v="1"/>
      <x v="1"/>
      <x v="1"/>
      <x/>
      <x/>
      <x v="1"/>
    </i>
    <i>
      <x v="505"/>
      <x v="550"/>
      <x v="1"/>
      <x v="1"/>
      <x/>
      <x v="1"/>
      <x/>
      <x v="1"/>
      <x/>
    </i>
    <i>
      <x v="506"/>
      <x v="515"/>
      <x v="5"/>
      <x v="1"/>
      <x/>
      <x v="1"/>
      <x/>
      <x v="1"/>
      <x/>
    </i>
    <i>
      <x v="507"/>
      <x v="516"/>
      <x v="4"/>
      <x v="2"/>
      <x v="1"/>
      <x v="2"/>
      <x v="1"/>
      <x v="2"/>
      <x v="1"/>
    </i>
    <i>
      <x v="508"/>
      <x v="523"/>
      <x v="4"/>
      <x v="2"/>
      <x v="1"/>
      <x v="2"/>
      <x v="1"/>
      <x v="2"/>
      <x v="1"/>
    </i>
    <i>
      <x v="509"/>
      <x v="524"/>
      <x v="4"/>
      <x v="2"/>
      <x v="1"/>
      <x v="2"/>
      <x v="1"/>
      <x v="2"/>
      <x v="1"/>
    </i>
    <i>
      <x v="510"/>
      <x v="527"/>
      <x v="4"/>
      <x v="2"/>
      <x v="1"/>
      <x v="2"/>
      <x v="1"/>
      <x v="2"/>
      <x v="1"/>
    </i>
    <i>
      <x v="511"/>
      <x v="530"/>
      <x v="1"/>
      <x v="1"/>
      <x v="1"/>
      <x v="1"/>
      <x/>
      <x/>
      <x v="1"/>
    </i>
    <i>
      <x v="512"/>
      <x v="531"/>
      <x v="1"/>
      <x v="1"/>
      <x/>
      <x v="1"/>
      <x/>
      <x/>
      <x v="1"/>
    </i>
    <i>
      <x v="513"/>
      <x v="532"/>
      <x v="1"/>
      <x v="1"/>
      <x v="1"/>
      <x v="1"/>
      <x/>
      <x/>
      <x v="1"/>
    </i>
    <i>
      <x v="514"/>
      <x v="563"/>
      <x v="2"/>
      <x v="1"/>
      <x/>
      <x v="1"/>
      <x/>
      <x v="1"/>
      <x v="1"/>
    </i>
    <i>
      <x v="515"/>
      <x v="533"/>
      <x v="4"/>
      <x v="2"/>
      <x v="1"/>
      <x v="2"/>
      <x v="1"/>
      <x v="2"/>
      <x v="1"/>
    </i>
    <i>
      <x v="516"/>
      <x v="535"/>
      <x v="4"/>
      <x v="2"/>
      <x v="1"/>
      <x v="2"/>
      <x v="1"/>
      <x v="2"/>
      <x v="1"/>
    </i>
    <i>
      <x v="517"/>
      <x v="536"/>
      <x v="1"/>
      <x v="1"/>
      <x/>
      <x v="1"/>
      <x/>
      <x v="1"/>
      <x v="1"/>
    </i>
    <i>
      <x v="518"/>
      <x v="537"/>
      <x v="1"/>
      <x v="1"/>
      <x/>
      <x v="1"/>
      <x/>
      <x/>
      <x v="1"/>
    </i>
    <i>
      <x v="519"/>
      <x v="538"/>
      <x v="1"/>
      <x v="1"/>
      <x/>
      <x v="1"/>
      <x/>
      <x/>
      <x v="1"/>
    </i>
    <i>
      <x v="520"/>
      <x v="539"/>
      <x v="1"/>
      <x v="1"/>
      <x v="1"/>
      <x v="1"/>
      <x/>
      <x v="1"/>
      <x/>
    </i>
    <i>
      <x v="521"/>
      <x v="540"/>
      <x v="1"/>
      <x v="1"/>
      <x v="1"/>
      <x v="1"/>
      <x/>
      <x/>
      <x v="1"/>
    </i>
    <i>
      <x v="522"/>
      <x v="541"/>
      <x v="2"/>
      <x v="1"/>
      <x/>
      <x v="1"/>
      <x/>
      <x v="1"/>
      <x/>
    </i>
    <i>
      <x v="523"/>
      <x v="542"/>
      <x v="4"/>
      <x v="2"/>
      <x v="1"/>
      <x v="2"/>
      <x v="1"/>
      <x v="2"/>
      <x v="1"/>
    </i>
    <i>
      <x v="524"/>
      <x v="543"/>
      <x v="4"/>
      <x v="2"/>
      <x v="1"/>
      <x v="2"/>
      <x v="1"/>
      <x v="2"/>
      <x v="1"/>
    </i>
    <i>
      <x v="525"/>
      <x v="544"/>
      <x v="1"/>
      <x v="1"/>
      <x/>
      <x v="1"/>
      <x/>
      <x/>
      <x v="1"/>
    </i>
    <i>
      <x v="526"/>
      <x v="546"/>
      <x v="4"/>
      <x v="2"/>
      <x v="1"/>
      <x v="2"/>
      <x v="1"/>
      <x v="2"/>
      <x v="1"/>
    </i>
    <i>
      <x v="527"/>
      <x v="547"/>
      <x v="4"/>
      <x v="2"/>
      <x v="1"/>
      <x v="2"/>
      <x v="1"/>
      <x v="2"/>
      <x v="1"/>
    </i>
    <i>
      <x v="528"/>
      <x v="548"/>
      <x v="4"/>
      <x v="2"/>
      <x v="1"/>
      <x v="2"/>
      <x v="1"/>
      <x v="2"/>
      <x v="1"/>
    </i>
    <i>
      <x v="529"/>
      <x v="549"/>
      <x v="4"/>
      <x v="2"/>
      <x v="1"/>
      <x v="2"/>
      <x v="1"/>
      <x v="2"/>
      <x v="1"/>
    </i>
    <i>
      <x v="530"/>
      <x v="557"/>
      <x v="1"/>
      <x v="1"/>
      <x v="1"/>
      <x/>
      <x v="1"/>
      <x v="1"/>
      <x v="1"/>
    </i>
    <i>
      <x v="531"/>
      <x v="558"/>
      <x v="5"/>
      <x v="1"/>
      <x/>
      <x v="1"/>
      <x/>
      <x/>
      <x v="1"/>
    </i>
    <i>
      <x v="532"/>
      <x v="560"/>
      <x v="2"/>
      <x v="1"/>
      <x/>
      <x v="1"/>
      <x/>
      <x v="1"/>
      <x/>
    </i>
    <i>
      <x v="533"/>
      <x v="561"/>
      <x v="1"/>
      <x v="1"/>
      <x/>
      <x v="1"/>
      <x/>
      <x/>
      <x v="1"/>
    </i>
    <i>
      <x v="534"/>
      <x v="564"/>
      <x v="1"/>
      <x v="1"/>
      <x/>
      <x/>
      <x v="1"/>
      <x v="1"/>
      <x/>
    </i>
    <i>
      <x v="535"/>
      <x v="615"/>
      <x v="2"/>
      <x/>
      <x v="1"/>
      <x v="1"/>
      <x/>
      <x v="1"/>
      <x/>
    </i>
    <i>
      <x v="536"/>
      <x v="616"/>
      <x v="1"/>
      <x v="1"/>
      <x/>
      <x v="1"/>
      <x/>
      <x v="1"/>
      <x/>
    </i>
    <i>
      <x v="537"/>
      <x v="617"/>
      <x v="1"/>
      <x/>
      <x v="1"/>
      <x/>
      <x v="1"/>
      <x/>
      <x v="1"/>
    </i>
    <i>
      <x v="538"/>
      <x v="618"/>
      <x v="1"/>
      <x v="1"/>
      <x/>
      <x v="1"/>
      <x/>
      <x v="1"/>
      <x/>
    </i>
    <i>
      <x v="539"/>
      <x v="621"/>
      <x v="2"/>
      <x v="1"/>
      <x v="1"/>
      <x v="1"/>
      <x/>
      <x v="1"/>
      <x/>
    </i>
    <i>
      <x v="540"/>
      <x v="622"/>
      <x v="2"/>
      <x v="1"/>
      <x/>
      <x v="1"/>
      <x/>
      <x/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400-000000000000}" autoFormatId="16" applyNumberFormats="0" applyBorderFormats="0" applyFontFormats="0" applyPatternFormats="0" applyAlignmentFormats="0" applyWidthHeightFormats="0">
  <queryTableRefresh nextId="20">
    <queryTableFields count="15">
      <queryTableField id="1" name="GroupName" tableColumnId="13"/>
      <queryTableField id="2" name="CardCode" tableColumnId="2"/>
      <queryTableField id="3" name="CardName" tableColumnId="3"/>
      <queryTableField id="13" name="LicTradNum" tableColumnId="1"/>
      <queryTableField id="10" name="CreateDate" tableColumnId="10"/>
      <queryTableField id="14" name="PymntGroup" tableColumnId="14"/>
      <queryTableField id="4" name="CreditLine" tableColumnId="4"/>
      <queryTableField id="5" name="Balance" tableColumnId="5"/>
      <queryTableField id="6" name="Due Amount" tableColumnId="6"/>
      <queryTableField id="7" name="Due Period" tableColumnId="7"/>
      <queryTableField id="8" name="Avaliable CreditLine" tableColumnId="8"/>
      <queryTableField id="9" name="Free_Text" tableColumnId="9"/>
      <queryTableField id="15" name="GroupNum" tableColumnId="15"/>
      <queryTableField id="11" name="Creditline State" tableColumnId="11"/>
      <queryTableField id="12" name="DueAmount State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94FEFD-1628-4046-A776-0BD36A0509D7}" name="بيانات_العملاء" displayName="بيانات_العملاء" ref="A1:AX542" totalsRowShown="0" headerRowDxfId="73">
  <autoFilter ref="A1:AX542" xr:uid="{7994FEFD-1628-4046-A776-0BD36A0509D7}"/>
  <tableColumns count="50">
    <tableColumn id="36" xr3:uid="{7D02FF48-556A-47E1-B38F-9BB516AD0519}" name="المجموعة" dataDxfId="72"/>
    <tableColumn id="1" xr3:uid="{A2007FC9-462D-4CB1-8D77-86B590DDEA0E}" name="رمز شريك الأعمال" dataDxfId="71"/>
    <tableColumn id="2" xr3:uid="{324A3240-87B1-45C3-A56C-F09A6C6F0E6E}" name="اسم شريك الأعمال" dataDxfId="70"/>
    <tableColumn id="46" xr3:uid="{561879DC-BE8E-4B3C-B955-D9DAAF5DC596}" name="نوع العميل" dataDxfId="69">
      <calculatedColumnFormula>IF(بيانات_العملاء[[#This Row],[حد الائتمان على SAP]]&gt;0,"آجل","نقدى")</calculatedColumnFormula>
    </tableColumn>
    <tableColumn id="14" xr3:uid="{207A19C0-3A3D-44A8-A922-CBC8F2DD35FF}" name="اسم المالك" dataDxfId="68"/>
    <tableColumn id="47" xr3:uid="{6CC9536E-F166-4BE9-B392-778315CE0A1F}" name="الكيان القانونى" dataDxfId="67"/>
    <tableColumn id="13" xr3:uid="{C6127EF3-2F7C-4961-A594-C8354787DFEA}" name="طلب فتح حساب مصدق" dataDxfId="66"/>
    <tableColumn id="12" xr3:uid="{AA80B94D-01E2-499D-95C3-A2A8476DD168}" name="حالة طلب فتح الحساب" dataDxfId="65">
      <calculatedColumnFormula>IF(OR(بيانات_العملاء[[#This Row],[طلب فتح حساب مصدق]]="موجود", بيانات_العملاء[[#This Row],[طلب فتح حساب مصدق]]="مستثنى"), "سارى", "يجب اعادة طلبه")</calculatedColumnFormula>
    </tableColumn>
    <tableColumn id="11" xr3:uid="{CFD2EE21-88F1-46B2-8827-80B2F4E46843}" name="السجل التجارى" dataDxfId="64"/>
    <tableColumn id="10" xr3:uid="{8EA211AF-B8B8-4B6D-9093-EA6FEA7485F0}" name="تاريخ انتهاء السجل التجارى" dataDxfId="63"/>
    <tableColumn id="8" xr3:uid="{1BEB0CA1-BC5A-4AE9-B979-5C2078A388C5}" name="مطابقة اسم العميل بالاسم بالسجل التجارى" dataDxfId="62">
      <calculatedColumnFormula>IF(بيانات_العملاء[[#This Row],[السجل التجارى]]="غير موجود", "غير مطابق", "")</calculatedColumnFormula>
    </tableColumn>
    <tableColumn id="9" xr3:uid="{6F50E7E6-00CC-4ECF-B8C3-043DF49F1B81}" name="حالة السجل التجارى" dataDxfId="61">
      <calculatedColumnFormula>IF(AND(بيانات_العملاء[[#This Row],[السجل التجارى]]="موجود",TODAY()+'Other Data'!$B$23&lt;J2,بيانات_العملاء[[#This Row],[مطابقة اسم العميل بالاسم بالسجل التجارى]]="مطابق"), "سارى", "يجب اعادة طلبه")</calculatedColumnFormula>
    </tableColumn>
    <tableColumn id="7" xr3:uid="{913C8E55-0F1B-459C-BA6C-2A03BA29BF11}" name="البطاقة الضريبية" dataDxfId="60"/>
    <tableColumn id="3" xr3:uid="{A9464466-F901-4D58-8C9D-4B49B99113B2}" name="معرف الضريبة الحكومية" dataDxfId="59">
      <calculatedColumnFormula array="1">INDEX('SAP Customer Data'!$A:$AC,MATCH(بيانات_العملاء[[#This Row],[رمز شريك الأعمال]],'SAP Customer Data'!$B:$B,0),CELL("col",Table_Customer_Data[[#Headers],[LicTradNum]]))</calculatedColumnFormula>
    </tableColumn>
    <tableColumn id="23" xr3:uid="{4D448384-A45B-4CD3-B43A-58D1F724A2A2}" name="حالة البطاقة الضريبية" dataDxfId="58">
      <calculatedColumnFormula>IF(AND(بيانات_العملاء[[#This Row],[البطاقة الضريبية]]="موجود", LEN(بيانات_العملاء[[#This Row],[معرف الضريبة الحكومية]])=15),"سارى", "يجب اعادة طلبه")</calculatedColumnFormula>
    </tableColumn>
    <tableColumn id="22" xr3:uid="{3196CA00-5B08-4ACA-9D0A-977978B5AAFE}" name="رخصة النشاط التجارى" dataDxfId="57"/>
    <tableColumn id="21" xr3:uid="{D832B8E4-2D91-4E0D-AEDF-5C6A1DFE5506}" name="تاريخ انتهاء رخصة النشاط التجارى" dataDxfId="56"/>
    <tableColumn id="20" xr3:uid="{F484E20D-66A6-4ADD-9617-078E8B087223}" name="حالة رخصة النشاط التجارى" dataDxfId="55">
      <calculatedColumnFormula>IF(AND(بيانات_العملاء[[#This Row],[رخصة النشاط التجارى]]="موجود", بيانات_العملاء[[#This Row],[تاريخ انتهاء رخصة النشاط التجارى]]&gt;TODAY()+90),"سارى", "يجب اعادة طلبه")</calculatedColumnFormula>
    </tableColumn>
    <tableColumn id="38" xr3:uid="{10C9F3D9-6F03-4530-A6BD-B58D7D1E3ADC}" name="سند الامر" dataDxfId="54"/>
    <tableColumn id="19" xr3:uid="{9752C417-030B-439C-B6DB-3A6FA7E64880}" name="قيمة سند الامر او الاستثناء" dataDxfId="53" dataCellStyle="Comma"/>
    <tableColumn id="18" xr3:uid="{9951C0D8-8969-4AD5-8FDA-691D5AB5A2B8}" name="تاريخ انشاء سند الامر او الاستثناء" dataDxfId="52"/>
    <tableColumn id="17" xr3:uid="{97E10C50-631A-45F7-B713-0C36487A87AA}" name="تاريخ انتهاء سند الامر او الاستثناء" dataDxfId="51">
      <calculatedColumnFormula>IF(بيانات_العملاء[[#This Row],[تاريخ انشاء سند الامر او الاستثناء]]="",0,بيانات_العملاء[[#This Row],[تاريخ انشاء سند الامر او الاستثناء]]+365*3)</calculatedColumnFormula>
    </tableColumn>
    <tableColumn id="16" xr3:uid="{CF82053F-C484-4873-9579-729A860FA260}" name="قيمة سند الامر المضبوطة" dataDxfId="50">
      <calculatedColumnFormula>IF(بيانات_العملاء[[#This Row],[سند الامر]]="غير موجود", "", IF(بيانات_العملاء[[#This Row],[سند الامر]]="مستثنى",بيانات_العملاء[[#This Row],[قيمة سند الامر او الاستثناء]],80%*بيانات_العملاء[[#This Row],[قيمة سند الامر او الاستثناء]]))</calculatedColumnFormula>
    </tableColumn>
    <tableColumn id="4" xr3:uid="{87804456-9A3C-4127-9D49-DAF33E50A307}" name="حد الائتمان على SAP" dataDxfId="49">
      <calculatedColumnFormula array="1">INDEX('SAP Customer Data'!$A:$AC,MATCH(بيانات_العملاء[[#This Row],[رمز شريك الأعمال]],'SAP Customer Data'!$B:$B,0),CELL("col",Table_Customer_Data[[#Headers],[CreditLine]]))</calculatedColumnFormula>
    </tableColumn>
    <tableColumn id="35" xr3:uid="{6C862A5B-5272-462F-9AE6-B5B0D4E6B2B0}" name="مطابقة الحد الائتمانى" dataDxfId="48">
      <calculatedColumnFormula>IF(بيانات_العملاء[[#This Row],[قيمة سند الامر المضبوطة]]=بيانات_العملاء[[#This Row],[حد الائتمان على SAP]],"مطابق", "غير مطابق")</calculatedColumnFormula>
    </tableColumn>
    <tableColumn id="33" xr3:uid="{21B79F8C-A527-4AC0-BFC3-B899B5B5E4E1}" name="مطابقة رقم السجل التجارى بسند الامر" dataDxfId="47"/>
    <tableColumn id="34" xr3:uid="{267D5D4D-DBCC-44F1-BD0C-CB4906ADE260}" name="حالة سند الامر" dataDxfId="46">
      <calculatedColumnFormula>(IF(OR(AND(بيانات_العملاء[[#This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الامر]]="مطابق"),AND(بيانات_العملاء[[#This Row],[سند الامر]]="مستثنى",بيانات_العملاء[[#This Row],[قيمة سند الامر او الاستثناء]]=بيانات_العملاء[[#This Row],[حد الائتمان على SAP]])), "سارى", "يجب اعادة طلبه"))</calculatedColumnFormula>
    </tableColumn>
    <tableColumn id="32" xr3:uid="{B49A20DB-A92D-4962-8100-6D58EB9B96A4}" name=" صورة عن هوية المالك" dataDxfId="45"/>
    <tableColumn id="31" xr3:uid="{632370BE-62E7-4629-BEB0-544E3989F84A}" name="تاريخ انتهاء هوية المالك" dataDxfId="44"/>
    <tableColumn id="30" xr3:uid="{8070B280-9080-47D0-A4F9-65FAADD2ABEE}" name="حالة هوية المالك" dataDxfId="43">
      <calculatedColumnFormula>IF(AND(TODAY()+90&lt;بيانات_العملاء[[#This Row],[تاريخ انتهاء هوية المالك]],بيانات_العملاء[[#This Row],[ صورة عن هوية المالك]]="موجود"), "سارى", "يجب اعادة طلبه")</calculatedColumnFormula>
    </tableColumn>
    <tableColumn id="29" xr3:uid="{313DC6D8-3183-4B31-BD48-8EC352655AAA}" name=" صورة عن هوية الضامن الاحتياطي في السند لأمر" dataDxfId="42"/>
    <tableColumn id="28" xr3:uid="{6CFEF26D-00CF-4CD8-BC53-B59CC4BAF560}" name="تاريخ انتهاء صورة عن هوية الضامن الاحتياطي في السند لأمر" dataDxfId="41"/>
    <tableColumn id="27" xr3:uid="{2D775DA3-7682-46DB-B8F2-FD9991853B84}" name="حالة  صورة عن هوية الضامن الاحتياطي في السند لأمر" dataDxfId="40">
      <calculatedColumnFormula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calculatedColumnFormula>
    </tableColumn>
    <tableColumn id="26" xr3:uid="{D78E727C-E458-4A7C-93E5-C1669E000A38}" name=" صورة عن هوية الشاهد الاول في السند الامر" dataDxfId="39"/>
    <tableColumn id="39" xr3:uid="{C0AAA25C-C8AA-4D57-BCE7-09B3F36450D4}" name=" تاريخ انتهاء هوية الشاهد الاول في السند الامر" dataDxfId="38"/>
    <tableColumn id="40" xr3:uid="{9B7585AC-F691-4E23-B265-DDDADC2CDAD8}" name=" حالة هوية الشاهد الاول في السند الامر" dataDxfId="37">
      <calculatedColumnFormula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calculatedColumnFormula>
    </tableColumn>
    <tableColumn id="48" xr3:uid="{4FF703FA-BD10-4035-945C-D5A54FBD7006}" name=" صورة عن هوية الشاهد الثانى في السند الامر" dataDxfId="36"/>
    <tableColumn id="49" xr3:uid="{D1609561-8240-40B0-865C-0D0AE8ECC248}" name=" تاريخ انتهاء هوية الشاهد الثانى في السند الامر" dataDxfId="35"/>
    <tableColumn id="50" xr3:uid="{B20D2121-5614-46A0-A509-D184F350864F}" name=" حالة هوية الشاهد الثانى في السند الامر" dataDxfId="34">
      <calculatedColumnFormula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calculatedColumnFormula>
    </tableColumn>
    <tableColumn id="25" xr3:uid="{E431A9F7-A526-48D3-91DB-70754DD48841}" name=" صورة عن العنوان الوطني للمؤسسة" dataDxfId="33"/>
    <tableColumn id="45" xr3:uid="{561FD12B-5E0E-42B8-B659-E2DCA94B4AD2}" name="تاريخ انتهاء العنوان الوطنى للمؤسسة" dataDxfId="32"/>
    <tableColumn id="41" xr3:uid="{A57B0250-4C0A-4C52-8131-49C467DA345C}" name="حالة العنوان الوطنى للمؤسسة" dataDxfId="31">
      <calculatedColumnFormula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calculatedColumnFormula>
    </tableColumn>
    <tableColumn id="24" xr3:uid="{0D70C582-A4D9-4B22-8083-790D9EB7AE9E}" name=" صورة عن العنوان الوطني للضامن الاحتياطي في سند الامر" dataDxfId="30"/>
    <tableColumn id="42" xr3:uid="{02A80551-136C-4760-839F-FA60983977C3}" name="تاريخ انتهاء العنوان الوطني للضامن الاحتياطي في سند الامر" dataDxfId="29"/>
    <tableColumn id="43" xr3:uid="{FC087487-BBF2-4629-9A35-A354F26D15B6}" name="حالة  العنوان الوطني للضامن الاحتياطي في سند الامر" dataDxfId="28">
      <calculatedColumnFormula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calculatedColumnFormula>
    </tableColumn>
    <tableColumn id="6" xr3:uid="{0B6DFC49-B46E-4C81-B87B-D6DD28FB91A5}" name="تاريخ الإنشاء" dataDxfId="27">
      <calculatedColumnFormula array="1">INDEX('SAP Customer Data'!A:Z,MATCH(بيانات_العملاء[[#This Row],[رمز شريك الأعمال]],'SAP Customer Data'!B:B,0),CELL("col",Table_Customer_Data[[#Headers],[CreateDate]]))</calculatedColumnFormula>
    </tableColumn>
    <tableColumn id="15" xr3:uid="{C2D210B9-BC4F-4E8A-9A1D-81F8279129C1}" name="لوكيشن العميل" dataDxfId="26"/>
    <tableColumn id="5" xr3:uid="{CE422F8A-59AA-4CF3-AE7B-0187023E2C93}" name="الملاحظات" dataDxfId="25"/>
    <tableColumn id="37" xr3:uid="{21FC83F9-0D0D-49A6-8F14-57DAF1B4B5BB}" name="الفروع" dataDxfId="24"/>
    <tableColumn id="44" xr3:uid="{0EE51652-20EB-4E94-9471-753A10EC2245}" name="قيمة السند او الاستثناء الاجمالية للفروع" dataDxfId="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ustomer_Data" displayName="Table_Customer_Data" ref="A1:O541" tableType="queryTable" totalsRowShown="0">
  <autoFilter ref="A1:O541" xr:uid="{00000000-0009-0000-0100-000002000000}"/>
  <tableColumns count="15">
    <tableColumn id="13" xr3:uid="{00000000-0010-0000-0100-00000D000000}" uniqueName="13" name="GroupName" queryTableFieldId="1" dataDxfId="22"/>
    <tableColumn id="2" xr3:uid="{00000000-0010-0000-0100-000002000000}" uniqueName="2" name="CardCode" queryTableFieldId="2" dataDxfId="21"/>
    <tableColumn id="3" xr3:uid="{00000000-0010-0000-0100-000003000000}" uniqueName="3" name="CardName" queryTableFieldId="3" dataDxfId="20"/>
    <tableColumn id="1" xr3:uid="{00000000-0010-0000-0100-000001000000}" uniqueName="1" name="LicTradNum" queryTableFieldId="13" dataDxfId="19"/>
    <tableColumn id="10" xr3:uid="{00000000-0010-0000-0100-00000A000000}" uniqueName="10" name="CreateDate" queryTableFieldId="10" dataDxfId="18"/>
    <tableColumn id="14" xr3:uid="{00000000-0010-0000-0100-00000E000000}" uniqueName="14" name="PymntGroup" queryTableFieldId="14" dataDxfId="17"/>
    <tableColumn id="4" xr3:uid="{00000000-0010-0000-0100-000004000000}" uniqueName="4" name="CreditLine" queryTableFieldId="4"/>
    <tableColumn id="5" xr3:uid="{00000000-0010-0000-0100-000005000000}" uniqueName="5" name="Balance" queryTableFieldId="5"/>
    <tableColumn id="6" xr3:uid="{00000000-0010-0000-0100-000006000000}" uniqueName="6" name="Due Amount" queryTableFieldId="6"/>
    <tableColumn id="7" xr3:uid="{00000000-0010-0000-0100-000007000000}" uniqueName="7" name="Due Period" queryTableFieldId="7"/>
    <tableColumn id="8" xr3:uid="{00000000-0010-0000-0100-000008000000}" uniqueName="8" name="Avaliable CreditLine" queryTableFieldId="8"/>
    <tableColumn id="9" xr3:uid="{00000000-0010-0000-0100-000009000000}" uniqueName="9" name="Free_Text" queryTableFieldId="9" dataDxfId="16"/>
    <tableColumn id="15" xr3:uid="{00000000-0010-0000-0100-00000F000000}" uniqueName="15" name="GroupNum" queryTableFieldId="15"/>
    <tableColumn id="11" xr3:uid="{00000000-0010-0000-0100-00000B000000}" uniqueName="11" name="Creditline State" queryTableFieldId="11" dataDxfId="15"/>
    <tableColumn id="12" xr3:uid="{00000000-0010-0000-0100-00000C000000}" uniqueName="12" name="DueAmount State" queryTableFieldId="12" dataDxf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drive/folders/1UO97JsSnks77RM1qNUt52q59C8043wup" TargetMode="External"/><Relationship Id="rId299" Type="http://schemas.openxmlformats.org/officeDocument/2006/relationships/hyperlink" Target="https://drive.google.com/drive/folders/1C5Fd-VqY_-VhrQmmhrA60IK_4Aa4_CVf" TargetMode="External"/><Relationship Id="rId21" Type="http://schemas.openxmlformats.org/officeDocument/2006/relationships/hyperlink" Target="https://drive.google.com/drive/folders/1h-NxWlz7L4FpZ-8QgGoHpcTZZ4vA7dpb" TargetMode="External"/><Relationship Id="rId63" Type="http://schemas.openxmlformats.org/officeDocument/2006/relationships/hyperlink" Target="https://drive.google.com/drive/folders/15XvwhB_PTUGsawWR-CkIXvPDrptvVLnL" TargetMode="External"/><Relationship Id="rId159" Type="http://schemas.openxmlformats.org/officeDocument/2006/relationships/hyperlink" Target="https://drive.google.com/drive/folders/1QY8pFBsWnRib68R20Tj5tD9noqDIYGOk" TargetMode="External"/><Relationship Id="rId324" Type="http://schemas.openxmlformats.org/officeDocument/2006/relationships/hyperlink" Target="https://drive.google.com/drive/folders/1xXY-TH43R8MbeHtd01ChHZAmu2gU0GZA" TargetMode="External"/><Relationship Id="rId366" Type="http://schemas.openxmlformats.org/officeDocument/2006/relationships/hyperlink" Target="https://drive.google.com/drive/folders/1KKg2l0XrP0T7IEDR0S03C9AopZlqrJur" TargetMode="External"/><Relationship Id="rId170" Type="http://schemas.openxmlformats.org/officeDocument/2006/relationships/hyperlink" Target="https://drive.google.com/drive/folders/1IwDac_phypsjBmDCfxYfvlqS23mdiTou" TargetMode="External"/><Relationship Id="rId226" Type="http://schemas.openxmlformats.org/officeDocument/2006/relationships/hyperlink" Target="https://drive.google.com/drive/u/1/folders/1LDeNu7KaEdVAQTWjPo8afOw-W2q_KPh3" TargetMode="External"/><Relationship Id="rId268" Type="http://schemas.openxmlformats.org/officeDocument/2006/relationships/hyperlink" Target="https://drive.google.com/drive/folders/1OuBLoCZ8jiyKDSnhlVpapcqAU3Y5DYJM" TargetMode="External"/><Relationship Id="rId32" Type="http://schemas.openxmlformats.org/officeDocument/2006/relationships/hyperlink" Target="https://drive.google.com/drive/folders/1SnKcj5oA815LRtPT5O6dUIAS2tlyNe1f" TargetMode="External"/><Relationship Id="rId74" Type="http://schemas.openxmlformats.org/officeDocument/2006/relationships/hyperlink" Target="https://drive.google.com/drive/u/1/folders/1gomLV4FxTaZUMkBsBIWKQXuDKUTAosdc" TargetMode="External"/><Relationship Id="rId128" Type="http://schemas.openxmlformats.org/officeDocument/2006/relationships/hyperlink" Target="https://drive.google.com/drive/folders/1jQy8Loq30tWajWLK9jSr6c9EpqKACk2W" TargetMode="External"/><Relationship Id="rId335" Type="http://schemas.openxmlformats.org/officeDocument/2006/relationships/hyperlink" Target="https://drive.google.com/drive/folders/1dLg-oTkqrp1lvbV7SYVtO3Wxg5NCFY0Y" TargetMode="External"/><Relationship Id="rId377" Type="http://schemas.openxmlformats.org/officeDocument/2006/relationships/hyperlink" Target="https://drive.google.com/drive/folders/1SPtaGGTR_D4sjd9i_ANCfUdp7zVtuLxg" TargetMode="External"/><Relationship Id="rId5" Type="http://schemas.openxmlformats.org/officeDocument/2006/relationships/hyperlink" Target="https://drive.google.com/drive/folders/1Uj6Lhf_Sn1k2ToxTuaxS1Kfh_x4bI2Ma?usp=share_link" TargetMode="External"/><Relationship Id="rId181" Type="http://schemas.openxmlformats.org/officeDocument/2006/relationships/hyperlink" Target="https://drive.google.com/drive/folders/1aOa4AAhyygnUfRn7pVKo4eUIzj8pdcvK" TargetMode="External"/><Relationship Id="rId237" Type="http://schemas.openxmlformats.org/officeDocument/2006/relationships/hyperlink" Target="https://drive.google.com/drive/folders/1bEuMiSZMQJnpvqbpvYfElnvgpwH_2h8X" TargetMode="External"/><Relationship Id="rId279" Type="http://schemas.openxmlformats.org/officeDocument/2006/relationships/hyperlink" Target="https://drive.google.com/drive/folders/1jwtDweZlSKKy3KhFrkVPc2wpVvqxjbBO" TargetMode="External"/><Relationship Id="rId43" Type="http://schemas.openxmlformats.org/officeDocument/2006/relationships/hyperlink" Target="https://drive.google.com/drive/folders/1GTUdb4uiNXXipk27J_HqqQvRDRaheXit" TargetMode="External"/><Relationship Id="rId139" Type="http://schemas.openxmlformats.org/officeDocument/2006/relationships/hyperlink" Target="https://drive.google.com/drive/folders/1IGyWYIBDnvSRMAxVDmJd7LJSAfZGlGrb" TargetMode="External"/><Relationship Id="rId290" Type="http://schemas.openxmlformats.org/officeDocument/2006/relationships/hyperlink" Target="https://drive.google.com/drive/folders/1r36UNenaUkbBhgMJ8dzn5CUuYRNyax7Q" TargetMode="External"/><Relationship Id="rId304" Type="http://schemas.openxmlformats.org/officeDocument/2006/relationships/hyperlink" Target="https://drive.google.com/drive/folders/1MjiVwJQae606Oddy9_X8aQniZ8CtTjuA" TargetMode="External"/><Relationship Id="rId346" Type="http://schemas.openxmlformats.org/officeDocument/2006/relationships/hyperlink" Target="https://drive.google.com/drive/folders/13-2GeeeTH5fHahqGNjjDESwlfaemFF58" TargetMode="External"/><Relationship Id="rId388" Type="http://schemas.openxmlformats.org/officeDocument/2006/relationships/comments" Target="../comments1.xml"/><Relationship Id="rId85" Type="http://schemas.openxmlformats.org/officeDocument/2006/relationships/hyperlink" Target="https://drive.google.com/drive/folders/1lguh8JEcxlMfOPK2bUEHFPrYeMmxbxMB" TargetMode="External"/><Relationship Id="rId150" Type="http://schemas.openxmlformats.org/officeDocument/2006/relationships/hyperlink" Target="https://drive.google.com/drive/folders/10yMN4bbjCdY7u4LGeLQGOLD5wOea_a1w" TargetMode="External"/><Relationship Id="rId192" Type="http://schemas.openxmlformats.org/officeDocument/2006/relationships/hyperlink" Target="https://drive.google.com/drive/folders/1s1SrjKi8hhG6cgxtuAQVxS-c12JoNg5E" TargetMode="External"/><Relationship Id="rId206" Type="http://schemas.openxmlformats.org/officeDocument/2006/relationships/hyperlink" Target="https://drive.google.com/drive/folders/1iXp4fTeltMdBDadzws2FfYonZKimJAKL" TargetMode="External"/><Relationship Id="rId248" Type="http://schemas.openxmlformats.org/officeDocument/2006/relationships/hyperlink" Target="https://drive.google.com/drive/u/1/folders/1dp0AXl_7m-jRrB8uzsax2ixXz4glsZDo" TargetMode="External"/><Relationship Id="rId12" Type="http://schemas.openxmlformats.org/officeDocument/2006/relationships/hyperlink" Target="https://drive.google.com/drive/folders/11bIxZhvHf-Nk_TXhVHwEl5iaQL1VZooY?usp=share_link" TargetMode="External"/><Relationship Id="rId108" Type="http://schemas.openxmlformats.org/officeDocument/2006/relationships/hyperlink" Target="https://drive.google.com/drive/folders/1jYPRHcJ9TlbozqPgr4VktRzqkNAw2UGN" TargetMode="External"/><Relationship Id="rId315" Type="http://schemas.openxmlformats.org/officeDocument/2006/relationships/hyperlink" Target="https://drive.google.com/drive/u/0/folders/12mdc3wDQoWlLz3EB6G62_b63FQId2r7d" TargetMode="External"/><Relationship Id="rId357" Type="http://schemas.openxmlformats.org/officeDocument/2006/relationships/hyperlink" Target="https://drive.google.com/drive/folders/17c0bZ-UNLu92vNJYKTKXWT6wdTT7j5zX" TargetMode="External"/><Relationship Id="rId54" Type="http://schemas.openxmlformats.org/officeDocument/2006/relationships/hyperlink" Target="https://drive.google.com/drive/folders/1OwZk3bmQdmmLKQeAIEE7E8q4vMGFiLCW" TargetMode="External"/><Relationship Id="rId96" Type="http://schemas.openxmlformats.org/officeDocument/2006/relationships/hyperlink" Target="https://drive.google.com/drive/u/1/folders/1418nct-wsV6bY9cWewn88HDVaxYagvwC" TargetMode="External"/><Relationship Id="rId161" Type="http://schemas.openxmlformats.org/officeDocument/2006/relationships/hyperlink" Target="https://drive.google.com/drive/folders/1X-i10ekgHLQhlGvsowtg7CfzSBI6OUQa" TargetMode="External"/><Relationship Id="rId217" Type="http://schemas.openxmlformats.org/officeDocument/2006/relationships/hyperlink" Target="https://drive.google.com/drive/folders/1dHCZqp54PE5ToYlpMDs_kzF4BGPRUXBU" TargetMode="External"/><Relationship Id="rId259" Type="http://schemas.openxmlformats.org/officeDocument/2006/relationships/hyperlink" Target="https://drive.google.com/drive/u/0/folders/1-jvfzMUBPV1vnbrc7RX49b8fo5ngjg86" TargetMode="External"/><Relationship Id="rId23" Type="http://schemas.openxmlformats.org/officeDocument/2006/relationships/hyperlink" Target="https://drive.google.com/drive/folders/1qDQeKGDbc0dTin7YAC5YaINtprYfjTPJ" TargetMode="External"/><Relationship Id="rId119" Type="http://schemas.openxmlformats.org/officeDocument/2006/relationships/hyperlink" Target="https://drive.google.com/drive/folders/1Yw7Twc6PS_Eu3GNJn0EXi4VW8ybZCutJ" TargetMode="External"/><Relationship Id="rId270" Type="http://schemas.openxmlformats.org/officeDocument/2006/relationships/hyperlink" Target="https://drive.google.com/drive/folders/1nP_ne_HPK6j-oCoKRljcJCAaZcRHU0ao" TargetMode="External"/><Relationship Id="rId326" Type="http://schemas.openxmlformats.org/officeDocument/2006/relationships/hyperlink" Target="https://drive.google.com/drive/folders/17_xuSwpEjp8UJH96oFO_D9nfepl6e30J" TargetMode="External"/><Relationship Id="rId65" Type="http://schemas.openxmlformats.org/officeDocument/2006/relationships/hyperlink" Target="https://drive.google.com/drive/folders/12ze0old0PrgddXiHVWRSET_yhupnT3NV" TargetMode="External"/><Relationship Id="rId130" Type="http://schemas.openxmlformats.org/officeDocument/2006/relationships/hyperlink" Target="https://drive.google.com/drive/folders/1KuYuRE80ZQnZJwUduUx9GvdhzOhUVmmp" TargetMode="External"/><Relationship Id="rId368" Type="http://schemas.openxmlformats.org/officeDocument/2006/relationships/hyperlink" Target="https://drive.google.com/drive/folders/1R3mV23LzCsluq49WVQILpwgtAs6l3iby" TargetMode="External"/><Relationship Id="rId172" Type="http://schemas.openxmlformats.org/officeDocument/2006/relationships/hyperlink" Target="https://drive.google.com/drive/folders/1mXkILIfI9MV6ouFnxfsmYtXb9hOUBJKT" TargetMode="External"/><Relationship Id="rId228" Type="http://schemas.openxmlformats.org/officeDocument/2006/relationships/hyperlink" Target="https://drive.google.com/drive/folders/1X7rurPDHBhcy3r4lDfNX1psZJ1rqUv9U" TargetMode="External"/><Relationship Id="rId281" Type="http://schemas.openxmlformats.org/officeDocument/2006/relationships/hyperlink" Target="https://drive.google.com/drive/folders/1ZXG7zg80xldMxa7Ldt6BOMqgr1CvVrXG" TargetMode="External"/><Relationship Id="rId337" Type="http://schemas.openxmlformats.org/officeDocument/2006/relationships/hyperlink" Target="https://drive.google.com/drive/folders/12W44jpt6L7yAXYsvtxgMFzDoZINcBfTG" TargetMode="External"/><Relationship Id="rId34" Type="http://schemas.openxmlformats.org/officeDocument/2006/relationships/hyperlink" Target="https://drive.google.com/drive/folders/1ZC2wXN8mjMwbxue59hI-mRaDFYE1b8Be" TargetMode="External"/><Relationship Id="rId76" Type="http://schemas.openxmlformats.org/officeDocument/2006/relationships/hyperlink" Target="https://drive.google.com/drive/folders/13mHvFB3T0FYad3HOGYlwNeS6XVwNU7Im" TargetMode="External"/><Relationship Id="rId141" Type="http://schemas.openxmlformats.org/officeDocument/2006/relationships/hyperlink" Target="https://drive.google.com/drive/folders/1NNC65GdTHEFoFu5SVPjhxD4xABzQEht5" TargetMode="External"/><Relationship Id="rId379" Type="http://schemas.openxmlformats.org/officeDocument/2006/relationships/hyperlink" Target="https://drive.google.com/drive/folders/1XfOR13PIxUv9VSy9fyvwqp97XplvbfDI" TargetMode="External"/><Relationship Id="rId7" Type="http://schemas.openxmlformats.org/officeDocument/2006/relationships/hyperlink" Target="https://drive.google.com/drive/folders/1fnpIl44HB71FBPhkuKEhMZmtNtDqAJOE?usp=share_link" TargetMode="External"/><Relationship Id="rId183" Type="http://schemas.openxmlformats.org/officeDocument/2006/relationships/hyperlink" Target="https://drive.google.com/drive/folders/12uUhKm0uJAt-9n379l--IDlu1_J3hCCK" TargetMode="External"/><Relationship Id="rId239" Type="http://schemas.openxmlformats.org/officeDocument/2006/relationships/hyperlink" Target="https://drive.google.com/drive/folders/1HsTFJXwMGRwzEVaHAi2ysuCiL0ObgEx7" TargetMode="External"/><Relationship Id="rId250" Type="http://schemas.openxmlformats.org/officeDocument/2006/relationships/hyperlink" Target="https://drive.google.com/drive/u/1/folders/1foi0ofpY7wqIoyI4dmvl-SpbF6zE8qMq" TargetMode="External"/><Relationship Id="rId292" Type="http://schemas.openxmlformats.org/officeDocument/2006/relationships/hyperlink" Target="https://drive.google.com/drive/folders/13fyYkm3TiLgqNqxVV4atOcV1FYBBBCgU" TargetMode="External"/><Relationship Id="rId306" Type="http://schemas.openxmlformats.org/officeDocument/2006/relationships/hyperlink" Target="https://drive.google.com/drive/folders/1-CqxGLK-4PIzM91GINFpnCrVcgmPJauZ" TargetMode="External"/><Relationship Id="rId45" Type="http://schemas.openxmlformats.org/officeDocument/2006/relationships/hyperlink" Target="https://drive.google.com/drive/u/1/folders/https:/drive.google.com/drive/folders/1AU7MPSuLOKaA4ck5HafLiO1LqLlR9jX4" TargetMode="External"/><Relationship Id="rId87" Type="http://schemas.openxmlformats.org/officeDocument/2006/relationships/hyperlink" Target="https://drive.google.com/drive/folders/1QibDnTW0rtxn4koYMrMNumLVtGPDLueq" TargetMode="External"/><Relationship Id="rId110" Type="http://schemas.openxmlformats.org/officeDocument/2006/relationships/hyperlink" Target="https://drive.google.com/drive/folders/1IyqNxnt1GbWeI57IBaApXgrC29hPtP6q" TargetMode="External"/><Relationship Id="rId348" Type="http://schemas.openxmlformats.org/officeDocument/2006/relationships/hyperlink" Target="https://drive.google.com/drive/folders/1Q2cV_nKos6TLsL8ilj0CRzpKuS_0S2i5" TargetMode="External"/><Relationship Id="rId152" Type="http://schemas.openxmlformats.org/officeDocument/2006/relationships/hyperlink" Target="https://drive.google.com/drive/folders/1j8O2a9JB6vJZfcYp9-Q4zrTALh2tfV6V" TargetMode="External"/><Relationship Id="rId194" Type="http://schemas.openxmlformats.org/officeDocument/2006/relationships/hyperlink" Target="https://drive.google.com/drive/folders/1q9Pfx8aOHczn5Y-JbxJ-6w4T-YSLhdte" TargetMode="External"/><Relationship Id="rId208" Type="http://schemas.openxmlformats.org/officeDocument/2006/relationships/hyperlink" Target="https://drive.google.com/drive/folders/1v3rOYby5Sv33wl_dyDefhqdORHRL4LUh" TargetMode="External"/><Relationship Id="rId261" Type="http://schemas.openxmlformats.org/officeDocument/2006/relationships/hyperlink" Target="https://drive.google.com/drive/u/0/folders/1MyG9Q6MOQW9RDdjCEKTvpZL7sjZOOVM_" TargetMode="External"/><Relationship Id="rId14" Type="http://schemas.openxmlformats.org/officeDocument/2006/relationships/hyperlink" Target="https://drive.google.com/drive/folders/1ZPmbxEVfQiLCxJP5leomY1wpy1dEzoeu" TargetMode="External"/><Relationship Id="rId56" Type="http://schemas.openxmlformats.org/officeDocument/2006/relationships/hyperlink" Target="https://drive.google.com/drive/folders/1ZpJH-TPyX59u-2Zj2sScb6aqqSNxVfLF" TargetMode="External"/><Relationship Id="rId317" Type="http://schemas.openxmlformats.org/officeDocument/2006/relationships/hyperlink" Target="https://drive.google.com/drive/folders/1-ING8kPrnLM6zSeZPBETdcTmrEz7qmtR" TargetMode="External"/><Relationship Id="rId359" Type="http://schemas.openxmlformats.org/officeDocument/2006/relationships/hyperlink" Target="https://drive.google.com/drive/folders/1fLgI94C69WSX77VmHQYe_KmQSzNQsUxc" TargetMode="External"/><Relationship Id="rId98" Type="http://schemas.openxmlformats.org/officeDocument/2006/relationships/hyperlink" Target="https://drive.google.com/drive/folders/1xT6Tgr_WAQjNPWr6V011MFe1-jgBOYdv" TargetMode="External"/><Relationship Id="rId121" Type="http://schemas.openxmlformats.org/officeDocument/2006/relationships/hyperlink" Target="https://drive.google.com/drive/folders/1oQcjbrvjW_WJmf6zJ1ZljzD3ogdjT1ks" TargetMode="External"/><Relationship Id="rId163" Type="http://schemas.openxmlformats.org/officeDocument/2006/relationships/hyperlink" Target="https://drive.google.com/drive/folders/1nqBAOuTBsTeCp8eTlUOMz7x52ygs0JCU" TargetMode="External"/><Relationship Id="rId219" Type="http://schemas.openxmlformats.org/officeDocument/2006/relationships/hyperlink" Target="https://drive.google.com/drive/folders/1ygtURz38-LmFEURMINTBZufo0STgG8ba" TargetMode="External"/><Relationship Id="rId370" Type="http://schemas.openxmlformats.org/officeDocument/2006/relationships/hyperlink" Target="https://maps.app.goo.gl/hboa1ZhuiKq8cEQTA" TargetMode="External"/><Relationship Id="rId230" Type="http://schemas.openxmlformats.org/officeDocument/2006/relationships/hyperlink" Target="https://drive.google.com/drive/folders/1nLTMW-0YwG7Co-U9266-U5had4HK-wBy" TargetMode="External"/><Relationship Id="rId25" Type="http://schemas.openxmlformats.org/officeDocument/2006/relationships/hyperlink" Target="https://drive.google.com/drive/folders/1KMfNZLUw2BNFKDeQrzM55Ba1blOlFH3S" TargetMode="External"/><Relationship Id="rId67" Type="http://schemas.openxmlformats.org/officeDocument/2006/relationships/hyperlink" Target="https://drive.google.com/drive/folders/18cynG1XqsOd4OH9mbUziyuZYUq6xq1c2" TargetMode="External"/><Relationship Id="rId272" Type="http://schemas.openxmlformats.org/officeDocument/2006/relationships/hyperlink" Target="https://drive.google.com/drive/u/1/folders/1zDRTeS-if2URPIx_Got1MFcrm4CuoAD3" TargetMode="External"/><Relationship Id="rId328" Type="http://schemas.openxmlformats.org/officeDocument/2006/relationships/hyperlink" Target="https://drive.google.com/drive/folders/1ZEnSCpJNeRxHAhl4VL5gM7ZOpZarxoRF" TargetMode="External"/><Relationship Id="rId132" Type="http://schemas.openxmlformats.org/officeDocument/2006/relationships/hyperlink" Target="https://drive.google.com/drive/folders/1UMcP36riIOWvXivI1pGlWDll0-93qAgw" TargetMode="External"/><Relationship Id="rId174" Type="http://schemas.openxmlformats.org/officeDocument/2006/relationships/hyperlink" Target="https://drive.google.com/drive/folders/1jNS0x4dQZTh5OM06zoaInMZzDDDzY2Nr" TargetMode="External"/><Relationship Id="rId381" Type="http://schemas.openxmlformats.org/officeDocument/2006/relationships/hyperlink" Target="https://www.google.com/maps/place/24%C2%B043'58.1%22N+46%C2%B048'55.3%22E/@24.6456107,46.3814115,10z/data=!4m4!3m3!8m2!3d24.732817!4d46.81535?entry=ttu" TargetMode="External"/><Relationship Id="rId241" Type="http://schemas.openxmlformats.org/officeDocument/2006/relationships/hyperlink" Target="https://drive.google.com/drive/folders/1l2eP4c-K7V1DwEt_DJ3VyS_7M3b4BQqy" TargetMode="External"/><Relationship Id="rId36" Type="http://schemas.openxmlformats.org/officeDocument/2006/relationships/hyperlink" Target="https://drive.google.com/drive/folders/17UhahGAdtkxPh70njKSK7MtJYw8JoAPk" TargetMode="External"/><Relationship Id="rId283" Type="http://schemas.openxmlformats.org/officeDocument/2006/relationships/hyperlink" Target="https://drive.google.com/drive/folders/1heY272JmVnTh0NPlGhZ9FjPwg7m68Nxl" TargetMode="External"/><Relationship Id="rId339" Type="http://schemas.openxmlformats.org/officeDocument/2006/relationships/hyperlink" Target="https://drive.google.com/drive/folders/1wer2VJB_3LCmr-YNod7c1ivYYmcQykXJ" TargetMode="External"/><Relationship Id="rId78" Type="http://schemas.openxmlformats.org/officeDocument/2006/relationships/hyperlink" Target="https://drive.google.com/drive/folders/1lSkrGPUvz0UMZ03iSaeT5b3NW_IqSGuw" TargetMode="External"/><Relationship Id="rId101" Type="http://schemas.openxmlformats.org/officeDocument/2006/relationships/hyperlink" Target="https://drive.google.com/drive/folders/11kshvU8pBowfsQOmKjNIRU2rkKHJnjYF" TargetMode="External"/><Relationship Id="rId143" Type="http://schemas.openxmlformats.org/officeDocument/2006/relationships/hyperlink" Target="https://drive.google.com/drive/folders/16UwaLpJfSPgAzcOFGQoxUAcO4WsesJRs" TargetMode="External"/><Relationship Id="rId185" Type="http://schemas.openxmlformats.org/officeDocument/2006/relationships/hyperlink" Target="https://drive.google.com/drive/folders/1Wd1C9nNtWuQGWWtgoxxFsl_5Qnq7WGcj" TargetMode="External"/><Relationship Id="rId350" Type="http://schemas.openxmlformats.org/officeDocument/2006/relationships/hyperlink" Target="https://drive.google.com/drive/folders/1y0WZmTyJC7VVZBiXTxn8UXsNUc2wUG2M" TargetMode="External"/><Relationship Id="rId9" Type="http://schemas.openxmlformats.org/officeDocument/2006/relationships/hyperlink" Target="https://drive.google.com/drive/folders/1H2Qf9Y27XdRYEQ_K0iG-FDmG0vO9l7f8?usp=sharing" TargetMode="External"/><Relationship Id="rId210" Type="http://schemas.openxmlformats.org/officeDocument/2006/relationships/hyperlink" Target="https://drive.google.com/drive/folders/1LJWVqTsCIIgWmmYhKHuzFoyiIXdKijgm" TargetMode="External"/><Relationship Id="rId252" Type="http://schemas.openxmlformats.org/officeDocument/2006/relationships/hyperlink" Target="https://drive.google.com/drive/u/1/folders/1ZFEU3eE0Q7K3xX-36Xnki_-WFgff_qKP" TargetMode="External"/><Relationship Id="rId294" Type="http://schemas.openxmlformats.org/officeDocument/2006/relationships/hyperlink" Target="https://drive.google.com/drive/folders/1fp1N85Xf6V44o2CKxxUeuD4u10FFo1iK" TargetMode="External"/><Relationship Id="rId308" Type="http://schemas.openxmlformats.org/officeDocument/2006/relationships/hyperlink" Target="https://drive.google.com/drive/folders/10MbLiwFi4tSmLdU-De0BnMeaktaS1sWN" TargetMode="External"/><Relationship Id="rId47" Type="http://schemas.openxmlformats.org/officeDocument/2006/relationships/hyperlink" Target="https://drive.google.com/drive/folders/1v2es4qtn044G7Wnx9CV3HLAjxDKO7KHnhttps:/drive.google.com/drive/folders/1_oTcOksUxGjBUia_t_y3KBpXEFOws7_w" TargetMode="External"/><Relationship Id="rId68" Type="http://schemas.openxmlformats.org/officeDocument/2006/relationships/hyperlink" Target="https://drive.google.com/drive/folders/1ztojxyCPbQlPXiZ6DE4vQLQKJ3IKaaK6" TargetMode="External"/><Relationship Id="rId89" Type="http://schemas.openxmlformats.org/officeDocument/2006/relationships/hyperlink" Target="https://drive.google.com/drive/folders/1mcJD1wTiCXTjDYnUMNlmDHRVBKu9294n" TargetMode="External"/><Relationship Id="rId112" Type="http://schemas.openxmlformats.org/officeDocument/2006/relationships/hyperlink" Target="https://drive.google.com/drive/folders/1mktVD-pfVA0AbofspgvLJ_ltCM_hQyTQ" TargetMode="External"/><Relationship Id="rId133" Type="http://schemas.openxmlformats.org/officeDocument/2006/relationships/hyperlink" Target="https://drive.google.com/drive/folders/10YWYHiTBhjYKx6S3ZEOf-tXLDhSKRWNF" TargetMode="External"/><Relationship Id="rId154" Type="http://schemas.openxmlformats.org/officeDocument/2006/relationships/hyperlink" Target="https://drive.google.com/drive/folders/11AjjwkER7PN2Kpi_bNWfgv2SFjOFXXdI" TargetMode="External"/><Relationship Id="rId175" Type="http://schemas.openxmlformats.org/officeDocument/2006/relationships/hyperlink" Target="https://drive.google.com/drive/folders/1QQsWSHxaElW099R7QRoFY3iuZzFVTbQR" TargetMode="External"/><Relationship Id="rId340" Type="http://schemas.openxmlformats.org/officeDocument/2006/relationships/hyperlink" Target="https://drive.google.com/drive/folders/1jhqjVrZUTwh9vM4i208zOSHxJ4f7klyi" TargetMode="External"/><Relationship Id="rId361" Type="http://schemas.openxmlformats.org/officeDocument/2006/relationships/hyperlink" Target="https://www.google.com/maps/place/@29.9568488,30.9302491,15z/data=!3m1!4b1?entry=ttu" TargetMode="External"/><Relationship Id="rId196" Type="http://schemas.openxmlformats.org/officeDocument/2006/relationships/hyperlink" Target="https://drive.google.com/drive/folders/1staPelOP8Y-yCZkhlqLinxNp34KtfI5d" TargetMode="External"/><Relationship Id="rId200" Type="http://schemas.openxmlformats.org/officeDocument/2006/relationships/hyperlink" Target="https://drive.google.com/drive/folders/1iiwsw58VvuD69mHS7CGHPtiiu5sUTn5i" TargetMode="External"/><Relationship Id="rId382" Type="http://schemas.openxmlformats.org/officeDocument/2006/relationships/hyperlink" Target="https://www.google.com/maps/place/24%C2%B043'58.1%22N+46%C2%B048'55.3%22E/@24.6456107,46.3814115,10z/data=!4m4!3m3!8m2!3d24.732817!4d46.81535?entry=ttu" TargetMode="External"/><Relationship Id="rId16" Type="http://schemas.openxmlformats.org/officeDocument/2006/relationships/hyperlink" Target="https://drive.google.com/drive/folders/1IdZ5GThQAyuJHX5yxivfkXoHjnDZVeWi?usp=share_link" TargetMode="External"/><Relationship Id="rId221" Type="http://schemas.openxmlformats.org/officeDocument/2006/relationships/hyperlink" Target="https://drive.google.com/drive/folders/1m0zgjh6eZRxtae_USosb36NOiJUrM1UF" TargetMode="External"/><Relationship Id="rId242" Type="http://schemas.openxmlformats.org/officeDocument/2006/relationships/hyperlink" Target="https://drive.google.com/drive/folders/1zgOw-P1kGgLXmNpKoWyv3dW5REcNKSWo" TargetMode="External"/><Relationship Id="rId263" Type="http://schemas.openxmlformats.org/officeDocument/2006/relationships/hyperlink" Target="https://drive.google.com/drive/u/0/folders/1nxON5aHh1SReeG0Gs-7RcrHfFOF6JfNO" TargetMode="External"/><Relationship Id="rId284" Type="http://schemas.openxmlformats.org/officeDocument/2006/relationships/hyperlink" Target="https://drive.google.com/drive/folders/1S5yypv1jrD2AaIauMBYDHlkp4DlD9sQT" TargetMode="External"/><Relationship Id="rId319" Type="http://schemas.openxmlformats.org/officeDocument/2006/relationships/hyperlink" Target="https://drive.google.com/drive/folders/1G5LMHFPS8d7byFofz2Ttpyc9tKlUZ6gV" TargetMode="External"/><Relationship Id="rId37" Type="http://schemas.openxmlformats.org/officeDocument/2006/relationships/hyperlink" Target="https://drive.google.com/drive/folders/1ejerM06VG8jB4IrmPWaPQ5b0WtpZS9Lz" TargetMode="External"/><Relationship Id="rId58" Type="http://schemas.openxmlformats.org/officeDocument/2006/relationships/hyperlink" Target="https://drive.google.com/drive/folders/1_X-CDznD9lsbX5jl_gEOs0k7hbLvGl3x" TargetMode="External"/><Relationship Id="rId79" Type="http://schemas.openxmlformats.org/officeDocument/2006/relationships/hyperlink" Target="https://drive.google.com/drive/folders/1u95qbjtrdBCd-w9Nq4jMLTnrldPumE9A" TargetMode="External"/><Relationship Id="rId102" Type="http://schemas.openxmlformats.org/officeDocument/2006/relationships/hyperlink" Target="https://drive.google.com/drive/folders/1n5_QUX5KJAdK7CJcpPSO7VKmEqRRPq8l" TargetMode="External"/><Relationship Id="rId123" Type="http://schemas.openxmlformats.org/officeDocument/2006/relationships/hyperlink" Target="https://drive.google.com/drive/folders/13O2Yscm5QtW0KN3UzKh6aPQMg2QU3H_g" TargetMode="External"/><Relationship Id="rId144" Type="http://schemas.openxmlformats.org/officeDocument/2006/relationships/hyperlink" Target="https://drive.google.com/drive/folders/1feiQLFCEDtWi_pja5L9jIJxelTrxNwF3" TargetMode="External"/><Relationship Id="rId330" Type="http://schemas.openxmlformats.org/officeDocument/2006/relationships/hyperlink" Target="https://drive.google.com/drive/folders/1y0c--ZUndzUzT68K8AnTm0ucIR4QCwnB" TargetMode="External"/><Relationship Id="rId90" Type="http://schemas.openxmlformats.org/officeDocument/2006/relationships/hyperlink" Target="https://drive.google.com/drive/folders/14mdR5n6X9H5x2GkIK0X4hK_A92bg6e50" TargetMode="External"/><Relationship Id="rId165" Type="http://schemas.openxmlformats.org/officeDocument/2006/relationships/hyperlink" Target="https://drive.google.com/drive/folders/1eGYyqMBDMPSADp2iS8cEopo1xaS1Ib46" TargetMode="External"/><Relationship Id="rId186" Type="http://schemas.openxmlformats.org/officeDocument/2006/relationships/hyperlink" Target="https://drive.google.com/drive/folders/14XWHPv_wpb7zuGpl_SZqeYpAjWo1Orz_" TargetMode="External"/><Relationship Id="rId351" Type="http://schemas.openxmlformats.org/officeDocument/2006/relationships/hyperlink" Target="https://drive.google.com/drive/folders/117WdzuuGRkGwrx_J6RYIIwlHXfLYq5E2" TargetMode="External"/><Relationship Id="rId372" Type="http://schemas.openxmlformats.org/officeDocument/2006/relationships/hyperlink" Target="https://maps.app.goo.gl/ZJovS8TTZ7cPcqtd8" TargetMode="External"/><Relationship Id="rId211" Type="http://schemas.openxmlformats.org/officeDocument/2006/relationships/hyperlink" Target="https://drive.google.com/drive/folders/1xFsZQxISAVS2NS8wZGLz2K_lKjdvxscf" TargetMode="External"/><Relationship Id="rId232" Type="http://schemas.openxmlformats.org/officeDocument/2006/relationships/hyperlink" Target="https://drive.google.com/drive/folders/1a6YXGFMrFW0Pbp93GM2METR3FI5F9gvC" TargetMode="External"/><Relationship Id="rId253" Type="http://schemas.openxmlformats.org/officeDocument/2006/relationships/hyperlink" Target="https://drive.google.com/drive/u/1/folders/1XenvDT0wCtnNEMoDT5mT06VtW1KZB6Rq" TargetMode="External"/><Relationship Id="rId274" Type="http://schemas.openxmlformats.org/officeDocument/2006/relationships/hyperlink" Target="https://drive.google.com/drive/u/1/folders/1PitwfOr_OmcfCK1HXRkUNoQuuD6zSA3B" TargetMode="External"/><Relationship Id="rId295" Type="http://schemas.openxmlformats.org/officeDocument/2006/relationships/hyperlink" Target="https://drive.google.com/drive/folders/14XBUajXV-MX8eiq7kCoKUzOfw1oYRSRc" TargetMode="External"/><Relationship Id="rId309" Type="http://schemas.openxmlformats.org/officeDocument/2006/relationships/hyperlink" Target="https://drive.google.com/drive/folders/11-WGhOmQPv2gLJw6syCkyHWOcV8N9ouk" TargetMode="External"/><Relationship Id="rId27" Type="http://schemas.openxmlformats.org/officeDocument/2006/relationships/hyperlink" Target="https://drive.google.com/drive/folders/16K8aj_Yv9fU0iydcafuEWvqGgxGtAcdM" TargetMode="External"/><Relationship Id="rId48" Type="http://schemas.openxmlformats.org/officeDocument/2006/relationships/hyperlink" Target="https://drive.google.com/drive/folders/1J0ceOhZmcBIIZpk2JmMSqTrEwZk5_WR0" TargetMode="External"/><Relationship Id="rId69" Type="http://schemas.openxmlformats.org/officeDocument/2006/relationships/hyperlink" Target="https://drive.google.com/drive/folders/1YBr5K2H4RTboXLzghYbBecTYX86QUk_G" TargetMode="External"/><Relationship Id="rId113" Type="http://schemas.openxmlformats.org/officeDocument/2006/relationships/hyperlink" Target="https://drive.google.com/drive/folders/1BLwVQR713WTpr7OgILq55UHzRcbkW4ow" TargetMode="External"/><Relationship Id="rId134" Type="http://schemas.openxmlformats.org/officeDocument/2006/relationships/hyperlink" Target="https://drive.google.com/drive/folders/1YWIFQ4ZvSU0RAYShcAw2OsRhzLk599Yk" TargetMode="External"/><Relationship Id="rId320" Type="http://schemas.openxmlformats.org/officeDocument/2006/relationships/hyperlink" Target="https://drive.google.com/drive/folders/1gIKeX12bmCx1Bic23eg7hVm7KIcMJSyG" TargetMode="External"/><Relationship Id="rId80" Type="http://schemas.openxmlformats.org/officeDocument/2006/relationships/hyperlink" Target="https://drive.google.com/drive/folders/1wT8uMinn-F5BNANVMdIMcMLwb516ADd2" TargetMode="External"/><Relationship Id="rId155" Type="http://schemas.openxmlformats.org/officeDocument/2006/relationships/hyperlink" Target="https://drive.google.com/drive/folders/1zYSSwf9aRYQgJxty_LdXbJ3H_lSiiW56" TargetMode="External"/><Relationship Id="rId176" Type="http://schemas.openxmlformats.org/officeDocument/2006/relationships/hyperlink" Target="https://drive.google.com/drive/folders/1eLiIp1yPDNp0lspUzoAQ2_vEds8snYqk" TargetMode="External"/><Relationship Id="rId197" Type="http://schemas.openxmlformats.org/officeDocument/2006/relationships/hyperlink" Target="https://drive.google.com/drive/folders/18BU3M_EHruUbYdm5lZ9k4kEXtlepLQLl" TargetMode="External"/><Relationship Id="rId341" Type="http://schemas.openxmlformats.org/officeDocument/2006/relationships/hyperlink" Target="https://drive.google.com/drive/folders/1lDRSYXlT82SW5oM4713vOn57-02U767W" TargetMode="External"/><Relationship Id="rId362" Type="http://schemas.openxmlformats.org/officeDocument/2006/relationships/hyperlink" Target="https://drive.google.com/drive/folders/1nGcygQwjVsB0NxAAQqkTQCSkYIXQe_3U" TargetMode="External"/><Relationship Id="rId383" Type="http://schemas.openxmlformats.org/officeDocument/2006/relationships/hyperlink" Target="https://drive.google.com/drive/folders/1nOCyUxDspIY6kr3icpV6zD2z5giZjjwa" TargetMode="External"/><Relationship Id="rId201" Type="http://schemas.openxmlformats.org/officeDocument/2006/relationships/hyperlink" Target="https://drive.google.com/drive/folders/1bgWEnbXAi7eFsCDb_k1XGlow4QPfbKqC" TargetMode="External"/><Relationship Id="rId222" Type="http://schemas.openxmlformats.org/officeDocument/2006/relationships/hyperlink" Target="https://drive.google.com/drive/folders/138RfU__oVNAq9KY7Xy149KmzHF7n1lHT" TargetMode="External"/><Relationship Id="rId243" Type="http://schemas.openxmlformats.org/officeDocument/2006/relationships/hyperlink" Target="https://drive.google.com/drive/folders/1wl44kyL7NJ13l4X_lC74OuC8Tl4QkWUj" TargetMode="External"/><Relationship Id="rId264" Type="http://schemas.openxmlformats.org/officeDocument/2006/relationships/hyperlink" Target="https://drive.google.com/drive/folders/1O-oUmAPuIRL_Q56hJo4Wpu4366Yy1N2K" TargetMode="External"/><Relationship Id="rId285" Type="http://schemas.openxmlformats.org/officeDocument/2006/relationships/hyperlink" Target="https://drive.google.com/drive/u/1/folders/1G3dVylPwvgdp9ju6mCE-nC_OLJcjFIxu" TargetMode="External"/><Relationship Id="rId17" Type="http://schemas.openxmlformats.org/officeDocument/2006/relationships/hyperlink" Target="https://drive.google.com/drive/folders/17y1CXQ_uY-ZYNgR2l6PAUpPDf2iwLQEo" TargetMode="External"/><Relationship Id="rId38" Type="http://schemas.openxmlformats.org/officeDocument/2006/relationships/hyperlink" Target="https://drive.google.com/drive/folders/1O0Wbu0epWMn8FHN09RBJ2yZwG26L5n3p" TargetMode="External"/><Relationship Id="rId59" Type="http://schemas.openxmlformats.org/officeDocument/2006/relationships/hyperlink" Target="https://drive.google.com/drive/folders/1liezT_k9lriBbbRnQjMabZFAOr2kVRZZ" TargetMode="External"/><Relationship Id="rId103" Type="http://schemas.openxmlformats.org/officeDocument/2006/relationships/hyperlink" Target="https://drive.google.com/drive/folders/13l7wXo3wKYHMqQztuNEkAPxekBJK1zPR" TargetMode="External"/><Relationship Id="rId124" Type="http://schemas.openxmlformats.org/officeDocument/2006/relationships/hyperlink" Target="https://drive.google.com/drive/folders/10Ksd8_2V2pPWHIPryAP3_IUt-jpZ55VX" TargetMode="External"/><Relationship Id="rId310" Type="http://schemas.openxmlformats.org/officeDocument/2006/relationships/hyperlink" Target="https://drive.google.com/drive/folders/1c4dmAGfY6Wy_RJGa0NW_SkzmgI-HFwGY" TargetMode="External"/><Relationship Id="rId70" Type="http://schemas.openxmlformats.org/officeDocument/2006/relationships/hyperlink" Target="https://drive.google.com/drive/u/1/folders/1hRIPcqvd11mJcvA7VE5a_m3vQ34Owf5k" TargetMode="External"/><Relationship Id="rId91" Type="http://schemas.openxmlformats.org/officeDocument/2006/relationships/hyperlink" Target="https://drive.google.com/drive/folders/1suuobq4Lt4owOJF2TPRPrzj7aTKfjTTA" TargetMode="External"/><Relationship Id="rId145" Type="http://schemas.openxmlformats.org/officeDocument/2006/relationships/hyperlink" Target="https://drive.google.com/drive/folders/1Mplia4Lspl0dwdtx6F0jgs0jlhtsdCVQ" TargetMode="External"/><Relationship Id="rId166" Type="http://schemas.openxmlformats.org/officeDocument/2006/relationships/hyperlink" Target="https://drive.google.com/drive/folders/1vfHXW3cx54gXoCoosyw31l2KawdFM1pP" TargetMode="External"/><Relationship Id="rId187" Type="http://schemas.openxmlformats.org/officeDocument/2006/relationships/hyperlink" Target="https://drive.google.com/drive/folders/19W4jYLCpvzcLzYmWXVdfryU7lh1R8O2q" TargetMode="External"/><Relationship Id="rId331" Type="http://schemas.openxmlformats.org/officeDocument/2006/relationships/hyperlink" Target="https://drive.google.com/drive/folders/1vpwlveJCR-Q5pHzXuqfA-y0v4OEwiBM_" TargetMode="External"/><Relationship Id="rId352" Type="http://schemas.openxmlformats.org/officeDocument/2006/relationships/hyperlink" Target="https://drive.google.com/drive/folders/1s-z74pezgMH20b9savRqxzCInelHlSHN" TargetMode="External"/><Relationship Id="rId373" Type="http://schemas.openxmlformats.org/officeDocument/2006/relationships/hyperlink" Target="https://drive.google.com/drive/u/1/folders/19aZgUHXTw55iDdQ36wkvRQGt8JNPPBMq" TargetMode="External"/><Relationship Id="rId1" Type="http://schemas.openxmlformats.org/officeDocument/2006/relationships/hyperlink" Target="https://drive.google.com/drive/folders/1KzOEihCyjd21KoNw-jqBrQ2koOcwbMxg?usp=share_link" TargetMode="External"/><Relationship Id="rId212" Type="http://schemas.openxmlformats.org/officeDocument/2006/relationships/hyperlink" Target="https://drive.google.com/drive/folders/1_9XHDgcZaWcQBfp4ainUzfm4DUMKtGJO" TargetMode="External"/><Relationship Id="rId233" Type="http://schemas.openxmlformats.org/officeDocument/2006/relationships/hyperlink" Target="https://drive.google.com/drive/folders/1i8h5hRngNEyQSKVPmH_Nx6oecKlyBpFM" TargetMode="External"/><Relationship Id="rId254" Type="http://schemas.openxmlformats.org/officeDocument/2006/relationships/hyperlink" Target="https://drive.google.com/drive/u/1/folders/1uAGTvp4HZH-Nggf6hdz0nUnXnYsGUcIR" TargetMode="External"/><Relationship Id="rId28" Type="http://schemas.openxmlformats.org/officeDocument/2006/relationships/hyperlink" Target="https://drive.google.com/drive/folders/10DClIt_mczbkgqW0vvaetjh8nGmBHd91" TargetMode="External"/><Relationship Id="rId49" Type="http://schemas.openxmlformats.org/officeDocument/2006/relationships/hyperlink" Target="https://drive.google.com/drive/folders/1inibs3Vk6EzY6Qk29rWRRSTq6cdgRcoB" TargetMode="External"/><Relationship Id="rId114" Type="http://schemas.openxmlformats.org/officeDocument/2006/relationships/hyperlink" Target="https://drive.google.com/drive/folders/13Rl5NYxj9iRG4dna6YuG_AxjaMucsasN" TargetMode="External"/><Relationship Id="rId275" Type="http://schemas.openxmlformats.org/officeDocument/2006/relationships/hyperlink" Target="https://drive.google.com/drive/u/1/folders/1ARL6xHiqr4Yo4yZSC0wXyMAPqyte20gV" TargetMode="External"/><Relationship Id="rId296" Type="http://schemas.openxmlformats.org/officeDocument/2006/relationships/hyperlink" Target="https://drive.google.com/drive/folders/1Zyz2Nk1NWx9Mi1LAHM_zrBXI2oOPoK8n" TargetMode="External"/><Relationship Id="rId300" Type="http://schemas.openxmlformats.org/officeDocument/2006/relationships/hyperlink" Target="https://drive.google.com/drive/folders/18TkLyGTOMiwqyk35JNGpWB6V5sHy1L9g" TargetMode="External"/><Relationship Id="rId60" Type="http://schemas.openxmlformats.org/officeDocument/2006/relationships/hyperlink" Target="https://drive.google.com/drive/folders/1N79u1V9XiB44Vx0I7Iv39HEyVmwN5Rdo" TargetMode="External"/><Relationship Id="rId81" Type="http://schemas.openxmlformats.org/officeDocument/2006/relationships/hyperlink" Target="https://drive.google.com/drive/folders/1hVpIlrzODmLfz-AqlVs2tm_rO3lRqTmn" TargetMode="External"/><Relationship Id="rId135" Type="http://schemas.openxmlformats.org/officeDocument/2006/relationships/hyperlink" Target="https://drive.google.com/drive/folders/1Z65oBn1IUrUQCg3PLTFxUNPJKz3T9aGF" TargetMode="External"/><Relationship Id="rId156" Type="http://schemas.openxmlformats.org/officeDocument/2006/relationships/hyperlink" Target="https://drive.google.com/drive/folders/1hmYnvTHnc-dEUp-2rT52iXneWlAS_2tr" TargetMode="External"/><Relationship Id="rId177" Type="http://schemas.openxmlformats.org/officeDocument/2006/relationships/hyperlink" Target="https://drive.google.com/drive/folders/1a7jObWBy_0DRjUZ2ECKSapM0RCjLKVlp" TargetMode="External"/><Relationship Id="rId198" Type="http://schemas.openxmlformats.org/officeDocument/2006/relationships/hyperlink" Target="https://drive.google.com/drive/folders/1c55ygIIuzN_XhfMOM2ILPx91Dw01hmHj" TargetMode="External"/><Relationship Id="rId321" Type="http://schemas.openxmlformats.org/officeDocument/2006/relationships/hyperlink" Target="https://drive.google.com/drive/folders/12jRR_v2zYil1DXt_75IYreGLZbpjc3zF" TargetMode="External"/><Relationship Id="rId342" Type="http://schemas.openxmlformats.org/officeDocument/2006/relationships/hyperlink" Target="https://drive.google.com/drive/folders/1oPo_4YWq0uIRMxJcGRZZYt3bXhOyk31P" TargetMode="External"/><Relationship Id="rId363" Type="http://schemas.openxmlformats.org/officeDocument/2006/relationships/hyperlink" Target="https://drive.google.com/drive/folders/1yHUXEMHRIg-RsbytAnWkAld2sY-xZC_W" TargetMode="External"/><Relationship Id="rId384" Type="http://schemas.openxmlformats.org/officeDocument/2006/relationships/hyperlink" Target="https://drive.google.com/drive/folders/1yREu7j11Wixp-XwKy5-Elnto1UBR6BIo" TargetMode="External"/><Relationship Id="rId202" Type="http://schemas.openxmlformats.org/officeDocument/2006/relationships/hyperlink" Target="https://drive.google.com/drive/folders/1UODuCw30tTNK-lckE5DjoYID9mfpYeUC" TargetMode="External"/><Relationship Id="rId223" Type="http://schemas.openxmlformats.org/officeDocument/2006/relationships/hyperlink" Target="https://drive.google.com/drive/u/1/folders/1LbRYp3tKayeKYSlZUqNyjTxDaQM9cV_-" TargetMode="External"/><Relationship Id="rId244" Type="http://schemas.openxmlformats.org/officeDocument/2006/relationships/hyperlink" Target="https://drive.google.com/drive/folders/1SvWHglyqV4xAHbxLQoFqnw-LBOauqpYE" TargetMode="External"/><Relationship Id="rId18" Type="http://schemas.openxmlformats.org/officeDocument/2006/relationships/hyperlink" Target="https://drive.google.com/drive/folders/1h0lfsHrDWZH54eMxpg-cIOv6Qob2Ne7U" TargetMode="External"/><Relationship Id="rId39" Type="http://schemas.openxmlformats.org/officeDocument/2006/relationships/hyperlink" Target="https://drive.google.com/drive/folders/14aQoG7Hi59-zeYQWijajZyeB_pOlepte" TargetMode="External"/><Relationship Id="rId265" Type="http://schemas.openxmlformats.org/officeDocument/2006/relationships/hyperlink" Target="https://drive.google.com/drive/folders/1bjPvLQlxE4s0gq2uJ0JMgqJe6pFckqtN" TargetMode="External"/><Relationship Id="rId286" Type="http://schemas.openxmlformats.org/officeDocument/2006/relationships/hyperlink" Target="https://drive.google.com/drive/folders/1Ewsqcxt9cNV2cYmMt2G-QrZznQGET1Zl" TargetMode="External"/><Relationship Id="rId50" Type="http://schemas.openxmlformats.org/officeDocument/2006/relationships/hyperlink" Target="https://drive.google.com/drive/folders/1bg0osdZogTqM_eSjsvbz-67EfQfL0yEx" TargetMode="External"/><Relationship Id="rId104" Type="http://schemas.openxmlformats.org/officeDocument/2006/relationships/hyperlink" Target="https://drive.google.com/drive/folders/14SOmvtsPBcbPYWhq30inaNbU7mrUK_nS" TargetMode="External"/><Relationship Id="rId125" Type="http://schemas.openxmlformats.org/officeDocument/2006/relationships/hyperlink" Target="https://drive.google.com/drive/folders/1XzonH6Y_BsXuGA0JZydEL2SA2hMSezgL" TargetMode="External"/><Relationship Id="rId146" Type="http://schemas.openxmlformats.org/officeDocument/2006/relationships/hyperlink" Target="https://drive.google.com/drive/folders/1jk7UNbBWsFxCv4k--rujq9HMEvDlcGr2" TargetMode="External"/><Relationship Id="rId167" Type="http://schemas.openxmlformats.org/officeDocument/2006/relationships/hyperlink" Target="https://drive.google.com/drive/folders/1ozLv468aGWPc9n1Oz6vNJxrXoTUOljOM" TargetMode="External"/><Relationship Id="rId188" Type="http://schemas.openxmlformats.org/officeDocument/2006/relationships/hyperlink" Target="https://drive.google.com/drive/folders/1ZxLhV5pjjCSi7LdORYtksc2kCdTR40Iv" TargetMode="External"/><Relationship Id="rId311" Type="http://schemas.openxmlformats.org/officeDocument/2006/relationships/hyperlink" Target="https://drive.google.com/drive/folders/1vL0mh1dNT2SzdSrCOkdWlWcDTBImSlUl" TargetMode="External"/><Relationship Id="rId332" Type="http://schemas.openxmlformats.org/officeDocument/2006/relationships/hyperlink" Target="https://drive.google.com/drive/folders/1yjwxbLlcui_t0UMPhtT4rIe-S2_9tVCs" TargetMode="External"/><Relationship Id="rId353" Type="http://schemas.openxmlformats.org/officeDocument/2006/relationships/hyperlink" Target="https://drive.google.com/drive/folders/1FvQHwuzbzOGsSkxae186Cam181XJbVG7" TargetMode="External"/><Relationship Id="rId374" Type="http://schemas.openxmlformats.org/officeDocument/2006/relationships/hyperlink" Target="https://drive.google.com/drive/u/1/folders/10eyvxjzEILm-9zMJqWGlOeNnl9vuZUeU" TargetMode="External"/><Relationship Id="rId71" Type="http://schemas.openxmlformats.org/officeDocument/2006/relationships/hyperlink" Target="https://drive.google.com/drive/u/1/folders/1XX9hrS5FVR1nZWxD11CvaLGrSQNI9eOy" TargetMode="External"/><Relationship Id="rId92" Type="http://schemas.openxmlformats.org/officeDocument/2006/relationships/hyperlink" Target="https://drive.google.com/drive/folders/1pYm7wLuyBfZR8rrwirOpDE-XKPPSPVF4" TargetMode="External"/><Relationship Id="rId213" Type="http://schemas.openxmlformats.org/officeDocument/2006/relationships/hyperlink" Target="https://drive.google.com/drive/folders/1UF39BlNSGENUkMMiR-qTL60SPd17Tsq9" TargetMode="External"/><Relationship Id="rId234" Type="http://schemas.openxmlformats.org/officeDocument/2006/relationships/hyperlink" Target="https://drive.google.com/drive/folders/1yZImW0Qaz7lKh-Ip7PPfEv1lWo8oucwK" TargetMode="External"/><Relationship Id="rId2" Type="http://schemas.openxmlformats.org/officeDocument/2006/relationships/hyperlink" Target="https://drive.google.com/drive/folders/1n88ekn6Le1rvAPh688oMyWxT91wMR6GI?usp=share_link" TargetMode="External"/><Relationship Id="rId29" Type="http://schemas.openxmlformats.org/officeDocument/2006/relationships/hyperlink" Target="https://drive.google.com/drive/folders/1NZzBrWNXLAiXCKhTfSjJedHKmzfeyjY9" TargetMode="External"/><Relationship Id="rId255" Type="http://schemas.openxmlformats.org/officeDocument/2006/relationships/hyperlink" Target="https://drive.google.com/drive/u/1/folders/1ZD96qnvSOVDrLbt5ecLF5wxn7AX9VnbC" TargetMode="External"/><Relationship Id="rId276" Type="http://schemas.openxmlformats.org/officeDocument/2006/relationships/hyperlink" Target="https://drive.google.com/drive/u/1/folders/1nNMC-ntfG4C1vzE2NFLTBAOL73iDFgfr" TargetMode="External"/><Relationship Id="rId297" Type="http://schemas.openxmlformats.org/officeDocument/2006/relationships/hyperlink" Target="https://drive.google.com/drive/folders/1SWjlVQzmywPuR6X4YFhSdYIET0_C-Ov_" TargetMode="External"/><Relationship Id="rId40" Type="http://schemas.openxmlformats.org/officeDocument/2006/relationships/hyperlink" Target="https://drive.google.com/drive/folders/1VzvS2cQUWOGfFtgtM8mM-w3S5eZe_7RA" TargetMode="External"/><Relationship Id="rId115" Type="http://schemas.openxmlformats.org/officeDocument/2006/relationships/hyperlink" Target="https://drive.google.com/drive/folders/1xKLTdzc1tNFLIc_tZpPbqKjOHNrBB5qy" TargetMode="External"/><Relationship Id="rId136" Type="http://schemas.openxmlformats.org/officeDocument/2006/relationships/hyperlink" Target="https://drive.google.com/drive/folders/12MR1U8M-32vX6QXX1DS4XY2ZxqGNCea5" TargetMode="External"/><Relationship Id="rId157" Type="http://schemas.openxmlformats.org/officeDocument/2006/relationships/hyperlink" Target="https://drive.google.com/drive/folders/1PcnexX2ZCaOu3jc8BL4gltFV4XmQ4hSO" TargetMode="External"/><Relationship Id="rId178" Type="http://schemas.openxmlformats.org/officeDocument/2006/relationships/hyperlink" Target="https://drive.google.com/drive/folders/1i6ipcnw6I_W311klyP7C0EQSvPpQcF7V" TargetMode="External"/><Relationship Id="rId301" Type="http://schemas.openxmlformats.org/officeDocument/2006/relationships/hyperlink" Target="https://drive.google.com/drive/folders/1k7XM1Tz4buoIku9vlZ5KLLKId2jrXN40" TargetMode="External"/><Relationship Id="rId322" Type="http://schemas.openxmlformats.org/officeDocument/2006/relationships/hyperlink" Target="https://drive.google.com/drive/folders/14kuzyEY4F_SmFr2PGBfTHKsKxLJsV1Gm" TargetMode="External"/><Relationship Id="rId343" Type="http://schemas.openxmlformats.org/officeDocument/2006/relationships/hyperlink" Target="https://drive.google.com/drive/folders/1adSnnlpHasAqJQchbz1TbcuGBc7sxjfL" TargetMode="External"/><Relationship Id="rId364" Type="http://schemas.openxmlformats.org/officeDocument/2006/relationships/hyperlink" Target="https://drive.google.com/drive/folders/1LH5bg79rzslApxV1olrvjUvXwMHPpuEk" TargetMode="External"/><Relationship Id="rId61" Type="http://schemas.openxmlformats.org/officeDocument/2006/relationships/hyperlink" Target="https://drive.google.com/drive/folders/141zKDgSuDoq7QMzoKDPlxK25VQW5Jsc4" TargetMode="External"/><Relationship Id="rId82" Type="http://schemas.openxmlformats.org/officeDocument/2006/relationships/hyperlink" Target="https://drive.google.com/drive/folders/1wf3eGsW4DKzzJWyinyDgjM8v_vM8znEx" TargetMode="External"/><Relationship Id="rId199" Type="http://schemas.openxmlformats.org/officeDocument/2006/relationships/hyperlink" Target="https://drive.google.com/drive/folders/1hYYBL3hvOBLoqex94sy80IJ3Eqjl5kHP" TargetMode="External"/><Relationship Id="rId203" Type="http://schemas.openxmlformats.org/officeDocument/2006/relationships/hyperlink" Target="https://drive.google.com/drive/folders/1s5WOTnLXgpnP2C7hIDwqYFcDpGr1QbVj" TargetMode="External"/><Relationship Id="rId385" Type="http://schemas.openxmlformats.org/officeDocument/2006/relationships/printerSettings" Target="../printerSettings/printerSettings1.bin"/><Relationship Id="rId19" Type="http://schemas.openxmlformats.org/officeDocument/2006/relationships/hyperlink" Target="https://drive.google.com/drive/folders/1h0lfsHrDWZH54eMxpg-cIOv6Qob2Ne7U" TargetMode="External"/><Relationship Id="rId224" Type="http://schemas.openxmlformats.org/officeDocument/2006/relationships/hyperlink" Target="https://drive.google.com/drive/u/1/folders/1xw0BxIhJS7b-v69hxqCWFuLSC7ftP3gn" TargetMode="External"/><Relationship Id="rId245" Type="http://schemas.openxmlformats.org/officeDocument/2006/relationships/hyperlink" Target="https://drive.google.com/drive/folders/1gmtkhOL7bM_GwFYaSR-ySB0x69NHNi7w" TargetMode="External"/><Relationship Id="rId266" Type="http://schemas.openxmlformats.org/officeDocument/2006/relationships/hyperlink" Target="https://drive.google.com/drive/folders/1zLj2uiU7bZFdu8kRx6zJfROToct3FWO3" TargetMode="External"/><Relationship Id="rId287" Type="http://schemas.openxmlformats.org/officeDocument/2006/relationships/hyperlink" Target="https://drive.google.com/drive/folders/14fIWgNUZfjcOOtsgMEj1U-S8BNx1zKeW" TargetMode="External"/><Relationship Id="rId30" Type="http://schemas.openxmlformats.org/officeDocument/2006/relationships/hyperlink" Target="https://drive.google.com/drive/folders/1ZoYNkjOnsPpg1iezC-9UZwltE0WXUw91" TargetMode="External"/><Relationship Id="rId105" Type="http://schemas.openxmlformats.org/officeDocument/2006/relationships/hyperlink" Target="https://drive.google.com/drive/folders/1HMqHSMbxaJiHJxuY8krMHrqNtMYv8H7d" TargetMode="External"/><Relationship Id="rId126" Type="http://schemas.openxmlformats.org/officeDocument/2006/relationships/hyperlink" Target="https://drive.google.com/drive/folders/1AbAMgHLt3vxMiC0tLXuk-JXQXAHXaZ5V" TargetMode="External"/><Relationship Id="rId147" Type="http://schemas.openxmlformats.org/officeDocument/2006/relationships/hyperlink" Target="https://drive.google.com/drive/folders/1TEWwj2598gFjmmvceg4hjoEqNYIvSLi2" TargetMode="External"/><Relationship Id="rId168" Type="http://schemas.openxmlformats.org/officeDocument/2006/relationships/hyperlink" Target="https://drive.google.com/drive/folders/1c9af33H8t5AxNhFXHrq8bu3WpYubxLpL" TargetMode="External"/><Relationship Id="rId312" Type="http://schemas.openxmlformats.org/officeDocument/2006/relationships/hyperlink" Target="https://drive.google.com/drive/u/1/folders/1v4pR4iBlldZvF8JKRhFlL1kahWKIyYOL" TargetMode="External"/><Relationship Id="rId333" Type="http://schemas.openxmlformats.org/officeDocument/2006/relationships/hyperlink" Target="https://drive.google.com/drive/folders/1pThEuZCcM9Q4OmyUm-Gg0mNoINVVBLqd" TargetMode="External"/><Relationship Id="rId354" Type="http://schemas.openxmlformats.org/officeDocument/2006/relationships/hyperlink" Target="https://drive.google.com/drive/folders/1jB_PnFqfOGlp_zs0d-ijrZjQZIHoDSUz" TargetMode="External"/><Relationship Id="rId51" Type="http://schemas.openxmlformats.org/officeDocument/2006/relationships/hyperlink" Target="https://drive.google.com/drive/folders/1__3vJ0JkSOG0PeIgmwZT_YJ6t_3QDkwS" TargetMode="External"/><Relationship Id="rId72" Type="http://schemas.openxmlformats.org/officeDocument/2006/relationships/hyperlink" Target="https://drive.google.com/drive/u/1/folders/1kyj2gLG-abGVGOhghKaLhpFtleH4jqLx" TargetMode="External"/><Relationship Id="rId93" Type="http://schemas.openxmlformats.org/officeDocument/2006/relationships/hyperlink" Target="https://drive.google.com/drive/folders/1P3ES49zlvDDPq8gCIR_2b-vC9i_8ZAAA" TargetMode="External"/><Relationship Id="rId189" Type="http://schemas.openxmlformats.org/officeDocument/2006/relationships/hyperlink" Target="https://drive.google.com/drive/folders/1UDtZnpWEdfiKTT0bRjgSQ6uLWjN6aHa-" TargetMode="External"/><Relationship Id="rId375" Type="http://schemas.openxmlformats.org/officeDocument/2006/relationships/hyperlink" Target="https://drive.google.com/drive/folders/1J87n67B0sGVAT6MBbTAlhBlGbq1SsTk0" TargetMode="External"/><Relationship Id="rId3" Type="http://schemas.openxmlformats.org/officeDocument/2006/relationships/hyperlink" Target="https://drive.google.com/drive/folders/1VGTqdy1uifrEvr2MT7k5bh1XdkhWBGkU?usp=share_link" TargetMode="External"/><Relationship Id="rId214" Type="http://schemas.openxmlformats.org/officeDocument/2006/relationships/hyperlink" Target="https://drive.google.com/drive/folders/1viX8hqqtD9z2sWsiUsADC_B2Z5lqNX3g" TargetMode="External"/><Relationship Id="rId235" Type="http://schemas.openxmlformats.org/officeDocument/2006/relationships/hyperlink" Target="https://drive.google.com/drive/folders/1znyxKTWBFY88WmsxbmdWZDCgjGd85dpc" TargetMode="External"/><Relationship Id="rId256" Type="http://schemas.openxmlformats.org/officeDocument/2006/relationships/hyperlink" Target="https://drive.google.com/drive/u/1/folders/1Egr3AI4LH8YyBO_N3nGCZlbsZj1H6Opk" TargetMode="External"/><Relationship Id="rId277" Type="http://schemas.openxmlformats.org/officeDocument/2006/relationships/hyperlink" Target="https://drive.google.com/drive/folders/1pQUqfAfb2Y8AMBqa11y9-R2oRdx-5ufh" TargetMode="External"/><Relationship Id="rId298" Type="http://schemas.openxmlformats.org/officeDocument/2006/relationships/hyperlink" Target="https://drive.google.com/drive/folders/1OcmpADyVWewAAOBKIBijkctWolL6Q9J7" TargetMode="External"/><Relationship Id="rId116" Type="http://schemas.openxmlformats.org/officeDocument/2006/relationships/hyperlink" Target="https://drive.google.com/drive/folders/1Be0eAkyeApataOdKCpwdYzC8HKfJxel1" TargetMode="External"/><Relationship Id="rId137" Type="http://schemas.openxmlformats.org/officeDocument/2006/relationships/hyperlink" Target="https://drive.google.com/drive/folders/1NkuNjvYAU7OhDc5nkI0a9CxTKQRvEPlz" TargetMode="External"/><Relationship Id="rId158" Type="http://schemas.openxmlformats.org/officeDocument/2006/relationships/hyperlink" Target="https://drive.google.com/drive/folders/1Vs_BSNijh2Q1zsgj76w_2tzRQJyiFESb" TargetMode="External"/><Relationship Id="rId302" Type="http://schemas.openxmlformats.org/officeDocument/2006/relationships/hyperlink" Target="https://drive.google.com/drive/folders/1Z7OWKb73uZnjRVNEoX6v8PREVLKm-eN4" TargetMode="External"/><Relationship Id="rId323" Type="http://schemas.openxmlformats.org/officeDocument/2006/relationships/hyperlink" Target="https://drive.google.com/drive/folders/181OYfGEiYaodqQZhDuc2ey7uixjmTt9W" TargetMode="External"/><Relationship Id="rId344" Type="http://schemas.openxmlformats.org/officeDocument/2006/relationships/hyperlink" Target="https://drive.google.com/drive/folders/1ZDJpCbay34KmL2eJLxS_WndkCVlMNfMs" TargetMode="External"/><Relationship Id="rId20" Type="http://schemas.openxmlformats.org/officeDocument/2006/relationships/hyperlink" Target="https://drive.google.com/drive/folders/1Mx9e2Ge-zHmQeu2VvNmackXh7mFpckg2" TargetMode="External"/><Relationship Id="rId41" Type="http://schemas.openxmlformats.org/officeDocument/2006/relationships/hyperlink" Target="https://drive.google.com/drive/folders/1uIdcOAj6KCmjTO3-PCkViolsh2dPovqt" TargetMode="External"/><Relationship Id="rId62" Type="http://schemas.openxmlformats.org/officeDocument/2006/relationships/hyperlink" Target="https://drive.google.com/drive/folders/1mok-9lRuO-J-8APWFRY5LnP_wFucIBPz" TargetMode="External"/><Relationship Id="rId83" Type="http://schemas.openxmlformats.org/officeDocument/2006/relationships/hyperlink" Target="https://drive.google.com/drive/folders/1iL7_HpOzKSrRe7Lzlo0McO9Nzg_w7WGx" TargetMode="External"/><Relationship Id="rId179" Type="http://schemas.openxmlformats.org/officeDocument/2006/relationships/hyperlink" Target="https://drive.google.com/drive/folders/1YpZ9lU9570HrnCr_nWLkebi8xOhBbrFI" TargetMode="External"/><Relationship Id="rId365" Type="http://schemas.openxmlformats.org/officeDocument/2006/relationships/hyperlink" Target="https://www.google.com/maps/place/26%C2%B026'40.4%22N+50%C2%B006'34.1%22E/@26.4439992,50.1099017,16.92z/data=!4m4!3m3!8m2!3d26.444548!4d50.1094651?entry=ttu" TargetMode="External"/><Relationship Id="rId386" Type="http://schemas.openxmlformats.org/officeDocument/2006/relationships/vmlDrawing" Target="../drawings/vmlDrawing1.vml"/><Relationship Id="rId190" Type="http://schemas.openxmlformats.org/officeDocument/2006/relationships/hyperlink" Target="https://drive.google.com/drive/folders/1IYH4TZMV9ehP9ySQ8hmwDUSlbJlOHiEG" TargetMode="External"/><Relationship Id="rId204" Type="http://schemas.openxmlformats.org/officeDocument/2006/relationships/hyperlink" Target="https://drive.google.com/drive/folders/183-mPGAvaSqNpP51uC3rb60ckcDC3H1_" TargetMode="External"/><Relationship Id="rId225" Type="http://schemas.openxmlformats.org/officeDocument/2006/relationships/hyperlink" Target="https://drive.google.com/drive/u/1/folders/1UWjYNzdYqgi6mk-xJML0t6-fcE2B6GTb" TargetMode="External"/><Relationship Id="rId246" Type="http://schemas.openxmlformats.org/officeDocument/2006/relationships/hyperlink" Target="https://drive.google.com/drive/u/1/folders/1ejILwrqzrgSMaufljdONMOOZJx82Mi7A" TargetMode="External"/><Relationship Id="rId267" Type="http://schemas.openxmlformats.org/officeDocument/2006/relationships/hyperlink" Target="https://drive.google.com/drive/folders/1-buX9Zb5Bb45cxX5R7ZWeAJuakyRNJ7z" TargetMode="External"/><Relationship Id="rId288" Type="http://schemas.openxmlformats.org/officeDocument/2006/relationships/hyperlink" Target="https://drive.google.com/drive/folders/1mcSJJ6QVNmrKdRLBrWWlhdKw_biWPAKg" TargetMode="External"/><Relationship Id="rId106" Type="http://schemas.openxmlformats.org/officeDocument/2006/relationships/hyperlink" Target="https://drive.google.com/drive/folders/1nGcygQwjVsB0NxAAQqkTQCSkYIXQe_3U" TargetMode="External"/><Relationship Id="rId127" Type="http://schemas.openxmlformats.org/officeDocument/2006/relationships/hyperlink" Target="https://drive.google.com/drive/folders/14ej8DC34b0WTYxnJDuykS1Opv1VRkW01" TargetMode="External"/><Relationship Id="rId313" Type="http://schemas.openxmlformats.org/officeDocument/2006/relationships/hyperlink" Target="https://drive.google.com/drive/folders/1J0ceOhZmcBIIZpk2JmMSqTrEwZk5_WR0" TargetMode="External"/><Relationship Id="rId10" Type="http://schemas.openxmlformats.org/officeDocument/2006/relationships/hyperlink" Target="https://drive.google.com/drive/folders/1jrkR2m0Xlpb_NRPHt-ObrgAFL037LA54?usp=share_link" TargetMode="External"/><Relationship Id="rId31" Type="http://schemas.openxmlformats.org/officeDocument/2006/relationships/hyperlink" Target="https://drive.google.com/drive/folders/1_oTcOksUxGjBUia_t_y3KBpXEFOws7_w" TargetMode="External"/><Relationship Id="rId52" Type="http://schemas.openxmlformats.org/officeDocument/2006/relationships/hyperlink" Target="https://drive.google.com/drive/folders/1Y-PKJW6O1eGmXgFk3wT9Ysera--CcPuP" TargetMode="External"/><Relationship Id="rId73" Type="http://schemas.openxmlformats.org/officeDocument/2006/relationships/hyperlink" Target="https://drive.google.com/drive/u/1/folders/1sCt4MwJV_Q06CsWp4wo0CN4_8phYgLAj" TargetMode="External"/><Relationship Id="rId94" Type="http://schemas.openxmlformats.org/officeDocument/2006/relationships/hyperlink" Target="https://drive.google.com/drive/folders/1rozHJjz8pj6YliX2NtOQpGFs_3__dPnB" TargetMode="External"/><Relationship Id="rId148" Type="http://schemas.openxmlformats.org/officeDocument/2006/relationships/hyperlink" Target="https://drive.google.com/drive/folders/1cGLLkj_Dm6utin8Nv0R8BEdjEFfHaFUq" TargetMode="External"/><Relationship Id="rId169" Type="http://schemas.openxmlformats.org/officeDocument/2006/relationships/hyperlink" Target="https://drive.google.com/drive/folders/1TS6OfmRr0bHKdnoRDVCZ2abfFJ1xr_2X" TargetMode="External"/><Relationship Id="rId334" Type="http://schemas.openxmlformats.org/officeDocument/2006/relationships/hyperlink" Target="https://drive.google.com/drive/folders/1k_e5W4j1StgbwqyVA1PMcFWsYGSNw0bh" TargetMode="External"/><Relationship Id="rId355" Type="http://schemas.openxmlformats.org/officeDocument/2006/relationships/hyperlink" Target="https://drive.google.com/drive/folders/12YM_Yf6UQrJbdbAi6H7ynXq-AOZr0BdH" TargetMode="External"/><Relationship Id="rId376" Type="http://schemas.openxmlformats.org/officeDocument/2006/relationships/hyperlink" Target="https://maps.app.goo.gl/7x9ZzdCZuxC3tXuW7?g_st=it" TargetMode="External"/><Relationship Id="rId4" Type="http://schemas.openxmlformats.org/officeDocument/2006/relationships/hyperlink" Target="https://drive.google.com/drive/folders/1cqgSpwcZOxAJG40GEE_ScOe2nms-DgdR?usp=sharing" TargetMode="External"/><Relationship Id="rId180" Type="http://schemas.openxmlformats.org/officeDocument/2006/relationships/hyperlink" Target="https://drive.google.com/drive/folders/1v3QX_94d3HYU-in7C7pCvQ53j94WWSID" TargetMode="External"/><Relationship Id="rId215" Type="http://schemas.openxmlformats.org/officeDocument/2006/relationships/hyperlink" Target="https://drive.google.com/drive/folders/1mNraoPiaYvZV7EO1TF_gJp0zbqmnO3MX" TargetMode="External"/><Relationship Id="rId236" Type="http://schemas.openxmlformats.org/officeDocument/2006/relationships/hyperlink" Target="https://drive.google.com/drive/folders/1ZPAz14DGgpr_bxnm9DXnTQruDesve4mV" TargetMode="External"/><Relationship Id="rId257" Type="http://schemas.openxmlformats.org/officeDocument/2006/relationships/hyperlink" Target="https://drive.google.com/drive/u/0/folders/1NLUVl9Dr60RfPC0aElaEmpfRxdE1EpTX" TargetMode="External"/><Relationship Id="rId278" Type="http://schemas.openxmlformats.org/officeDocument/2006/relationships/hyperlink" Target="https://drive.google.com/drive/folders/1HxgPzuHdYvC_CfxhSwbx_3250Fj7BlXP" TargetMode="External"/><Relationship Id="rId303" Type="http://schemas.openxmlformats.org/officeDocument/2006/relationships/hyperlink" Target="https://drive.google.com/drive/folders/1mGoLNYrqvlWWE0uVfpgYG6rFMQIX2DE8" TargetMode="External"/><Relationship Id="rId42" Type="http://schemas.openxmlformats.org/officeDocument/2006/relationships/hyperlink" Target="https://drive.google.com/drive/folders/1h5FNYbWFdPWtn8ggg4IOWVXOyPTApPo6" TargetMode="External"/><Relationship Id="rId84" Type="http://schemas.openxmlformats.org/officeDocument/2006/relationships/hyperlink" Target="https://drive.google.com/drive/folders/1xRVqp7ngnzKRlSUQgxp7XPWYfb680sfR" TargetMode="External"/><Relationship Id="rId138" Type="http://schemas.openxmlformats.org/officeDocument/2006/relationships/hyperlink" Target="https://drive.google.com/drive/folders/1mMI-DvFv3dLdFxvo8CO5RElfNO-x3whO" TargetMode="External"/><Relationship Id="rId345" Type="http://schemas.openxmlformats.org/officeDocument/2006/relationships/hyperlink" Target="https://drive.google.com/drive/folders/11HjbBhYgLOE5hnv1oOvHxTKR6GXDsNdh" TargetMode="External"/><Relationship Id="rId387" Type="http://schemas.openxmlformats.org/officeDocument/2006/relationships/table" Target="../tables/table1.xml"/><Relationship Id="rId191" Type="http://schemas.openxmlformats.org/officeDocument/2006/relationships/hyperlink" Target="https://drive.google.com/drive/folders/1KKwsm4F64Mc6Om2ZrisVdeJ4gJJK7OkJ" TargetMode="External"/><Relationship Id="rId205" Type="http://schemas.openxmlformats.org/officeDocument/2006/relationships/hyperlink" Target="https://drive.google.com/drive/folders/1pRPGRJIiGaNZ6Umiz6MjJrmpEoWlEtie" TargetMode="External"/><Relationship Id="rId247" Type="http://schemas.openxmlformats.org/officeDocument/2006/relationships/hyperlink" Target="https://drive.google.com/drive/u/1/folders/1MJdZ0cUdOBYQJbNxFT90rQXkxBv1BA6Y" TargetMode="External"/><Relationship Id="rId107" Type="http://schemas.openxmlformats.org/officeDocument/2006/relationships/hyperlink" Target="https://drive.google.com/drive/folders/1plw6QA7NCVbjTqxC-NJamSAyPoy7PQqF" TargetMode="External"/><Relationship Id="rId289" Type="http://schemas.openxmlformats.org/officeDocument/2006/relationships/hyperlink" Target="https://drive.google.com/drive/folders/1JZNuEHE53g_aH3k1XJwDcZQ4_EnDwkVO" TargetMode="External"/><Relationship Id="rId11" Type="http://schemas.openxmlformats.org/officeDocument/2006/relationships/hyperlink" Target="https://drive.google.com/drive/folders/1RMOc9jek1xNrmP66k5RCokr3UnQM9F_S?usp=share_link" TargetMode="External"/><Relationship Id="rId53" Type="http://schemas.openxmlformats.org/officeDocument/2006/relationships/hyperlink" Target="https://drive.google.com/drive/folders/1wH6ZXD7mUqRxOqNuMJZqIJZKKZUXfWTN" TargetMode="External"/><Relationship Id="rId149" Type="http://schemas.openxmlformats.org/officeDocument/2006/relationships/hyperlink" Target="https://drive.google.com/drive/folders/1X-UFzidBew0rPwKfnPxgJ-o1SzmbSYas" TargetMode="External"/><Relationship Id="rId314" Type="http://schemas.openxmlformats.org/officeDocument/2006/relationships/hyperlink" Target="https://drive.google.com/drive/folders/193fNHBhjVrhprC-d0oi4GBbWOpRcEnUC" TargetMode="External"/><Relationship Id="rId356" Type="http://schemas.openxmlformats.org/officeDocument/2006/relationships/hyperlink" Target="https://drive.google.com/drive/folders/150ie4x9pytMps4XmNyXb7tHlLkmfwwNx" TargetMode="External"/><Relationship Id="rId95" Type="http://schemas.openxmlformats.org/officeDocument/2006/relationships/hyperlink" Target="https://drive.google.com/drive/folders/1Jxd5GmV2R6gqC87zGJHmw5CqaagXMvUn" TargetMode="External"/><Relationship Id="rId160" Type="http://schemas.openxmlformats.org/officeDocument/2006/relationships/hyperlink" Target="https://drive.google.com/drive/folders/1LzNWP33WA8XoVfbeXFfp9jqCQSTtmZEB" TargetMode="External"/><Relationship Id="rId216" Type="http://schemas.openxmlformats.org/officeDocument/2006/relationships/hyperlink" Target="https://drive.google.com/drive/folders/1qnAS2HpKVMFpZw4XLpnrvnV-XkR4Epf5" TargetMode="External"/><Relationship Id="rId258" Type="http://schemas.openxmlformats.org/officeDocument/2006/relationships/hyperlink" Target="https://drive.google.com/drive/u/0/folders/1vNISXD6PV13Yom-1tW-rX7uBAUMZ1_AD" TargetMode="External"/><Relationship Id="rId22" Type="http://schemas.openxmlformats.org/officeDocument/2006/relationships/hyperlink" Target="https://drive.google.com/drive/folders/14JEvb_WaHpV3whXjQZDexkLD9CX9rvL6" TargetMode="External"/><Relationship Id="rId64" Type="http://schemas.openxmlformats.org/officeDocument/2006/relationships/hyperlink" Target="https://drive.google.com/drive/folders/1N1CkAwMdbInIbuhhkddWleKoMGB7JK0Q" TargetMode="External"/><Relationship Id="rId118" Type="http://schemas.openxmlformats.org/officeDocument/2006/relationships/hyperlink" Target="https://drive.google.com/drive/folders/1a-9KLtTvcALL80nq6_mm4SK-WV7YJexO" TargetMode="External"/><Relationship Id="rId325" Type="http://schemas.openxmlformats.org/officeDocument/2006/relationships/hyperlink" Target="https://drive.google.com/drive/folders/1FzMzDhsWdBU_Gg3NBdNYMLP4pPFHM7LD" TargetMode="External"/><Relationship Id="rId367" Type="http://schemas.openxmlformats.org/officeDocument/2006/relationships/hyperlink" Target="https://www.google.com/maps/place/26%C2%B033'17.1%22N+50%C2%B000'51.3%22E/@26.5303278,49.8814377,11z/data=!4m4!3m3!8m2!3d26.55475!4d50.01425?entry=ttu" TargetMode="External"/><Relationship Id="rId171" Type="http://schemas.openxmlformats.org/officeDocument/2006/relationships/hyperlink" Target="https://drive.google.com/drive/folders/1ym9uyS67yUs-wuOGZneaV7Wwca4ADEUK" TargetMode="External"/><Relationship Id="rId227" Type="http://schemas.openxmlformats.org/officeDocument/2006/relationships/hyperlink" Target="https://drive.google.com/drive/folders/1oNbs9kfdGTC-wFF9ijpd0DZ6ySMk_VCW" TargetMode="External"/><Relationship Id="rId269" Type="http://schemas.openxmlformats.org/officeDocument/2006/relationships/hyperlink" Target="https://drive.google.com/drive/folders/1n-Jn7Whis0aOTi3dzhT92OhR6xc2J3cI" TargetMode="External"/><Relationship Id="rId33" Type="http://schemas.openxmlformats.org/officeDocument/2006/relationships/hyperlink" Target="https://drive.google.com/drive/folders/15zpoiv32EyeaBcSItOrb-SnycN0XjyCh" TargetMode="External"/><Relationship Id="rId129" Type="http://schemas.openxmlformats.org/officeDocument/2006/relationships/hyperlink" Target="https://drive.google.com/drive/folders/1oAU8TCQMjbkBqbYDJ-QCeth6-tYD1mdS" TargetMode="External"/><Relationship Id="rId280" Type="http://schemas.openxmlformats.org/officeDocument/2006/relationships/hyperlink" Target="https://drive.google.com/drive/folders/1-28-XaCbHkyk_Twdr0A7qe_bjEv7bC1c" TargetMode="External"/><Relationship Id="rId336" Type="http://schemas.openxmlformats.org/officeDocument/2006/relationships/hyperlink" Target="https://drive.google.com/drive/folders/1lGZl6OwHozVCpmD8lf4rzrfRIXoFWnTd" TargetMode="External"/><Relationship Id="rId75" Type="http://schemas.openxmlformats.org/officeDocument/2006/relationships/hyperlink" Target="https://drive.google.com/drive/u/1/folders/15AyT0VKZbyfD_NGNKZSzTe6RE2FaUY3B" TargetMode="External"/><Relationship Id="rId140" Type="http://schemas.openxmlformats.org/officeDocument/2006/relationships/hyperlink" Target="https://drive.google.com/drive/folders/1_AA6XF2fSNj_nUlSt5rkf4dNmfxHA-Ka" TargetMode="External"/><Relationship Id="rId182" Type="http://schemas.openxmlformats.org/officeDocument/2006/relationships/hyperlink" Target="https://drive.google.com/drive/folders/1re0ItR7l1mKtK1dmOMY5i1J_0YB6bDRn" TargetMode="External"/><Relationship Id="rId378" Type="http://schemas.openxmlformats.org/officeDocument/2006/relationships/hyperlink" Target="https://maps.app.goo.gl/ngsFG2rbvD3JcCd2A" TargetMode="External"/><Relationship Id="rId6" Type="http://schemas.openxmlformats.org/officeDocument/2006/relationships/hyperlink" Target="https://drive.google.com/drive/folders/1b5_t-po5zND0l5y2zkxYi4o2jJw77JQX?usp=share_link" TargetMode="External"/><Relationship Id="rId238" Type="http://schemas.openxmlformats.org/officeDocument/2006/relationships/hyperlink" Target="https://drive.google.com/drive/folders/1Tr5STQ1mIPqUlF4fwAPzVedHey491FfT" TargetMode="External"/><Relationship Id="rId291" Type="http://schemas.openxmlformats.org/officeDocument/2006/relationships/hyperlink" Target="https://drive.google.com/drive/folders/18TA5zo-OSCEqIgZEiSA7AUC8CSfntgEi" TargetMode="External"/><Relationship Id="rId305" Type="http://schemas.openxmlformats.org/officeDocument/2006/relationships/hyperlink" Target="https://drive.google.com/drive/folders/1vl9mHUrGynMO_r05JXM7eCcAki7qoGFz" TargetMode="External"/><Relationship Id="rId347" Type="http://schemas.openxmlformats.org/officeDocument/2006/relationships/hyperlink" Target="https://drive.google.com/drive/folders/1d2CXEr53zPsJybTtxBqIePwHtPhMN0v4" TargetMode="External"/><Relationship Id="rId44" Type="http://schemas.openxmlformats.org/officeDocument/2006/relationships/hyperlink" Target="https://drive.google.com/drive/u/1/folders/1iIjUzxsPxfuUlPddWtxkdCN6zFuFjQAs" TargetMode="External"/><Relationship Id="rId86" Type="http://schemas.openxmlformats.org/officeDocument/2006/relationships/hyperlink" Target="https://drive.google.com/drive/folders/18FSN0GMJoQTKgyzBY6iiToG0ole7RVnk" TargetMode="External"/><Relationship Id="rId151" Type="http://schemas.openxmlformats.org/officeDocument/2006/relationships/hyperlink" Target="https://drive.google.com/drive/folders/1IF16bXhMQZLGPtKvdT3xxlwlUDn-mJqA" TargetMode="External"/><Relationship Id="rId193" Type="http://schemas.openxmlformats.org/officeDocument/2006/relationships/hyperlink" Target="https://drive.google.com/drive/folders/1SBruzw0ysqevP3u40-_8L4o4SnT8pWEA" TargetMode="External"/><Relationship Id="rId207" Type="http://schemas.openxmlformats.org/officeDocument/2006/relationships/hyperlink" Target="https://drive.google.com/drive/folders/156gVpfK64kbNi9P5BubL0yJTVx0WgJwa" TargetMode="External"/><Relationship Id="rId249" Type="http://schemas.openxmlformats.org/officeDocument/2006/relationships/hyperlink" Target="https://drive.google.com/drive/u/1/folders/1ypDs1bazH-IBhy9-VKE1xYCNUr4eA3TP" TargetMode="External"/><Relationship Id="rId13" Type="http://schemas.openxmlformats.org/officeDocument/2006/relationships/hyperlink" Target="https://drive.google.com/drive/folders/1rioyi-P3URSjAy235NTwiTGFFNVx-Uoa" TargetMode="External"/><Relationship Id="rId109" Type="http://schemas.openxmlformats.org/officeDocument/2006/relationships/hyperlink" Target="https://drive.google.com/drive/folders/1SXEuLrs6GX6kFQYX-wAdhZOusLjIn-AL" TargetMode="External"/><Relationship Id="rId260" Type="http://schemas.openxmlformats.org/officeDocument/2006/relationships/hyperlink" Target="https://drive.google.com/drive/u/0/folders/1fI9XO-P5DWeNZigIo3Ti5bYEX1oCvX-u" TargetMode="External"/><Relationship Id="rId316" Type="http://schemas.openxmlformats.org/officeDocument/2006/relationships/hyperlink" Target="https://drive.google.com/drive/folders/1anGOiqa4Wrck9xgeL1KF0UZVIehR9EuL" TargetMode="External"/><Relationship Id="rId55" Type="http://schemas.openxmlformats.org/officeDocument/2006/relationships/hyperlink" Target="https://drive.google.com/drive/folders/1hpKmU5vcWxlcfw8tpK5op_lCdJ8QhLlr" TargetMode="External"/><Relationship Id="rId97" Type="http://schemas.openxmlformats.org/officeDocument/2006/relationships/hyperlink" Target="https://drive.google.com/drive/folders/1i7ayI6cbl0h8f6EX1vXcotuwY1wZqKxv" TargetMode="External"/><Relationship Id="rId120" Type="http://schemas.openxmlformats.org/officeDocument/2006/relationships/hyperlink" Target="https://drive.google.com/drive/folders/1qyIAMuANuCO1OeqPjqQj1KTPp0NCN-OZ" TargetMode="External"/><Relationship Id="rId358" Type="http://schemas.openxmlformats.org/officeDocument/2006/relationships/hyperlink" Target="https://drive.google.com/drive/folders/1kfNFLEEBq-xefgFT2GTu415aboSj01h4" TargetMode="External"/><Relationship Id="rId162" Type="http://schemas.openxmlformats.org/officeDocument/2006/relationships/hyperlink" Target="https://drive.google.com/drive/folders/1xU4-Dj_9Wp6E_CZAF063BquL5wv8SvgN" TargetMode="External"/><Relationship Id="rId218" Type="http://schemas.openxmlformats.org/officeDocument/2006/relationships/hyperlink" Target="https://drive.google.com/drive/folders/1HH3rDrFlVHoyGQhwAPj9UaGihsKDyfP_" TargetMode="External"/><Relationship Id="rId271" Type="http://schemas.openxmlformats.org/officeDocument/2006/relationships/hyperlink" Target="https://drive.google.com/drive/u/1/folders/116FFCxfKv6jfZTU-KoPc95Fgmk9aeaLq" TargetMode="External"/><Relationship Id="rId24" Type="http://schemas.openxmlformats.org/officeDocument/2006/relationships/hyperlink" Target="https://drive.google.com/drive/folders/1REnJg9-uqV282ajXQVVHcWmua9GxoHgg" TargetMode="External"/><Relationship Id="rId66" Type="http://schemas.openxmlformats.org/officeDocument/2006/relationships/hyperlink" Target="https://drive.google.com/drive/folders/1pISNnma2GqtYbfDrg9C3WIxA2JH5clx5" TargetMode="External"/><Relationship Id="rId131" Type="http://schemas.openxmlformats.org/officeDocument/2006/relationships/hyperlink" Target="https://drive.google.com/drive/folders/1pNVwYM68BvXQ1RvhpTqk7f58bZKtHCpx" TargetMode="External"/><Relationship Id="rId327" Type="http://schemas.openxmlformats.org/officeDocument/2006/relationships/hyperlink" Target="https://drive.google.com/drive/folders/1n_RcTOlJLe6evicJz48NHjoLZIGOQhaH" TargetMode="External"/><Relationship Id="rId369" Type="http://schemas.openxmlformats.org/officeDocument/2006/relationships/hyperlink" Target="https://drive.google.com/drive/folders/1PE4UDhgiXExSbqQwYTvXNfaxhnnnYQ-Z" TargetMode="External"/><Relationship Id="rId173" Type="http://schemas.openxmlformats.org/officeDocument/2006/relationships/hyperlink" Target="https://drive.google.com/drive/folders/1PI5-qXamsamiMeU75IcihJpKnu3xaJdV" TargetMode="External"/><Relationship Id="rId229" Type="http://schemas.openxmlformats.org/officeDocument/2006/relationships/hyperlink" Target="https://drive.google.com/drive/folders/1y5yofxIbjy_Hh4mNq9VU8oDOhgpLa1cy" TargetMode="External"/><Relationship Id="rId380" Type="http://schemas.openxmlformats.org/officeDocument/2006/relationships/hyperlink" Target="https://www.google.com/maps/place/26%C2%B059'22.1%22N+49%C2%B039'31.3%22E/@26.9579234,49.6917727,10z/data=!4m4!3m3!8m2!3d26.989477!4d49.658685?entry=ttu" TargetMode="External"/><Relationship Id="rId240" Type="http://schemas.openxmlformats.org/officeDocument/2006/relationships/hyperlink" Target="https://drive.google.com/drive/folders/16nX-Sje3xBpnqUBZVnJUy5jg9cup5TQh" TargetMode="External"/><Relationship Id="rId35" Type="http://schemas.openxmlformats.org/officeDocument/2006/relationships/hyperlink" Target="https://drive.google.com/drive/folders/1h3m-wGl6WKAAe27PaySwg7cUkgWhhntw" TargetMode="External"/><Relationship Id="rId77" Type="http://schemas.openxmlformats.org/officeDocument/2006/relationships/hyperlink" Target="https://drive.google.com/drive/folders/1G-m-K5MCNkoPepSW96rEvdBCwdkyCYRn" TargetMode="External"/><Relationship Id="rId100" Type="http://schemas.openxmlformats.org/officeDocument/2006/relationships/hyperlink" Target="https://drive.google.com/drive/folders/1MZW_6LUGHsocfXpFHIJPLi-UIijIstRZ" TargetMode="External"/><Relationship Id="rId282" Type="http://schemas.openxmlformats.org/officeDocument/2006/relationships/hyperlink" Target="https://drive.google.com/drive/folders/1kdYjaiheNojDvtlgfAuonrEyBoAg8Ki3" TargetMode="External"/><Relationship Id="rId338" Type="http://schemas.openxmlformats.org/officeDocument/2006/relationships/hyperlink" Target="https://drive.google.com/drive/folders/13c_LFxWss310Lu0aoViWTZzHPfSNwWH6" TargetMode="External"/><Relationship Id="rId8" Type="http://schemas.openxmlformats.org/officeDocument/2006/relationships/hyperlink" Target="https://drive.google.com/drive/folders/1dppLeWBvbH_IiLi5ffltxlp54V3rnBRp?usp=sharing" TargetMode="External"/><Relationship Id="rId142" Type="http://schemas.openxmlformats.org/officeDocument/2006/relationships/hyperlink" Target="https://drive.google.com/drive/folders/1k4wQORGS1IEeM9IawziijsqnM9QCKiCC" TargetMode="External"/><Relationship Id="rId184" Type="http://schemas.openxmlformats.org/officeDocument/2006/relationships/hyperlink" Target="https://drive.google.com/drive/folders/1cLqoblu0GhxqHovefAuDsdG4VSwQUrGn" TargetMode="External"/><Relationship Id="rId251" Type="http://schemas.openxmlformats.org/officeDocument/2006/relationships/hyperlink" Target="https://drive.google.com/drive/u/1/folders/1UqogsWdhl2KRMzC0_ggYZ5UuOqHZWw5x" TargetMode="External"/><Relationship Id="rId46" Type="http://schemas.openxmlformats.org/officeDocument/2006/relationships/hyperlink" Target="https://drive.google.com/drive/folders/1dVgeq50wqFwKObX1LiYvhzfm2AcJpbbr" TargetMode="External"/><Relationship Id="rId293" Type="http://schemas.openxmlformats.org/officeDocument/2006/relationships/hyperlink" Target="https://drive.google.com/drive/folders/1nUgFjikXpTYAIhctecLHGoGqEWPujyqW" TargetMode="External"/><Relationship Id="rId307" Type="http://schemas.openxmlformats.org/officeDocument/2006/relationships/hyperlink" Target="https://drive.google.com/drive/u/1/folders/1wgcvj0foKVQw__SRFYHznGmaHkjKya0-" TargetMode="External"/><Relationship Id="rId349" Type="http://schemas.openxmlformats.org/officeDocument/2006/relationships/hyperlink" Target="https://drive.google.com/drive/folders/1XbD6mDmquwlFlsOrvB2UVMq-xfR_cnrC" TargetMode="External"/><Relationship Id="rId88" Type="http://schemas.openxmlformats.org/officeDocument/2006/relationships/hyperlink" Target="https://drive.google.com/drive/u/1/folders/1J7G1Wwhs-pXEFq34G3Pkz3KCG-i9IfrA" TargetMode="External"/><Relationship Id="rId111" Type="http://schemas.openxmlformats.org/officeDocument/2006/relationships/hyperlink" Target="https://drive.google.com/drive/folders/1JhGmKFDjt5yrYkHWpfYsmAu6t6CMxGpT" TargetMode="External"/><Relationship Id="rId153" Type="http://schemas.openxmlformats.org/officeDocument/2006/relationships/hyperlink" Target="https://drive.google.com/drive/folders/16m6ggNgkhsIBZyD9aldekrUx4PU7-ANF" TargetMode="External"/><Relationship Id="rId195" Type="http://schemas.openxmlformats.org/officeDocument/2006/relationships/hyperlink" Target="https://drive.google.com/drive/folders/1AfAGCayfHFEvCRDKTAHJaGBN61Dc0RYr" TargetMode="External"/><Relationship Id="rId209" Type="http://schemas.openxmlformats.org/officeDocument/2006/relationships/hyperlink" Target="https://drive.google.com/drive/folders/1BEEF5qz3GQ6W464qfIVKy8rQ-s0QqMUs" TargetMode="External"/><Relationship Id="rId360" Type="http://schemas.openxmlformats.org/officeDocument/2006/relationships/hyperlink" Target="https://drive.google.com/drive/folders/1uYVNmeq4dVQxiH3Mg_tAAH3OV84vTkU5" TargetMode="External"/><Relationship Id="rId220" Type="http://schemas.openxmlformats.org/officeDocument/2006/relationships/hyperlink" Target="https://drive.google.com/drive/folders/1d-eS1IgtE79B7sD_av8QOiplm6pCqCCz" TargetMode="External"/><Relationship Id="rId15" Type="http://schemas.openxmlformats.org/officeDocument/2006/relationships/hyperlink" Target="https://drive.google.com/drive/folders/1rkm0GLdDGDh7DXC-FABASCOvn0DwWKif" TargetMode="External"/><Relationship Id="rId57" Type="http://schemas.openxmlformats.org/officeDocument/2006/relationships/hyperlink" Target="https://drive.google.com/drive/folders/1bPPqDHcvaNxjqKyMSlUdi3hiEfk7AN-o" TargetMode="External"/><Relationship Id="rId262" Type="http://schemas.openxmlformats.org/officeDocument/2006/relationships/hyperlink" Target="https://drive.google.com/drive/u/0/folders/1riaATwpOjkzzOb5JRo64ny4AdR0m6vrN" TargetMode="External"/><Relationship Id="rId318" Type="http://schemas.openxmlformats.org/officeDocument/2006/relationships/hyperlink" Target="https://drive.google.com/drive/folders/1nfxYHBSfX69V_0mUcHod87ckpAvjBOgh" TargetMode="External"/><Relationship Id="rId99" Type="http://schemas.openxmlformats.org/officeDocument/2006/relationships/hyperlink" Target="https://drive.google.com/drive/folders/11zS98oNhGVhRNFUya3zlSYPn7gCmRw-R" TargetMode="External"/><Relationship Id="rId122" Type="http://schemas.openxmlformats.org/officeDocument/2006/relationships/hyperlink" Target="https://drive.google.com/drive/folders/1rz9CgEyXGTDcblpROwqViOgHvcM-wHfE" TargetMode="External"/><Relationship Id="rId164" Type="http://schemas.openxmlformats.org/officeDocument/2006/relationships/hyperlink" Target="https://drive.google.com/drive/folders/1AhNy_1Q89H5E_-9KQRufHHSGeZNix84B" TargetMode="External"/><Relationship Id="rId371" Type="http://schemas.openxmlformats.org/officeDocument/2006/relationships/hyperlink" Target="https://drive.google.com/drive/folders/1EA5FqKmIMM9MFTO3MJ9N_73MfPFuF856" TargetMode="External"/><Relationship Id="rId26" Type="http://schemas.openxmlformats.org/officeDocument/2006/relationships/hyperlink" Target="https://drive.google.com/drive/folders/1Kr7QyOht92wK7unzusJzr8uiSksclIX3" TargetMode="External"/><Relationship Id="rId231" Type="http://schemas.openxmlformats.org/officeDocument/2006/relationships/hyperlink" Target="https://drive.google.com/drive/folders/1h9bOln0kDWZm3SlBZKjVldW5WXLUbTKJ" TargetMode="External"/><Relationship Id="rId273" Type="http://schemas.openxmlformats.org/officeDocument/2006/relationships/hyperlink" Target="https://drive.google.com/drive/u/1/folders/1d9R9kVY9NUVH3KVqfZoGgsg8GcC7PolR" TargetMode="External"/><Relationship Id="rId329" Type="http://schemas.openxmlformats.org/officeDocument/2006/relationships/hyperlink" Target="https://drive.google.com/drive/folders/1Pa0YDauoofr8dQv5gTES9GtLtIigs4O9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F0E31-A925-49E4-B5A1-E0EC0DDF1ECA}">
  <dimension ref="A1:AX542"/>
  <sheetViews>
    <sheetView rightToLeft="1" tabSelected="1" zoomScale="98" zoomScaleNormal="98" workbookViewId="0">
      <selection activeCell="D1" sqref="D1:D1048576"/>
    </sheetView>
  </sheetViews>
  <sheetFormatPr defaultRowHeight="15" x14ac:dyDescent="0.25"/>
  <cols>
    <col min="1" max="1" width="8.28515625" bestFit="1" customWidth="1"/>
    <col min="2" max="2" width="13.7109375" bestFit="1" customWidth="1"/>
    <col min="3" max="3" width="56.5703125" customWidth="1"/>
    <col min="4" max="4" width="9" customWidth="1"/>
    <col min="5" max="5" width="30.42578125" customWidth="1"/>
    <col min="6" max="6" width="22.85546875" customWidth="1"/>
    <col min="7" max="7" width="19.42578125" customWidth="1"/>
    <col min="8" max="8" width="18.7109375" customWidth="1"/>
    <col min="9" max="9" width="12.28515625" customWidth="1"/>
    <col min="10" max="10" width="21.42578125" customWidth="1"/>
    <col min="11" max="11" width="33.42578125" customWidth="1"/>
    <col min="12" max="12" width="16.28515625" customWidth="1"/>
    <col min="13" max="13" width="13.140625" customWidth="1"/>
    <col min="14" max="14" width="24.85546875" customWidth="1"/>
    <col min="15" max="15" width="17" customWidth="1"/>
    <col min="16" max="16" width="17.7109375" customWidth="1"/>
    <col min="17" max="17" width="26.7109375" customWidth="1"/>
    <col min="18" max="18" width="21.7109375" customWidth="1"/>
    <col min="19" max="19" width="8.42578125" customWidth="1"/>
    <col min="20" max="20" width="21" customWidth="1"/>
    <col min="21" max="22" width="26" customWidth="1"/>
    <col min="23" max="23" width="20.42578125" customWidth="1"/>
    <col min="24" max="25" width="16.7109375" customWidth="1"/>
    <col min="26" max="26" width="30.140625" bestFit="1" customWidth="1"/>
    <col min="27" max="27" width="12.85546875" bestFit="1" customWidth="1"/>
    <col min="28" max="28" width="17.42578125" bestFit="1" customWidth="1"/>
    <col min="29" max="29" width="18.7109375" bestFit="1" customWidth="1"/>
    <col min="30" max="30" width="13.7109375" bestFit="1" customWidth="1"/>
    <col min="31" max="31" width="36.42578125" bestFit="1" customWidth="1"/>
    <col min="32" max="32" width="45" bestFit="1" customWidth="1"/>
    <col min="33" max="33" width="40.42578125" bestFit="1" customWidth="1"/>
    <col min="34" max="34" width="33.28515625" bestFit="1" customWidth="1"/>
    <col min="35" max="35" width="35.140625" bestFit="1" customWidth="1"/>
    <col min="36" max="36" width="30.140625" bestFit="1" customWidth="1"/>
    <col min="37" max="37" width="33.140625" bestFit="1" customWidth="1"/>
    <col min="38" max="38" width="35" bestFit="1" customWidth="1"/>
    <col min="39" max="39" width="30" bestFit="1" customWidth="1"/>
    <col min="40" max="40" width="26.7109375" bestFit="1" customWidth="1"/>
    <col min="41" max="41" width="28" bestFit="1" customWidth="1"/>
    <col min="42" max="42" width="23" bestFit="1" customWidth="1"/>
    <col min="43" max="43" width="43" bestFit="1" customWidth="1"/>
    <col min="44" max="44" width="44.28515625" bestFit="1" customWidth="1"/>
    <col min="45" max="45" width="39.7109375" bestFit="1" customWidth="1"/>
    <col min="46" max="46" width="10.5703125" bestFit="1" customWidth="1"/>
    <col min="47" max="47" width="87.140625" bestFit="1" customWidth="1"/>
    <col min="48" max="48" width="123.85546875" bestFit="1" customWidth="1"/>
    <col min="49" max="49" width="5.85546875" bestFit="1" customWidth="1"/>
    <col min="50" max="50" width="31.7109375" bestFit="1" customWidth="1"/>
  </cols>
  <sheetData>
    <row r="1" spans="1:50" x14ac:dyDescent="0.25">
      <c r="A1" s="6" t="s">
        <v>1518</v>
      </c>
      <c r="B1" s="6" t="s">
        <v>0</v>
      </c>
      <c r="C1" s="6" t="s">
        <v>1</v>
      </c>
      <c r="D1" s="6" t="s">
        <v>1079</v>
      </c>
      <c r="E1" s="6" t="s">
        <v>829</v>
      </c>
      <c r="F1" s="6" t="s">
        <v>1074</v>
      </c>
      <c r="G1" s="6" t="s">
        <v>830</v>
      </c>
      <c r="H1" s="6" t="s">
        <v>831</v>
      </c>
      <c r="I1" s="6" t="s">
        <v>832</v>
      </c>
      <c r="J1" s="9" t="s">
        <v>833</v>
      </c>
      <c r="K1" s="6" t="s">
        <v>835</v>
      </c>
      <c r="L1" s="6" t="s">
        <v>834</v>
      </c>
      <c r="M1" s="6" t="s">
        <v>836</v>
      </c>
      <c r="N1" s="6" t="s">
        <v>2</v>
      </c>
      <c r="O1" s="6" t="s">
        <v>837</v>
      </c>
      <c r="P1" s="6" t="s">
        <v>838</v>
      </c>
      <c r="Q1" s="9" t="s">
        <v>839</v>
      </c>
      <c r="R1" s="6" t="s">
        <v>840</v>
      </c>
      <c r="S1" s="6" t="s">
        <v>841</v>
      </c>
      <c r="T1" s="6" t="s">
        <v>1092</v>
      </c>
      <c r="U1" s="7" t="s">
        <v>1111</v>
      </c>
      <c r="V1" s="7" t="s">
        <v>1112</v>
      </c>
      <c r="W1" s="6" t="s">
        <v>894</v>
      </c>
      <c r="X1" s="6" t="s">
        <v>895</v>
      </c>
      <c r="Y1" s="6" t="s">
        <v>842</v>
      </c>
      <c r="Z1" s="6" t="s">
        <v>844</v>
      </c>
      <c r="AA1" s="6" t="s">
        <v>843</v>
      </c>
      <c r="AB1" s="6" t="s">
        <v>845</v>
      </c>
      <c r="AC1" s="6" t="s">
        <v>846</v>
      </c>
      <c r="AD1" s="6" t="s">
        <v>847</v>
      </c>
      <c r="AE1" s="6" t="s">
        <v>848</v>
      </c>
      <c r="AF1" s="6" t="s">
        <v>849</v>
      </c>
      <c r="AG1" s="6" t="s">
        <v>850</v>
      </c>
      <c r="AH1" s="6" t="s">
        <v>1084</v>
      </c>
      <c r="AI1" s="6" t="s">
        <v>1085</v>
      </c>
      <c r="AJ1" s="6" t="s">
        <v>1086</v>
      </c>
      <c r="AK1" s="6" t="s">
        <v>1087</v>
      </c>
      <c r="AL1" s="6" t="s">
        <v>1088</v>
      </c>
      <c r="AM1" s="6" t="s">
        <v>1089</v>
      </c>
      <c r="AN1" s="6" t="s">
        <v>851</v>
      </c>
      <c r="AO1" s="7" t="s">
        <v>921</v>
      </c>
      <c r="AP1" s="6" t="s">
        <v>922</v>
      </c>
      <c r="AQ1" s="6" t="s">
        <v>923</v>
      </c>
      <c r="AR1" s="6" t="s">
        <v>924</v>
      </c>
      <c r="AS1" s="6" t="s">
        <v>925</v>
      </c>
      <c r="AT1" s="6" t="s">
        <v>3</v>
      </c>
      <c r="AU1" s="6" t="s">
        <v>2412</v>
      </c>
      <c r="AV1" s="6" t="s">
        <v>896</v>
      </c>
      <c r="AW1" s="13" t="s">
        <v>2086</v>
      </c>
      <c r="AX1" s="6" t="s">
        <v>2480</v>
      </c>
    </row>
    <row r="2" spans="1:50" x14ac:dyDescent="0.25">
      <c r="A2" s="48" t="str" cm="1">
        <f t="array" aca="1" ref="A2" ca="1">INDEX('SAP Customer Data'!$A:$AC,MATCH(بيانات_العملاء[[#This Row],[رمز شريك الأعمال]],'SAP Customer Data'!$B:$B,0),CELL("col",Table_Customer_Data[[#Headers],[GroupName]]))</f>
        <v>CS01</v>
      </c>
      <c r="B2" s="29" t="s">
        <v>395</v>
      </c>
      <c r="C2" s="30" t="str" cm="1">
        <f t="array" aca="1" ref="C2" ca="1">INDEX('SAP Customer Data'!$A:$AC,MATCH(بيانات_العملاء[[#This Row],[رمز شريك الأعمال]],'SAP Customer Data'!$B:$B,0),CELL("col",Table_Customer_Data[[#Headers],[CardName]]))</f>
        <v>مؤسسة فوزية سعد حماد البقعاوي النجوم</v>
      </c>
      <c r="D2" s="30" t="str">
        <f ca="1">IF(بيانات_العملاء[[#This Row],[حد الائتمان على SAP]]&gt;0,"آجل","نقدى")</f>
        <v>آجل</v>
      </c>
      <c r="E2" s="30" t="s">
        <v>914</v>
      </c>
      <c r="F2" s="30" t="s">
        <v>1081</v>
      </c>
      <c r="G2" s="30" t="s">
        <v>854</v>
      </c>
      <c r="H2" s="30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" s="30" t="s">
        <v>854</v>
      </c>
      <c r="J2" s="31">
        <v>44489</v>
      </c>
      <c r="K2" s="30" t="s">
        <v>859</v>
      </c>
      <c r="L2" s="30" t="str">
        <f ca="1">IF(AND(بيانات_العملاء[[#This Row],[السجل التجارى]]="موجود",TODAY()+'Other Data'!$B$23&lt;J2,بيانات_العملاء[[#This Row],[مطابقة اسم العميل بالاسم بالسجل التجارى]]="مطابق"), "سارى", "يجب اعادة طلبه")</f>
        <v>يجب اعادة طلبه</v>
      </c>
      <c r="M2" s="30" t="s">
        <v>856</v>
      </c>
      <c r="N2" s="39" cm="1">
        <f t="array" aca="1" ref="N2" ca="1">INDEX('SAP Customer Data'!$A:$AC,MATCH(بيانات_العملاء[[#This Row],[رمز شريك الأعمال]],'SAP Customer Data'!$B:$B,0),CELL("col",Table_Customer_Data[[#Headers],[LicTradNum]]))</f>
        <v>0</v>
      </c>
      <c r="O2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" s="30" t="s">
        <v>856</v>
      </c>
      <c r="Q2" s="31"/>
      <c r="R2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" s="30" t="s">
        <v>854</v>
      </c>
      <c r="T2" s="32">
        <v>50000</v>
      </c>
      <c r="U2" s="33"/>
      <c r="V2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" s="30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2" s="30" cm="1">
        <f t="array" aca="1" ref="X2" ca="1">INDEX('SAP Customer Data'!$A:$AC,MATCH(بيانات_العملاء[[#This Row],[رمز شريك الأعمال]],'SAP Customer Data'!$B:$B,0),CELL("col",Table_Customer_Data[[#Headers],[CreditLine]]))</f>
        <v>56000</v>
      </c>
      <c r="Y2" s="30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2" s="30" t="s">
        <v>855</v>
      </c>
      <c r="AA2" s="30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" s="30" t="s">
        <v>856</v>
      </c>
      <c r="AC2" s="30"/>
      <c r="AD2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" s="30" t="s">
        <v>856</v>
      </c>
      <c r="AF2" s="30"/>
      <c r="AG2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" s="30" t="s">
        <v>856</v>
      </c>
      <c r="AI2" s="30"/>
      <c r="AJ2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" s="30"/>
      <c r="AL2" s="31"/>
      <c r="AM2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" s="30" t="s">
        <v>856</v>
      </c>
      <c r="AO2" s="33"/>
      <c r="AP2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" s="30" t="s">
        <v>856</v>
      </c>
      <c r="AR2" s="30"/>
      <c r="AS2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" s="33" cm="1">
        <f t="array" aca="1" ref="AT2" ca="1">INDEX('SAP Customer Data'!A:Z,MATCH(بيانات_العملاء[[#This Row],[رمز شريك الأعمال]],'SAP Customer Data'!B:B,0),CELL("col",Table_Customer_Data[[#Headers],[CreateDate]]))</f>
        <v>43852</v>
      </c>
      <c r="AU2" s="30"/>
      <c r="AV2" s="33" t="s">
        <v>1050</v>
      </c>
      <c r="AW2" s="30" t="s">
        <v>2097</v>
      </c>
      <c r="AX2" s="30"/>
    </row>
    <row r="3" spans="1:50" x14ac:dyDescent="0.25">
      <c r="A3" s="36" t="str" cm="1">
        <f t="array" aca="1" ref="A3" ca="1">INDEX('SAP Customer Data'!$A:$AC,MATCH(بيانات_العملاء[[#This Row],[رمز شريك الأعمال]],'SAP Customer Data'!$B:$B,0),CELL("col",Table_Customer_Data[[#Headers],[GroupName]]))</f>
        <v>CS01</v>
      </c>
      <c r="B3" s="78" t="s">
        <v>499</v>
      </c>
      <c r="C3" s="37" t="str" cm="1">
        <f t="array" aca="1" ref="C3" ca="1">INDEX('SAP Customer Data'!$A:$AC,MATCH(بيانات_العملاء[[#This Row],[رمز شريك الأعمال]],'SAP Customer Data'!$B:$B,0),CELL("col",Table_Customer_Data[[#Headers],[CardName]]))</f>
        <v>احمد محمد الخميس حي الضاحي</v>
      </c>
      <c r="D3" s="37" t="str">
        <f ca="1">IF(بيانات_العملاء[[#This Row],[حد الائتمان على SAP]]&gt;0,"آجل","نقدى")</f>
        <v>آجل</v>
      </c>
      <c r="E3" s="37" t="s">
        <v>881</v>
      </c>
      <c r="F3" s="37" t="s">
        <v>1081</v>
      </c>
      <c r="G3" s="37" t="s">
        <v>854</v>
      </c>
      <c r="H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" s="37" t="s">
        <v>854</v>
      </c>
      <c r="J3" s="38">
        <v>43311</v>
      </c>
      <c r="K3" s="37" t="s">
        <v>859</v>
      </c>
      <c r="L3" s="37" t="str">
        <f ca="1">IF(AND(بيانات_العملاء[[#This Row],[السجل التجارى]]="موجود",TODAY()+'Other Data'!$B$23&lt;J3,بيانات_العملاء[[#This Row],[مطابقة اسم العميل بالاسم بالسجل التجارى]]="مطابق"), "سارى", "يجب اعادة طلبه")</f>
        <v>يجب اعادة طلبه</v>
      </c>
      <c r="M3" s="37" t="s">
        <v>856</v>
      </c>
      <c r="N3" s="39" cm="1">
        <f t="array" aca="1" ref="N3" ca="1">INDEX('SAP Customer Data'!$A:$AC,MATCH(بيانات_العملاء[[#This Row],[رمز شريك الأعمال]],'SAP Customer Data'!$B:$B,0),CELL("col",Table_Customer_Data[[#Headers],[LicTradNum]]))</f>
        <v>0</v>
      </c>
      <c r="O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" s="37" t="s">
        <v>856</v>
      </c>
      <c r="Q3" s="38"/>
      <c r="R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" s="37" t="s">
        <v>854</v>
      </c>
      <c r="T3" s="40">
        <v>20000</v>
      </c>
      <c r="U3" s="41"/>
      <c r="V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3" s="37" cm="1">
        <f t="array" aca="1" ref="X3" ca="1">INDEX('SAP Customer Data'!$A:$AC,MATCH(بيانات_العملاء[[#This Row],[رمز شريك الأعمال]],'SAP Customer Data'!$B:$B,0),CELL("col",Table_Customer_Data[[#Headers],[CreditLine]]))</f>
        <v>16000</v>
      </c>
      <c r="Y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" s="37" t="s">
        <v>855</v>
      </c>
      <c r="AA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" s="37" t="s">
        <v>856</v>
      </c>
      <c r="AC3" s="37"/>
      <c r="AD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" s="37" t="s">
        <v>856</v>
      </c>
      <c r="AF3" s="37"/>
      <c r="AG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" s="37" t="s">
        <v>856</v>
      </c>
      <c r="AI3" s="37"/>
      <c r="AJ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" s="37" t="s">
        <v>856</v>
      </c>
      <c r="AL3" s="38"/>
      <c r="AM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" s="37" t="s">
        <v>856</v>
      </c>
      <c r="AO3" s="41"/>
      <c r="AP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" s="37" t="s">
        <v>856</v>
      </c>
      <c r="AR3" s="37"/>
      <c r="AS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" s="41" cm="1">
        <f t="array" aca="1" ref="AT3" ca="1">INDEX('SAP Customer Data'!A:Z,MATCH(بيانات_العملاء[[#This Row],[رمز شريك الأعمال]],'SAP Customer Data'!B:B,0),CELL("col",Table_Customer_Data[[#Headers],[CreateDate]]))</f>
        <v>43581</v>
      </c>
      <c r="AU3" s="37"/>
      <c r="AV3" s="41" t="s">
        <v>897</v>
      </c>
      <c r="AW3" s="37" t="s">
        <v>2097</v>
      </c>
      <c r="AX3" s="37"/>
    </row>
    <row r="4" spans="1:50" x14ac:dyDescent="0.25">
      <c r="A4" s="36" t="str" cm="1">
        <f t="array" aca="1" ref="A4" ca="1">INDEX('SAP Customer Data'!$A:$AC,MATCH(بيانات_العملاء[[#This Row],[رمز شريك الأعمال]],'SAP Customer Data'!$B:$B,0),CELL("col",Table_Customer_Data[[#Headers],[GroupName]]))</f>
        <v>CS01</v>
      </c>
      <c r="B4" s="78" t="s">
        <v>549</v>
      </c>
      <c r="C4" s="37" t="str" cm="1">
        <f t="array" aca="1" ref="C4" ca="1">INDEX('SAP Customer Data'!$A:$AC,MATCH(بيانات_العملاء[[#This Row],[رمز شريك الأعمال]],'SAP Customer Data'!$B:$B,0),CELL("col",Table_Customer_Data[[#Headers],[CardName]]))</f>
        <v>شركة البهو التجارية</v>
      </c>
      <c r="D4" s="37" t="str">
        <f ca="1">IF(بيانات_العملاء[[#This Row],[حد الائتمان على SAP]]&gt;0,"آجل","نقدى")</f>
        <v>آجل</v>
      </c>
      <c r="E4" s="37"/>
      <c r="F4" s="37" t="s">
        <v>997</v>
      </c>
      <c r="G4" s="37" t="s">
        <v>854</v>
      </c>
      <c r="H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" s="37" t="s">
        <v>854</v>
      </c>
      <c r="J4" s="38">
        <v>44267</v>
      </c>
      <c r="K4" s="37" t="s">
        <v>859</v>
      </c>
      <c r="L4" s="37" t="str">
        <f ca="1">IF(AND(بيانات_العملاء[[#This Row],[السجل التجارى]]="موجود",TODAY()+'Other Data'!$B$23&lt;J4,بيانات_العملاء[[#This Row],[مطابقة اسم العميل بالاسم بالسجل التجارى]]="مطابق"), "سارى", "يجب اعادة طلبه")</f>
        <v>يجب اعادة طلبه</v>
      </c>
      <c r="M4" s="37" t="s">
        <v>856</v>
      </c>
      <c r="N4" s="39" cm="1">
        <f t="array" aca="1" ref="N4" ca="1">INDEX('SAP Customer Data'!$A:$AC,MATCH(بيانات_العملاء[[#This Row],[رمز شريك الأعمال]],'SAP Customer Data'!$B:$B,0),CELL("col",Table_Customer_Data[[#Headers],[LicTradNum]]))</f>
        <v>0</v>
      </c>
      <c r="O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" s="37" t="s">
        <v>856</v>
      </c>
      <c r="Q4" s="38"/>
      <c r="R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" s="37" t="s">
        <v>854</v>
      </c>
      <c r="T4" s="40">
        <v>15000</v>
      </c>
      <c r="U4" s="41"/>
      <c r="V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</v>
      </c>
      <c r="X4" s="37" cm="1">
        <f t="array" aca="1" ref="X4" ca="1">INDEX('SAP Customer Data'!$A:$AC,MATCH(بيانات_العملاء[[#This Row],[رمز شريك الأعمال]],'SAP Customer Data'!$B:$B,0),CELL("col",Table_Customer_Data[[#Headers],[CreditLine]]))</f>
        <v>12000</v>
      </c>
      <c r="Y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" s="37" t="s">
        <v>855</v>
      </c>
      <c r="AA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" s="37" t="s">
        <v>856</v>
      </c>
      <c r="AC4" s="37"/>
      <c r="AD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" s="37" t="s">
        <v>856</v>
      </c>
      <c r="AF4" s="37"/>
      <c r="AG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" s="37" t="s">
        <v>856</v>
      </c>
      <c r="AI4" s="37"/>
      <c r="AJ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" s="37" t="s">
        <v>856</v>
      </c>
      <c r="AL4" s="38"/>
      <c r="AM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" s="37" t="s">
        <v>856</v>
      </c>
      <c r="AO4" s="41"/>
      <c r="AP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" s="37" t="s">
        <v>856</v>
      </c>
      <c r="AR4" s="37"/>
      <c r="AS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" s="41" cm="1">
        <f t="array" aca="1" ref="AT4" ca="1">INDEX('SAP Customer Data'!A:Z,MATCH(بيانات_العملاء[[#This Row],[رمز شريك الأعمال]],'SAP Customer Data'!B:B,0),CELL("col",Table_Customer_Data[[#Headers],[CreateDate]]))</f>
        <v>43794</v>
      </c>
      <c r="AU4" s="37"/>
      <c r="AV4" s="41" t="s">
        <v>1580</v>
      </c>
      <c r="AW4" s="37" t="s">
        <v>2097</v>
      </c>
      <c r="AX4" s="37"/>
    </row>
    <row r="5" spans="1:50" x14ac:dyDescent="0.25">
      <c r="A5" s="36" t="str" cm="1">
        <f t="array" aca="1" ref="A5" ca="1">INDEX('SAP Customer Data'!$A:$AC,MATCH(بيانات_العملاء[[#This Row],[رمز شريك الأعمال]],'SAP Customer Data'!$B:$B,0),CELL("col",Table_Customer_Data[[#Headers],[GroupName]]))</f>
        <v>CS01</v>
      </c>
      <c r="B5" s="78" t="s">
        <v>553</v>
      </c>
      <c r="C5" s="37" t="str" cm="1">
        <f t="array" aca="1" ref="C5" ca="1">INDEX('SAP Customer Data'!$A:$AC,MATCH(بيانات_العملاء[[#This Row],[رمز شريك الأعمال]],'SAP Customer Data'!$B:$B,0),CELL("col",Table_Customer_Data[[#Headers],[CardName]]))</f>
        <v>مؤسسة انوار الملكة التجارية</v>
      </c>
      <c r="D5" s="37" t="str">
        <f ca="1">IF(بيانات_العملاء[[#This Row],[حد الائتمان على SAP]]&gt;0,"آجل","نقدى")</f>
        <v>آجل</v>
      </c>
      <c r="E5" s="37" t="s">
        <v>890</v>
      </c>
      <c r="F5" s="37" t="s">
        <v>1081</v>
      </c>
      <c r="G5" s="37" t="s">
        <v>854</v>
      </c>
      <c r="H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" s="37" t="s">
        <v>854</v>
      </c>
      <c r="J5" s="38">
        <v>45840</v>
      </c>
      <c r="K5" s="37" t="s">
        <v>855</v>
      </c>
      <c r="L5" s="37" t="str">
        <f ca="1">IF(AND(بيانات_العملاء[[#This Row],[السجل التجارى]]="موجود",TODAY()+'Other Data'!$B$23&lt;J5,بيانات_العملاء[[#This Row],[مطابقة اسم العميل بالاسم بالسجل التجارى]]="مطابق"), "سارى", "يجب اعادة طلبه")</f>
        <v>سارى</v>
      </c>
      <c r="M5" s="37" t="s">
        <v>854</v>
      </c>
      <c r="N5" s="39" t="str" cm="1">
        <f t="array" aca="1" ref="N5" ca="1">INDEX('SAP Customer Data'!$A:$AC,MATCH(بيانات_العملاء[[#This Row],[رمز شريك الأعمال]],'SAP Customer Data'!$B:$B,0),CELL("col",Table_Customer_Data[[#Headers],[LicTradNum]]))</f>
        <v>300927566200003</v>
      </c>
      <c r="O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" s="37" t="s">
        <v>854</v>
      </c>
      <c r="Q5" s="38">
        <v>45641</v>
      </c>
      <c r="R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5" s="37" t="s">
        <v>854</v>
      </c>
      <c r="T5" s="40">
        <v>50000</v>
      </c>
      <c r="U5" s="41"/>
      <c r="V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5" s="37" cm="1">
        <f t="array" aca="1" ref="X5" ca="1">INDEX('SAP Customer Data'!$A:$AC,MATCH(بيانات_العملاء[[#This Row],[رمز شريك الأعمال]],'SAP Customer Data'!$B:$B,0),CELL("col",Table_Customer_Data[[#Headers],[CreditLine]]))</f>
        <v>40000</v>
      </c>
      <c r="Y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" s="37" t="s">
        <v>855</v>
      </c>
      <c r="AA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" s="37" t="s">
        <v>856</v>
      </c>
      <c r="AC5" s="37"/>
      <c r="AD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" s="37" t="s">
        <v>856</v>
      </c>
      <c r="AF5" s="37"/>
      <c r="AG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" s="37" t="s">
        <v>856</v>
      </c>
      <c r="AI5" s="37"/>
      <c r="AJ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" s="37" t="s">
        <v>856</v>
      </c>
      <c r="AL5" s="38"/>
      <c r="AM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" s="37" t="s">
        <v>856</v>
      </c>
      <c r="AO5" s="41"/>
      <c r="AP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" s="37" t="s">
        <v>856</v>
      </c>
      <c r="AR5" s="37"/>
      <c r="AS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" s="41" cm="1">
        <f t="array" aca="1" ref="AT5" ca="1">INDEX('SAP Customer Data'!A:Z,MATCH(بيانات_العملاء[[#This Row],[رمز شريك الأعمال]],'SAP Customer Data'!B:B,0),CELL("col",Table_Customer_Data[[#Headers],[CreateDate]]))</f>
        <v>43971</v>
      </c>
      <c r="AU5" s="37"/>
      <c r="AV5" s="41" t="s">
        <v>1582</v>
      </c>
      <c r="AW5" s="37" t="s">
        <v>2096</v>
      </c>
      <c r="AX5" s="37"/>
    </row>
    <row r="6" spans="1:50" x14ac:dyDescent="0.25">
      <c r="A6" s="36" t="str" cm="1">
        <f t="array" aca="1" ref="A6" ca="1">INDEX('SAP Customer Data'!$A:$AC,MATCH(بيانات_العملاء[[#This Row],[رمز شريك الأعمال]],'SAP Customer Data'!$B:$B,0),CELL("col",Table_Customer_Data[[#Headers],[GroupName]]))</f>
        <v>CS01</v>
      </c>
      <c r="B6" s="78" t="s">
        <v>192</v>
      </c>
      <c r="C6" s="37" t="str" cm="1">
        <f t="array" aca="1" ref="C6" ca="1">INDEX('SAP Customer Data'!$A:$AC,MATCH(بيانات_العملاء[[#This Row],[رمز شريك الأعمال]],'SAP Customer Data'!$B:$B,0),CELL("col",Table_Customer_Data[[#Headers],[CardName]]))</f>
        <v>مؤسسة انوار رياض الخبراء التجارية</v>
      </c>
      <c r="D6" s="37" t="str">
        <f ca="1">IF(بيانات_العملاء[[#This Row],[حد الائتمان على SAP]]&gt;0,"آجل","نقدى")</f>
        <v>آجل</v>
      </c>
      <c r="E6" s="37" t="s">
        <v>900</v>
      </c>
      <c r="F6" s="37" t="s">
        <v>1081</v>
      </c>
      <c r="G6" s="37" t="s">
        <v>854</v>
      </c>
      <c r="H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6" s="37" t="s">
        <v>854</v>
      </c>
      <c r="J6" s="38">
        <v>43974</v>
      </c>
      <c r="K6" s="37" t="s">
        <v>855</v>
      </c>
      <c r="L6" s="37" t="str">
        <f ca="1">IF(AND(بيانات_العملاء[[#This Row],[السجل التجارى]]="موجود",TODAY()+'Other Data'!$B$23&lt;J6,بيانات_العملاء[[#This Row],[مطابقة اسم العميل بالاسم بالسجل التجارى]]="مطابق"), "سارى", "يجب اعادة طلبه")</f>
        <v>يجب اعادة طلبه</v>
      </c>
      <c r="M6" s="37" t="s">
        <v>854</v>
      </c>
      <c r="N6" s="39" t="str" cm="1">
        <f t="array" aca="1" ref="N6" ca="1">INDEX('SAP Customer Data'!$A:$AC,MATCH(بيانات_العملاء[[#This Row],[رمز شريك الأعمال]],'SAP Customer Data'!$B:$B,0),CELL("col",Table_Customer_Data[[#Headers],[LicTradNum]]))</f>
        <v>301231966300003</v>
      </c>
      <c r="O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6" s="37" t="s">
        <v>856</v>
      </c>
      <c r="Q6" s="38"/>
      <c r="R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" s="37" t="s">
        <v>854</v>
      </c>
      <c r="T6" s="40">
        <v>30000</v>
      </c>
      <c r="U6" s="41">
        <v>43697</v>
      </c>
      <c r="V6" s="41">
        <f>IF(بيانات_العملاء[[#This Row],[تاريخ انشاء سند الامر او الاستثناء]]="",0,بيانات_العملاء[[#This Row],[تاريخ انشاء سند الامر او الاستثناء]]+365*3)</f>
        <v>44792</v>
      </c>
      <c r="W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6" s="37" cm="1">
        <f t="array" aca="1" ref="X6" ca="1">INDEX('SAP Customer Data'!$A:$AC,MATCH(بيانات_العملاء[[#This Row],[رمز شريك الأعمال]],'SAP Customer Data'!$B:$B,0),CELL("col",Table_Customer_Data[[#Headers],[CreditLine]]))</f>
        <v>24000</v>
      </c>
      <c r="Y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" s="37" t="s">
        <v>855</v>
      </c>
      <c r="AA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6" s="37" t="s">
        <v>856</v>
      </c>
      <c r="AC6" s="37"/>
      <c r="AD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" s="37" t="s">
        <v>856</v>
      </c>
      <c r="AF6" s="37"/>
      <c r="AG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" s="37" t="s">
        <v>856</v>
      </c>
      <c r="AI6" s="37"/>
      <c r="AJ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" s="37" t="s">
        <v>856</v>
      </c>
      <c r="AL6" s="38"/>
      <c r="AM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" s="37" t="s">
        <v>856</v>
      </c>
      <c r="AO6" s="41"/>
      <c r="AP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" s="37" t="s">
        <v>856</v>
      </c>
      <c r="AR6" s="37"/>
      <c r="AS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" s="41" cm="1">
        <f t="array" aca="1" ref="AT6" ca="1">INDEX('SAP Customer Data'!A:Z,MATCH(بيانات_العملاء[[#This Row],[رمز شريك الأعمال]],'SAP Customer Data'!B:B,0),CELL("col",Table_Customer_Data[[#Headers],[CreateDate]]))</f>
        <v>43589</v>
      </c>
      <c r="AU6" s="37"/>
      <c r="AV6" s="41"/>
      <c r="AW6" s="37" t="s">
        <v>2096</v>
      </c>
      <c r="AX6" s="37"/>
    </row>
    <row r="7" spans="1:50" x14ac:dyDescent="0.25">
      <c r="A7" s="36" t="str" cm="1">
        <f t="array" aca="1" ref="A7" ca="1">INDEX('SAP Customer Data'!$A:$AC,MATCH(بيانات_العملاء[[#This Row],[رمز شريك الأعمال]],'SAP Customer Data'!$B:$B,0),CELL("col",Table_Customer_Data[[#Headers],[GroupName]]))</f>
        <v>CS01</v>
      </c>
      <c r="B7" s="42" t="s">
        <v>201</v>
      </c>
      <c r="C7" s="37" t="str" cm="1">
        <f t="array" aca="1" ref="C7" ca="1">INDEX('SAP Customer Data'!$A:$AC,MATCH(بيانات_العملاء[[#This Row],[رمز شريك الأعمال]],'SAP Customer Data'!$B:$B,0),CELL("col",Table_Customer_Data[[#Headers],[CardName]]))</f>
        <v>مؤسسة الكريديس للكهرباء -نقدى</v>
      </c>
      <c r="D7" s="37" t="str">
        <f ca="1">IF(بيانات_العملاء[[#This Row],[حد الائتمان على SAP]]&gt;0,"آجل","نقدى")</f>
        <v>نقدى</v>
      </c>
      <c r="E7" s="37"/>
      <c r="F7" s="37" t="s">
        <v>1082</v>
      </c>
      <c r="G7" s="37" t="s">
        <v>856</v>
      </c>
      <c r="H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7" s="37" t="s">
        <v>856</v>
      </c>
      <c r="J7" s="38"/>
      <c r="K7" s="37"/>
      <c r="L7" s="37" t="str">
        <f ca="1">IF(AND(بيانات_العملاء[[#This Row],[السجل التجارى]]="موجود",TODAY()+'Other Data'!$B$23&lt;J7,بيانات_العملاء[[#This Row],[مطابقة اسم العميل بالاسم بالسجل التجارى]]="مطابق"), "سارى", "يجب اعادة طلبه")</f>
        <v>يجب اعادة طلبه</v>
      </c>
      <c r="M7" s="37" t="s">
        <v>856</v>
      </c>
      <c r="N7" s="39" cm="1">
        <f t="array" aca="1" ref="N7" ca="1">INDEX('SAP Customer Data'!$A:$AC,MATCH(بيانات_العملاء[[#This Row],[رمز شريك الأعمال]],'SAP Customer Data'!$B:$B,0),CELL("col",Table_Customer_Data[[#Headers],[LicTradNum]]))</f>
        <v>0</v>
      </c>
      <c r="O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7" s="37" t="s">
        <v>856</v>
      </c>
      <c r="Q7" s="38"/>
      <c r="R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" s="37" t="s">
        <v>1080</v>
      </c>
      <c r="T7" s="40"/>
      <c r="U7" s="41"/>
      <c r="V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7" s="37" cm="1">
        <f t="array" aca="1" ref="X7" ca="1">INDEX('SAP Customer Data'!$A:$AC,MATCH(بيانات_العملاء[[#This Row],[رمز شريك الأعمال]],'SAP Customer Data'!$B:$B,0),CELL("col",Table_Customer_Data[[#Headers],[CreditLine]]))</f>
        <v>0</v>
      </c>
      <c r="Y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7" s="37"/>
      <c r="AA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7" s="37" t="s">
        <v>856</v>
      </c>
      <c r="AC7" s="37"/>
      <c r="AD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" s="37" t="s">
        <v>856</v>
      </c>
      <c r="AF7" s="37"/>
      <c r="AG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" s="37" t="s">
        <v>856</v>
      </c>
      <c r="AI7" s="37"/>
      <c r="AJ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" s="37"/>
      <c r="AL7" s="38"/>
      <c r="AM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" s="37" t="s">
        <v>856</v>
      </c>
      <c r="AO7" s="41"/>
      <c r="AP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" s="37" t="s">
        <v>856</v>
      </c>
      <c r="AR7" s="37"/>
      <c r="AS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" s="41" cm="1">
        <f t="array" aca="1" ref="AT7" ca="1">INDEX('SAP Customer Data'!A:Z,MATCH(بيانات_العملاء[[#This Row],[رمز شريك الأعمال]],'SAP Customer Data'!B:B,0),CELL("col",Table_Customer_Data[[#Headers],[CreateDate]]))</f>
        <v>43635</v>
      </c>
      <c r="AU7" s="37"/>
      <c r="AV7" s="41"/>
      <c r="AW7" s="37" t="s">
        <v>2097</v>
      </c>
      <c r="AX7" s="37"/>
    </row>
    <row r="8" spans="1:50" x14ac:dyDescent="0.25">
      <c r="A8" s="36" t="str" cm="1">
        <f t="array" aca="1" ref="A8" ca="1">INDEX('SAP Customer Data'!$A:$AC,MATCH(بيانات_العملاء[[#This Row],[رمز شريك الأعمال]],'SAP Customer Data'!$B:$B,0),CELL("col",Table_Customer_Data[[#Headers],[GroupName]]))</f>
        <v>CS01</v>
      </c>
      <c r="B8" s="42" t="s">
        <v>204</v>
      </c>
      <c r="C8" s="37" t="str" cm="1">
        <f t="array" aca="1" ref="C8" ca="1">INDEX('SAP Customer Data'!$A:$AC,MATCH(بيانات_العملاء[[#This Row],[رمز شريك الأعمال]],'SAP Customer Data'!$B:$B,0),CELL("col",Table_Customer_Data[[#Headers],[CardName]]))</f>
        <v>مؤسسة عبدالرحمن الحربي رياض الخبراء-نقدى</v>
      </c>
      <c r="D8" s="37" t="str">
        <f ca="1">IF(بيانات_العملاء[[#This Row],[حد الائتمان على SAP]]&gt;0,"آجل","نقدى")</f>
        <v>نقدى</v>
      </c>
      <c r="E8" s="37"/>
      <c r="F8" s="37" t="s">
        <v>1082</v>
      </c>
      <c r="G8" s="37" t="s">
        <v>856</v>
      </c>
      <c r="H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8" s="37" t="s">
        <v>856</v>
      </c>
      <c r="J8" s="38"/>
      <c r="K8" s="37"/>
      <c r="L8" s="37" t="str">
        <f ca="1">IF(AND(بيانات_العملاء[[#This Row],[السجل التجارى]]="موجود",TODAY()+'Other Data'!$B$23&lt;J8,بيانات_العملاء[[#This Row],[مطابقة اسم العميل بالاسم بالسجل التجارى]]="مطابق"), "سارى", "يجب اعادة طلبه")</f>
        <v>يجب اعادة طلبه</v>
      </c>
      <c r="M8" s="37" t="s">
        <v>856</v>
      </c>
      <c r="N8" s="39" cm="1">
        <f t="array" aca="1" ref="N8" ca="1">INDEX('SAP Customer Data'!$A:$AC,MATCH(بيانات_العملاء[[#This Row],[رمز شريك الأعمال]],'SAP Customer Data'!$B:$B,0),CELL("col",Table_Customer_Data[[#Headers],[LicTradNum]]))</f>
        <v>0</v>
      </c>
      <c r="O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8" s="37" t="s">
        <v>856</v>
      </c>
      <c r="Q8" s="38"/>
      <c r="R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8" s="37" t="s">
        <v>1080</v>
      </c>
      <c r="T8" s="40"/>
      <c r="U8" s="41"/>
      <c r="V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8" s="37" cm="1">
        <f t="array" aca="1" ref="X8" ca="1">INDEX('SAP Customer Data'!$A:$AC,MATCH(بيانات_العملاء[[#This Row],[رمز شريك الأعمال]],'SAP Customer Data'!$B:$B,0),CELL("col",Table_Customer_Data[[#Headers],[CreditLine]]))</f>
        <v>0</v>
      </c>
      <c r="Y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" s="37"/>
      <c r="AA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8" s="37" t="s">
        <v>856</v>
      </c>
      <c r="AC8" s="37"/>
      <c r="AD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" s="37" t="s">
        <v>856</v>
      </c>
      <c r="AF8" s="37"/>
      <c r="AG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" s="37" t="s">
        <v>856</v>
      </c>
      <c r="AI8" s="37"/>
      <c r="AJ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" s="37"/>
      <c r="AL8" s="38"/>
      <c r="AM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" s="37" t="s">
        <v>856</v>
      </c>
      <c r="AO8" s="41"/>
      <c r="AP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" s="37" t="s">
        <v>856</v>
      </c>
      <c r="AR8" s="37"/>
      <c r="AS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" s="41" cm="1">
        <f t="array" aca="1" ref="AT8" ca="1">INDEX('SAP Customer Data'!A:Z,MATCH(بيانات_العملاء[[#This Row],[رمز شريك الأعمال]],'SAP Customer Data'!B:B,0),CELL("col",Table_Customer_Data[[#Headers],[CreateDate]]))</f>
        <v>43581</v>
      </c>
      <c r="AU8" s="37"/>
      <c r="AV8" s="41"/>
      <c r="AW8" s="37" t="s">
        <v>2097</v>
      </c>
      <c r="AX8" s="37"/>
    </row>
    <row r="9" spans="1:50" x14ac:dyDescent="0.25">
      <c r="A9" s="36" t="str" cm="1">
        <f t="array" aca="1" ref="A9" ca="1">INDEX('SAP Customer Data'!$A:$AC,MATCH(بيانات_العملاء[[#This Row],[رمز شريك الأعمال]],'SAP Customer Data'!$B:$B,0),CELL("col",Table_Customer_Data[[#Headers],[GroupName]]))</f>
        <v>CS01</v>
      </c>
      <c r="B9" s="78" t="s">
        <v>185</v>
      </c>
      <c r="C9" s="37" t="str" cm="1">
        <f t="array" aca="1" ref="C9" ca="1">INDEX('SAP Customer Data'!$A:$AC,MATCH(بيانات_العملاء[[#This Row],[رمز شريك الأعمال]],'SAP Customer Data'!$B:$B,0),CELL("col",Table_Customer_Data[[#Headers],[CardName]]))</f>
        <v>شركة ناف التنفيذ المحدودة</v>
      </c>
      <c r="D9" s="37" t="str">
        <f ca="1">IF(بيانات_العملاء[[#This Row],[حد الائتمان على SAP]]&gt;0,"آجل","نقدى")</f>
        <v>آجل</v>
      </c>
      <c r="E9" s="37"/>
      <c r="F9" s="37" t="s">
        <v>997</v>
      </c>
      <c r="G9" s="37" t="s">
        <v>854</v>
      </c>
      <c r="H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9" s="37" t="s">
        <v>854</v>
      </c>
      <c r="J9" s="38">
        <v>44560</v>
      </c>
      <c r="K9" s="37" t="s">
        <v>855</v>
      </c>
      <c r="L9" s="37" t="str">
        <f ca="1">IF(AND(بيانات_العملاء[[#This Row],[السجل التجارى]]="موجود",TODAY()+'Other Data'!$B$23&lt;J9,بيانات_العملاء[[#This Row],[مطابقة اسم العميل بالاسم بالسجل التجارى]]="مطابق"), "سارى", "يجب اعادة طلبه")</f>
        <v>يجب اعادة طلبه</v>
      </c>
      <c r="M9" s="37" t="s">
        <v>856</v>
      </c>
      <c r="N9" s="39" t="str" cm="1">
        <f t="array" aca="1" ref="N9" ca="1">INDEX('SAP Customer Data'!$A:$AC,MATCH(بيانات_العملاء[[#This Row],[رمز شريك الأعمال]],'SAP Customer Data'!$B:$B,0),CELL("col",Table_Customer_Data[[#Headers],[LicTradNum]]))</f>
        <v>310201528400003</v>
      </c>
      <c r="O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9" s="37" t="s">
        <v>856</v>
      </c>
      <c r="Q9" s="38"/>
      <c r="R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" s="37" t="s">
        <v>854</v>
      </c>
      <c r="T9" s="40">
        <v>200000</v>
      </c>
      <c r="U9" s="41"/>
      <c r="V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160000</v>
      </c>
      <c r="X9" s="37" cm="1">
        <f t="array" aca="1" ref="X9" ca="1">INDEX('SAP Customer Data'!$A:$AC,MATCH(بيانات_العملاء[[#This Row],[رمز شريك الأعمال]],'SAP Customer Data'!$B:$B,0),CELL("col",Table_Customer_Data[[#Headers],[CreditLine]]))</f>
        <v>160000</v>
      </c>
      <c r="Y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" s="37" t="s">
        <v>855</v>
      </c>
      <c r="AA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9" s="37" t="s">
        <v>856</v>
      </c>
      <c r="AC9" s="41"/>
      <c r="AD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" s="37" t="s">
        <v>856</v>
      </c>
      <c r="AF9" s="37"/>
      <c r="AG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" s="37" t="s">
        <v>856</v>
      </c>
      <c r="AI9" s="41"/>
      <c r="AJ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" s="37"/>
      <c r="AL9" s="38"/>
      <c r="AM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" s="37" t="s">
        <v>856</v>
      </c>
      <c r="AO9" s="41"/>
      <c r="AP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" s="37" t="s">
        <v>856</v>
      </c>
      <c r="AR9" s="37"/>
      <c r="AS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" s="41" cm="1">
        <f t="array" aca="1" ref="AT9" ca="1">INDEX('SAP Customer Data'!A:Z,MATCH(بيانات_العملاء[[#This Row],[رمز شريك الأعمال]],'SAP Customer Data'!B:B,0),CELL("col",Table_Customer_Data[[#Headers],[CreateDate]]))</f>
        <v>44425</v>
      </c>
      <c r="AU9" s="37"/>
      <c r="AV9" s="41" t="s">
        <v>2266</v>
      </c>
      <c r="AW9" s="37" t="s">
        <v>2096</v>
      </c>
      <c r="AX9" s="37"/>
    </row>
    <row r="10" spans="1:50" x14ac:dyDescent="0.25">
      <c r="A10" s="36" t="str" cm="1">
        <f t="array" aca="1" ref="A10" ca="1">INDEX('SAP Customer Data'!$A:$AC,MATCH(بيانات_العملاء[[#This Row],[رمز شريك الأعمال]],'SAP Customer Data'!$B:$B,0),CELL("col",Table_Customer_Data[[#Headers],[GroupName]]))</f>
        <v>CS01</v>
      </c>
      <c r="B10" s="42" t="s">
        <v>206</v>
      </c>
      <c r="C10" s="37" t="str" cm="1">
        <f t="array" aca="1" ref="C10" ca="1">INDEX('SAP Customer Data'!$A:$AC,MATCH(بيانات_العملاء[[#This Row],[رمز شريك الأعمال]],'SAP Customer Data'!$B:$B,0),CELL("col",Table_Customer_Data[[#Headers],[CardName]]))</f>
        <v>مؤسسة مصباح الجودة -نقدى</v>
      </c>
      <c r="D10" s="37" t="str">
        <f ca="1">IF(بيانات_العملاء[[#This Row],[حد الائتمان على SAP]]&gt;0,"آجل","نقدى")</f>
        <v>نقدى</v>
      </c>
      <c r="E10" s="37"/>
      <c r="F10" s="37" t="s">
        <v>1082</v>
      </c>
      <c r="G10" s="37" t="s">
        <v>856</v>
      </c>
      <c r="H1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" s="37" t="s">
        <v>856</v>
      </c>
      <c r="J10" s="38"/>
      <c r="K10" s="37"/>
      <c r="L10" s="37" t="str">
        <f ca="1">IF(AND(بيانات_العملاء[[#This Row],[السجل التجارى]]="موجود",TODAY()+'Other Data'!$B$23&lt;J10,بيانات_العملاء[[#This Row],[مطابقة اسم العميل بالاسم بالسجل التجارى]]="مطابق"), "سارى", "يجب اعادة طلبه")</f>
        <v>يجب اعادة طلبه</v>
      </c>
      <c r="M10" s="37" t="s">
        <v>856</v>
      </c>
      <c r="N10" s="39" cm="1">
        <f t="array" aca="1" ref="N10" ca="1">INDEX('SAP Customer Data'!$A:$AC,MATCH(بيانات_العملاء[[#This Row],[رمز شريك الأعمال]],'SAP Customer Data'!$B:$B,0),CELL("col",Table_Customer_Data[[#Headers],[LicTradNum]]))</f>
        <v>0</v>
      </c>
      <c r="O1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0" s="37" t="s">
        <v>856</v>
      </c>
      <c r="Q10" s="38"/>
      <c r="R1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" s="37" t="s">
        <v>1080</v>
      </c>
      <c r="T10" s="40"/>
      <c r="U10" s="41"/>
      <c r="V1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" s="37" cm="1">
        <f t="array" aca="1" ref="X10" ca="1">INDEX('SAP Customer Data'!$A:$AC,MATCH(بيانات_العملاء[[#This Row],[رمز شريك الأعمال]],'SAP Customer Data'!$B:$B,0),CELL("col",Table_Customer_Data[[#Headers],[CreditLine]]))</f>
        <v>0</v>
      </c>
      <c r="Y1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" s="37"/>
      <c r="AA1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" s="37" t="s">
        <v>856</v>
      </c>
      <c r="AC10" s="37"/>
      <c r="AD1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" s="37" t="s">
        <v>856</v>
      </c>
      <c r="AF10" s="37"/>
      <c r="AG1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" s="37" t="s">
        <v>856</v>
      </c>
      <c r="AI10" s="37"/>
      <c r="AJ1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" s="37"/>
      <c r="AL10" s="38"/>
      <c r="AM1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" s="37" t="s">
        <v>856</v>
      </c>
      <c r="AO10" s="41"/>
      <c r="AP1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" s="37" t="s">
        <v>856</v>
      </c>
      <c r="AR10" s="37"/>
      <c r="AS1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" s="41" cm="1">
        <f t="array" aca="1" ref="AT10" ca="1">INDEX('SAP Customer Data'!A:Z,MATCH(بيانات_العملاء[[#This Row],[رمز شريك الأعمال]],'SAP Customer Data'!B:B,0),CELL("col",Table_Customer_Data[[#Headers],[CreateDate]]))</f>
        <v>43581</v>
      </c>
      <c r="AU10" s="37"/>
      <c r="AV10" s="41"/>
      <c r="AW10" s="37" t="s">
        <v>2097</v>
      </c>
      <c r="AX10" s="37"/>
    </row>
    <row r="11" spans="1:50" x14ac:dyDescent="0.25">
      <c r="A11" s="36" t="str" cm="1">
        <f t="array" aca="1" ref="A11" ca="1">INDEX('SAP Customer Data'!$A:$AC,MATCH(بيانات_العملاء[[#This Row],[رمز شريك الأعمال]],'SAP Customer Data'!$B:$B,0),CELL("col",Table_Customer_Data[[#Headers],[GroupName]]))</f>
        <v>CS01</v>
      </c>
      <c r="B11" s="42" t="s">
        <v>207</v>
      </c>
      <c r="C11" s="37" t="str" cm="1">
        <f t="array" aca="1" ref="C11" ca="1">INDEX('SAP Customer Data'!$A:$AC,MATCH(بيانات_العملاء[[#This Row],[رمز شريك الأعمال]],'SAP Customer Data'!$B:$B,0),CELL("col",Table_Customer_Data[[#Headers],[CardName]]))</f>
        <v>مؤسسة ذهول الانارة للادوات الكهربائية-نقدى</v>
      </c>
      <c r="D11" s="37" t="str">
        <f ca="1">IF(بيانات_العملاء[[#This Row],[حد الائتمان على SAP]]&gt;0,"آجل","نقدى")</f>
        <v>نقدى</v>
      </c>
      <c r="E11" s="37"/>
      <c r="F11" s="37" t="s">
        <v>1082</v>
      </c>
      <c r="G11" s="37" t="s">
        <v>856</v>
      </c>
      <c r="H1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" s="37" t="s">
        <v>856</v>
      </c>
      <c r="J11" s="38"/>
      <c r="K11" s="37"/>
      <c r="L11" s="37" t="str">
        <f ca="1">IF(AND(بيانات_العملاء[[#This Row],[السجل التجارى]]="موجود",TODAY()+'Other Data'!$B$23&lt;J11,بيانات_العملاء[[#This Row],[مطابقة اسم العميل بالاسم بالسجل التجارى]]="مطابق"), "سارى", "يجب اعادة طلبه")</f>
        <v>يجب اعادة طلبه</v>
      </c>
      <c r="M11" s="37" t="s">
        <v>856</v>
      </c>
      <c r="N11" s="39" cm="1">
        <f t="array" aca="1" ref="N11" ca="1">INDEX('SAP Customer Data'!$A:$AC,MATCH(بيانات_العملاء[[#This Row],[رمز شريك الأعمال]],'SAP Customer Data'!$B:$B,0),CELL("col",Table_Customer_Data[[#Headers],[LicTradNum]]))</f>
        <v>0</v>
      </c>
      <c r="O1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1" s="37" t="s">
        <v>856</v>
      </c>
      <c r="Q11" s="38"/>
      <c r="R1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" s="37" t="s">
        <v>1080</v>
      </c>
      <c r="T11" s="40"/>
      <c r="U11" s="41"/>
      <c r="V1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" s="37" cm="1">
        <f t="array" aca="1" ref="X11" ca="1">INDEX('SAP Customer Data'!$A:$AC,MATCH(بيانات_العملاء[[#This Row],[رمز شريك الأعمال]],'SAP Customer Data'!$B:$B,0),CELL("col",Table_Customer_Data[[#Headers],[CreditLine]]))</f>
        <v>0</v>
      </c>
      <c r="Y1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" s="37"/>
      <c r="AA1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" s="37" t="s">
        <v>856</v>
      </c>
      <c r="AC11" s="37"/>
      <c r="AD1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" s="37" t="s">
        <v>856</v>
      </c>
      <c r="AF11" s="37"/>
      <c r="AG1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" s="37" t="s">
        <v>856</v>
      </c>
      <c r="AI11" s="37"/>
      <c r="AJ1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" s="37"/>
      <c r="AL11" s="38"/>
      <c r="AM1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" s="37" t="s">
        <v>856</v>
      </c>
      <c r="AO11" s="41"/>
      <c r="AP1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" s="37" t="s">
        <v>856</v>
      </c>
      <c r="AR11" s="37"/>
      <c r="AS1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" s="41" cm="1">
        <f t="array" aca="1" ref="AT11" ca="1">INDEX('SAP Customer Data'!A:Z,MATCH(بيانات_العملاء[[#This Row],[رمز شريك الأعمال]],'SAP Customer Data'!B:B,0),CELL("col",Table_Customer_Data[[#Headers],[CreateDate]]))</f>
        <v>43581</v>
      </c>
      <c r="AU11" s="37"/>
      <c r="AV11" s="41"/>
      <c r="AW11" s="37" t="s">
        <v>2097</v>
      </c>
      <c r="AX11" s="37"/>
    </row>
    <row r="12" spans="1:50" x14ac:dyDescent="0.25">
      <c r="A12" s="36" t="str" cm="1">
        <f t="array" aca="1" ref="A12" ca="1">INDEX('SAP Customer Data'!$A:$AC,MATCH(بيانات_العملاء[[#This Row],[رمز شريك الأعمال]],'SAP Customer Data'!$B:$B,0),CELL("col",Table_Customer_Data[[#Headers],[GroupName]]))</f>
        <v>CS01</v>
      </c>
      <c r="B12" s="42" t="s">
        <v>214</v>
      </c>
      <c r="C12" s="37" t="str" cm="1">
        <f t="array" aca="1" ref="C12" ca="1">INDEX('SAP Customer Data'!$A:$AC,MATCH(بيانات_العملاء[[#This Row],[رمز شريك الأعمال]],'SAP Customer Data'!$B:$B,0),CELL("col",Table_Customer_Data[[#Headers],[CardName]]))</f>
        <v>محل ابوحازم - الاسياح-نقدى</v>
      </c>
      <c r="D12" s="37" t="str">
        <f ca="1">IF(بيانات_العملاء[[#This Row],[حد الائتمان على SAP]]&gt;0,"آجل","نقدى")</f>
        <v>نقدى</v>
      </c>
      <c r="E12" s="37"/>
      <c r="F12" s="37" t="s">
        <v>1082</v>
      </c>
      <c r="G12" s="37" t="s">
        <v>856</v>
      </c>
      <c r="H1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2" s="37" t="s">
        <v>856</v>
      </c>
      <c r="J12" s="38"/>
      <c r="K12" s="37"/>
      <c r="L12" s="37" t="str">
        <f ca="1">IF(AND(بيانات_العملاء[[#This Row],[السجل التجارى]]="موجود",TODAY()+'Other Data'!$B$23&lt;J12,بيانات_العملاء[[#This Row],[مطابقة اسم العميل بالاسم بالسجل التجارى]]="مطابق"), "سارى", "يجب اعادة طلبه")</f>
        <v>يجب اعادة طلبه</v>
      </c>
      <c r="M12" s="37" t="s">
        <v>856</v>
      </c>
      <c r="N12" s="39" cm="1">
        <f t="array" aca="1" ref="N12" ca="1">INDEX('SAP Customer Data'!$A:$AC,MATCH(بيانات_العملاء[[#This Row],[رمز شريك الأعمال]],'SAP Customer Data'!$B:$B,0),CELL("col",Table_Customer_Data[[#Headers],[LicTradNum]]))</f>
        <v>0</v>
      </c>
      <c r="O1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2" s="37" t="s">
        <v>856</v>
      </c>
      <c r="Q12" s="38"/>
      <c r="R1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2" s="37" t="s">
        <v>1080</v>
      </c>
      <c r="T12" s="40"/>
      <c r="U12" s="41"/>
      <c r="V1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2" s="37" cm="1">
        <f t="array" aca="1" ref="X12" ca="1">INDEX('SAP Customer Data'!$A:$AC,MATCH(بيانات_العملاء[[#This Row],[رمز شريك الأعمال]],'SAP Customer Data'!$B:$B,0),CELL("col",Table_Customer_Data[[#Headers],[CreditLine]]))</f>
        <v>0</v>
      </c>
      <c r="Y1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" s="37"/>
      <c r="AA1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2" s="37" t="s">
        <v>856</v>
      </c>
      <c r="AC12" s="37"/>
      <c r="AD1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" s="37" t="s">
        <v>856</v>
      </c>
      <c r="AF12" s="37"/>
      <c r="AG1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" s="37" t="s">
        <v>856</v>
      </c>
      <c r="AI12" s="37"/>
      <c r="AJ1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" s="37"/>
      <c r="AL12" s="38"/>
      <c r="AM1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" s="37" t="s">
        <v>856</v>
      </c>
      <c r="AO12" s="41"/>
      <c r="AP1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" s="37" t="s">
        <v>856</v>
      </c>
      <c r="AR12" s="37"/>
      <c r="AS1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" s="41" cm="1">
        <f t="array" aca="1" ref="AT12" ca="1">INDEX('SAP Customer Data'!A:Z,MATCH(بيانات_العملاء[[#This Row],[رمز شريك الأعمال]],'SAP Customer Data'!B:B,0),CELL("col",Table_Customer_Data[[#Headers],[CreateDate]]))</f>
        <v>43581</v>
      </c>
      <c r="AU12" s="37"/>
      <c r="AV12" s="41"/>
      <c r="AW12" s="37" t="s">
        <v>2097</v>
      </c>
      <c r="AX12" s="37"/>
    </row>
    <row r="13" spans="1:50" x14ac:dyDescent="0.25">
      <c r="A13" s="36" t="str" cm="1">
        <f t="array" aca="1" ref="A13" ca="1">INDEX('SAP Customer Data'!$A:$AC,MATCH(بيانات_العملاء[[#This Row],[رمز شريك الأعمال]],'SAP Customer Data'!$B:$B,0),CELL("col",Table_Customer_Data[[#Headers],[GroupName]]))</f>
        <v>CS01</v>
      </c>
      <c r="B13" s="42" t="s">
        <v>231</v>
      </c>
      <c r="C13" s="37" t="str" cm="1">
        <f t="array" aca="1" ref="C13" ca="1">INDEX('SAP Customer Data'!$A:$AC,MATCH(بيانات_العملاء[[#This Row],[رمز شريك الأعمال]],'SAP Customer Data'!$B:$B,0),CELL("col",Table_Customer_Data[[#Headers],[CardName]]))</f>
        <v>مؤسسة طيبة للكهرباء - نقدى</v>
      </c>
      <c r="D13" s="37" t="str">
        <f ca="1">IF(بيانات_العملاء[[#This Row],[حد الائتمان على SAP]]&gt;0,"آجل","نقدى")</f>
        <v>نقدى</v>
      </c>
      <c r="E13" s="37"/>
      <c r="F13" s="37" t="s">
        <v>1082</v>
      </c>
      <c r="G13" s="37" t="s">
        <v>856</v>
      </c>
      <c r="H1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3" s="37" t="s">
        <v>856</v>
      </c>
      <c r="J13" s="38"/>
      <c r="K13" s="37"/>
      <c r="L13" s="37" t="str">
        <f ca="1">IF(AND(بيانات_العملاء[[#This Row],[السجل التجارى]]="موجود",TODAY()+'Other Data'!$B$23&lt;J13,بيانات_العملاء[[#This Row],[مطابقة اسم العميل بالاسم بالسجل التجارى]]="مطابق"), "سارى", "يجب اعادة طلبه")</f>
        <v>يجب اعادة طلبه</v>
      </c>
      <c r="M13" s="37" t="s">
        <v>856</v>
      </c>
      <c r="N13" s="39" cm="1">
        <f t="array" aca="1" ref="N13" ca="1">INDEX('SAP Customer Data'!$A:$AC,MATCH(بيانات_العملاء[[#This Row],[رمز شريك الأعمال]],'SAP Customer Data'!$B:$B,0),CELL("col",Table_Customer_Data[[#Headers],[LicTradNum]]))</f>
        <v>0</v>
      </c>
      <c r="O1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3" s="37" t="s">
        <v>856</v>
      </c>
      <c r="Q13" s="38"/>
      <c r="R1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" s="37" t="s">
        <v>1080</v>
      </c>
      <c r="T13" s="40"/>
      <c r="U13" s="41"/>
      <c r="V1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3" s="37" cm="1">
        <f t="array" aca="1" ref="X13" ca="1">INDEX('SAP Customer Data'!$A:$AC,MATCH(بيانات_العملاء[[#This Row],[رمز شريك الأعمال]],'SAP Customer Data'!$B:$B,0),CELL("col",Table_Customer_Data[[#Headers],[CreditLine]]))</f>
        <v>0</v>
      </c>
      <c r="Y1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" s="37"/>
      <c r="AA1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3" s="37" t="s">
        <v>856</v>
      </c>
      <c r="AC13" s="37"/>
      <c r="AD1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" s="37" t="s">
        <v>856</v>
      </c>
      <c r="AF13" s="37"/>
      <c r="AG1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" s="37" t="s">
        <v>856</v>
      </c>
      <c r="AI13" s="37"/>
      <c r="AJ1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" s="37"/>
      <c r="AL13" s="38"/>
      <c r="AM1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" s="37" t="s">
        <v>856</v>
      </c>
      <c r="AO13" s="41"/>
      <c r="AP1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" s="37" t="s">
        <v>856</v>
      </c>
      <c r="AR13" s="37"/>
      <c r="AS1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" s="41" cm="1">
        <f t="array" aca="1" ref="AT13" ca="1">INDEX('SAP Customer Data'!A:Z,MATCH(بيانات_العملاء[[#This Row],[رمز شريك الأعمال]],'SAP Customer Data'!B:B,0),CELL("col",Table_Customer_Data[[#Headers],[CreateDate]]))</f>
        <v>43581</v>
      </c>
      <c r="AU13" s="37"/>
      <c r="AV13" s="41"/>
      <c r="AW13" s="37" t="s">
        <v>2097</v>
      </c>
      <c r="AX13" s="37"/>
    </row>
    <row r="14" spans="1:50" x14ac:dyDescent="0.25">
      <c r="A14" s="36" t="str" cm="1">
        <f t="array" aca="1" ref="A14" ca="1">INDEX('SAP Customer Data'!$A:$AC,MATCH(بيانات_العملاء[[#This Row],[رمز شريك الأعمال]],'SAP Customer Data'!$B:$B,0),CELL("col",Table_Customer_Data[[#Headers],[GroupName]]))</f>
        <v>CS01</v>
      </c>
      <c r="B14" s="42" t="s">
        <v>235</v>
      </c>
      <c r="C14" s="37" t="str" cm="1">
        <f t="array" aca="1" ref="C14" ca="1">INDEX('SAP Customer Data'!$A:$AC,MATCH(بيانات_العملاء[[#This Row],[رمز شريك الأعمال]],'SAP Customer Data'!$B:$B,0),CELL("col",Table_Customer_Data[[#Headers],[CardName]]))</f>
        <v>مؤسسة المبارك حائل -نقدى</v>
      </c>
      <c r="D14" s="37" t="str">
        <f ca="1">IF(بيانات_العملاء[[#This Row],[حد الائتمان على SAP]]&gt;0,"آجل","نقدى")</f>
        <v>نقدى</v>
      </c>
      <c r="E14" s="37"/>
      <c r="F14" s="37" t="s">
        <v>1082</v>
      </c>
      <c r="G14" s="37" t="s">
        <v>856</v>
      </c>
      <c r="H1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4" s="37" t="s">
        <v>856</v>
      </c>
      <c r="J14" s="38"/>
      <c r="K14" s="37"/>
      <c r="L14" s="37" t="str">
        <f ca="1">IF(AND(بيانات_العملاء[[#This Row],[السجل التجارى]]="موجود",TODAY()+'Other Data'!$B$23&lt;J14,بيانات_العملاء[[#This Row],[مطابقة اسم العميل بالاسم بالسجل التجارى]]="مطابق"), "سارى", "يجب اعادة طلبه")</f>
        <v>يجب اعادة طلبه</v>
      </c>
      <c r="M14" s="37" t="s">
        <v>856</v>
      </c>
      <c r="N14" s="39" cm="1">
        <f t="array" aca="1" ref="N14" ca="1">INDEX('SAP Customer Data'!$A:$AC,MATCH(بيانات_العملاء[[#This Row],[رمز شريك الأعمال]],'SAP Customer Data'!$B:$B,0),CELL("col",Table_Customer_Data[[#Headers],[LicTradNum]]))</f>
        <v>0</v>
      </c>
      <c r="O1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4" s="37" t="s">
        <v>856</v>
      </c>
      <c r="Q14" s="38"/>
      <c r="R1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" s="37" t="s">
        <v>1080</v>
      </c>
      <c r="T14" s="40"/>
      <c r="U14" s="41"/>
      <c r="V1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4" s="37" cm="1">
        <f t="array" aca="1" ref="X14" ca="1">INDEX('SAP Customer Data'!$A:$AC,MATCH(بيانات_العملاء[[#This Row],[رمز شريك الأعمال]],'SAP Customer Data'!$B:$B,0),CELL("col",Table_Customer_Data[[#Headers],[CreditLine]]))</f>
        <v>0</v>
      </c>
      <c r="Y1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4" s="37"/>
      <c r="AA1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4" s="37" t="s">
        <v>856</v>
      </c>
      <c r="AC14" s="37"/>
      <c r="AD1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" s="37" t="s">
        <v>856</v>
      </c>
      <c r="AF14" s="37"/>
      <c r="AG1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" s="37" t="s">
        <v>856</v>
      </c>
      <c r="AI14" s="37"/>
      <c r="AJ1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" s="37"/>
      <c r="AL14" s="38"/>
      <c r="AM1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" s="37" t="s">
        <v>856</v>
      </c>
      <c r="AO14" s="41"/>
      <c r="AP1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" s="37" t="s">
        <v>856</v>
      </c>
      <c r="AR14" s="37"/>
      <c r="AS1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" s="41" cm="1">
        <f t="array" aca="1" ref="AT14" ca="1">INDEX('SAP Customer Data'!A:Z,MATCH(بيانات_العملاء[[#This Row],[رمز شريك الأعمال]],'SAP Customer Data'!B:B,0),CELL("col",Table_Customer_Data[[#Headers],[CreateDate]]))</f>
        <v>43581</v>
      </c>
      <c r="AU14" s="37"/>
      <c r="AV14" s="41"/>
      <c r="AW14" s="37" t="s">
        <v>2097</v>
      </c>
      <c r="AX14" s="37"/>
    </row>
    <row r="15" spans="1:50" x14ac:dyDescent="0.25">
      <c r="A15" s="36" t="str" cm="1">
        <f t="array" aca="1" ref="A15" ca="1">INDEX('SAP Customer Data'!$A:$AC,MATCH(بيانات_العملاء[[#This Row],[رمز شريك الأعمال]],'SAP Customer Data'!$B:$B,0),CELL("col",Table_Customer_Data[[#Headers],[GroupName]]))</f>
        <v>CS01</v>
      </c>
      <c r="B15" s="42" t="s">
        <v>266</v>
      </c>
      <c r="C15" s="37" t="str" cm="1">
        <f t="array" aca="1" ref="C15" ca="1">INDEX('SAP Customer Data'!$A:$AC,MATCH(بيانات_العملاء[[#This Row],[رمز شريك الأعمال]],'SAP Customer Data'!$B:$B,0),CELL("col",Table_Customer_Data[[#Headers],[CardName]]))</f>
        <v>مؤسسة تاج الفارس-نقدى</v>
      </c>
      <c r="D15" s="37" t="str">
        <f ca="1">IF(بيانات_العملاء[[#This Row],[حد الائتمان على SAP]]&gt;0,"آجل","نقدى")</f>
        <v>نقدى</v>
      </c>
      <c r="E15" s="37"/>
      <c r="F15" s="37" t="s">
        <v>1082</v>
      </c>
      <c r="G15" s="37" t="s">
        <v>856</v>
      </c>
      <c r="H1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5" s="37" t="s">
        <v>856</v>
      </c>
      <c r="J15" s="38"/>
      <c r="K15" s="37"/>
      <c r="L15" s="37" t="str">
        <f ca="1">IF(AND(بيانات_العملاء[[#This Row],[السجل التجارى]]="موجود",TODAY()+'Other Data'!$B$23&lt;J15,بيانات_العملاء[[#This Row],[مطابقة اسم العميل بالاسم بالسجل التجارى]]="مطابق"), "سارى", "يجب اعادة طلبه")</f>
        <v>يجب اعادة طلبه</v>
      </c>
      <c r="M15" s="37" t="s">
        <v>856</v>
      </c>
      <c r="N15" s="39" cm="1">
        <f t="array" aca="1" ref="N15" ca="1">INDEX('SAP Customer Data'!$A:$AC,MATCH(بيانات_العملاء[[#This Row],[رمز شريك الأعمال]],'SAP Customer Data'!$B:$B,0),CELL("col",Table_Customer_Data[[#Headers],[LicTradNum]]))</f>
        <v>0</v>
      </c>
      <c r="O1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5" s="37" t="s">
        <v>856</v>
      </c>
      <c r="Q15" s="38"/>
      <c r="R1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" s="37" t="s">
        <v>1080</v>
      </c>
      <c r="T15" s="40"/>
      <c r="U15" s="41"/>
      <c r="V1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5" s="37" cm="1">
        <f t="array" aca="1" ref="X15" ca="1">INDEX('SAP Customer Data'!$A:$AC,MATCH(بيانات_العملاء[[#This Row],[رمز شريك الأعمال]],'SAP Customer Data'!$B:$B,0),CELL("col",Table_Customer_Data[[#Headers],[CreditLine]]))</f>
        <v>0</v>
      </c>
      <c r="Y1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" s="37"/>
      <c r="AA1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5" s="37" t="s">
        <v>856</v>
      </c>
      <c r="AC15" s="37"/>
      <c r="AD1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" s="37" t="s">
        <v>856</v>
      </c>
      <c r="AF15" s="37"/>
      <c r="AG1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" s="37" t="s">
        <v>856</v>
      </c>
      <c r="AI15" s="37"/>
      <c r="AJ1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" s="37"/>
      <c r="AL15" s="38"/>
      <c r="AM1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" s="37" t="s">
        <v>856</v>
      </c>
      <c r="AO15" s="41"/>
      <c r="AP1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" s="37" t="s">
        <v>856</v>
      </c>
      <c r="AR15" s="37"/>
      <c r="AS1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" s="41" cm="1">
        <f t="array" aca="1" ref="AT15" ca="1">INDEX('SAP Customer Data'!A:Z,MATCH(بيانات_العملاء[[#This Row],[رمز شريك الأعمال]],'SAP Customer Data'!B:B,0),CELL("col",Table_Customer_Data[[#Headers],[CreateDate]]))</f>
        <v>43581</v>
      </c>
      <c r="AU15" s="37"/>
      <c r="AV15" s="41"/>
      <c r="AW15" s="37" t="s">
        <v>2097</v>
      </c>
      <c r="AX15" s="37"/>
    </row>
    <row r="16" spans="1:50" x14ac:dyDescent="0.25">
      <c r="A16" s="36" t="str" cm="1">
        <f t="array" aca="1" ref="A16" ca="1">INDEX('SAP Customer Data'!$A:$AC,MATCH(بيانات_العملاء[[#This Row],[رمز شريك الأعمال]],'SAP Customer Data'!$B:$B,0),CELL("col",Table_Customer_Data[[#Headers],[GroupName]]))</f>
        <v>CS01</v>
      </c>
      <c r="B16" s="42" t="s">
        <v>299</v>
      </c>
      <c r="C16" s="37" t="str" cm="1">
        <f t="array" aca="1" ref="C16" ca="1">INDEX('SAP Customer Data'!$A:$AC,MATCH(بيانات_العملاء[[#This Row],[رمز شريك الأعمال]],'SAP Customer Data'!$B:$B,0),CELL("col",Table_Customer_Data[[#Headers],[CardName]]))</f>
        <v>مؤسسة الحسيني عنيزة -نقدى</v>
      </c>
      <c r="D16" s="37" t="str">
        <f ca="1">IF(بيانات_العملاء[[#This Row],[حد الائتمان على SAP]]&gt;0,"آجل","نقدى")</f>
        <v>نقدى</v>
      </c>
      <c r="E16" s="37"/>
      <c r="F16" s="37" t="s">
        <v>1082</v>
      </c>
      <c r="G16" s="37" t="s">
        <v>856</v>
      </c>
      <c r="H1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6" s="37" t="s">
        <v>856</v>
      </c>
      <c r="J16" s="38"/>
      <c r="K16" s="37"/>
      <c r="L16" s="37" t="str">
        <f ca="1">IF(AND(بيانات_العملاء[[#This Row],[السجل التجارى]]="موجود",TODAY()+'Other Data'!$B$23&lt;J16,بيانات_العملاء[[#This Row],[مطابقة اسم العميل بالاسم بالسجل التجارى]]="مطابق"), "سارى", "يجب اعادة طلبه")</f>
        <v>يجب اعادة طلبه</v>
      </c>
      <c r="M16" s="37" t="s">
        <v>856</v>
      </c>
      <c r="N16" s="39" cm="1">
        <f t="array" aca="1" ref="N16" ca="1">INDEX('SAP Customer Data'!$A:$AC,MATCH(بيانات_العملاء[[#This Row],[رمز شريك الأعمال]],'SAP Customer Data'!$B:$B,0),CELL("col",Table_Customer_Data[[#Headers],[LicTradNum]]))</f>
        <v>0</v>
      </c>
      <c r="O1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6" s="37" t="s">
        <v>856</v>
      </c>
      <c r="Q16" s="38"/>
      <c r="R1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" s="37" t="s">
        <v>1080</v>
      </c>
      <c r="T16" s="40"/>
      <c r="U16" s="41"/>
      <c r="V1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6" s="37" cm="1">
        <f t="array" aca="1" ref="X16" ca="1">INDEX('SAP Customer Data'!$A:$AC,MATCH(بيانات_العملاء[[#This Row],[رمز شريك الأعمال]],'SAP Customer Data'!$B:$B,0),CELL("col",Table_Customer_Data[[#Headers],[CreditLine]]))</f>
        <v>0</v>
      </c>
      <c r="Y1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" s="37"/>
      <c r="AA1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6" s="37" t="s">
        <v>856</v>
      </c>
      <c r="AC16" s="37"/>
      <c r="AD1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" s="37" t="s">
        <v>856</v>
      </c>
      <c r="AF16" s="37"/>
      <c r="AG1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" s="37" t="s">
        <v>856</v>
      </c>
      <c r="AI16" s="37"/>
      <c r="AJ1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" s="37"/>
      <c r="AL16" s="38"/>
      <c r="AM1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" s="37" t="s">
        <v>856</v>
      </c>
      <c r="AO16" s="41"/>
      <c r="AP1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" s="37" t="s">
        <v>856</v>
      </c>
      <c r="AR16" s="37"/>
      <c r="AS1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" s="41" cm="1">
        <f t="array" aca="1" ref="AT16" ca="1">INDEX('SAP Customer Data'!A:Z,MATCH(بيانات_العملاء[[#This Row],[رمز شريك الأعمال]],'SAP Customer Data'!B:B,0),CELL("col",Table_Customer_Data[[#Headers],[CreateDate]]))</f>
        <v>43589</v>
      </c>
      <c r="AU16" s="37"/>
      <c r="AV16" s="41"/>
      <c r="AW16" s="37" t="s">
        <v>2097</v>
      </c>
      <c r="AX16" s="37"/>
    </row>
    <row r="17" spans="1:50" x14ac:dyDescent="0.25">
      <c r="A17" s="36" t="str" cm="1">
        <f t="array" aca="1" ref="A17" ca="1">INDEX('SAP Customer Data'!$A:$AC,MATCH(بيانات_العملاء[[#This Row],[رمز شريك الأعمال]],'SAP Customer Data'!$B:$B,0),CELL("col",Table_Customer_Data[[#Headers],[GroupName]]))</f>
        <v>CS01</v>
      </c>
      <c r="B17" s="35" t="s">
        <v>228</v>
      </c>
      <c r="C17" s="37" t="str" cm="1">
        <f t="array" aca="1" ref="C17" ca="1">INDEX('SAP Customer Data'!$A:$AC,MATCH(بيانات_العملاء[[#This Row],[رمز شريك الأعمال]],'SAP Customer Data'!$B:$B,0),CELL("col",Table_Customer_Data[[#Headers],[CardName]]))</f>
        <v>مؤسسة بناء البدائع - نقدي</v>
      </c>
      <c r="D17" s="37" t="str">
        <f ca="1">IF(بيانات_العملاء[[#This Row],[حد الائتمان على SAP]]&gt;0,"آجل","نقدى")</f>
        <v>نقدى</v>
      </c>
      <c r="E17" s="37" t="s">
        <v>907</v>
      </c>
      <c r="F17" s="37" t="s">
        <v>1081</v>
      </c>
      <c r="G17" s="37" t="s">
        <v>854</v>
      </c>
      <c r="H1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7" s="37" t="s">
        <v>854</v>
      </c>
      <c r="J17" s="38">
        <v>44708</v>
      </c>
      <c r="K17" s="37" t="s">
        <v>855</v>
      </c>
      <c r="L17" s="37" t="str">
        <f ca="1">IF(AND(بيانات_العملاء[[#This Row],[السجل التجارى]]="موجود",TODAY()+'Other Data'!$B$23&lt;J17,بيانات_العملاء[[#This Row],[مطابقة اسم العميل بالاسم بالسجل التجارى]]="مطابق"), "سارى", "يجب اعادة طلبه")</f>
        <v>يجب اعادة طلبه</v>
      </c>
      <c r="M17" s="37" t="s">
        <v>856</v>
      </c>
      <c r="N17" s="39" t="str" cm="1">
        <f t="array" aca="1" ref="N17" ca="1">INDEX('SAP Customer Data'!$A:$AC,MATCH(بيانات_العملاء[[#This Row],[رمز شريك الأعمال]],'SAP Customer Data'!$B:$B,0),CELL("col",Table_Customer_Data[[#Headers],[LicTradNum]]))</f>
        <v>310201528400003</v>
      </c>
      <c r="O1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7" s="37" t="s">
        <v>856</v>
      </c>
      <c r="Q17" s="38"/>
      <c r="R1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" s="37" t="s">
        <v>854</v>
      </c>
      <c r="T17" s="40">
        <v>100000</v>
      </c>
      <c r="U17" s="41"/>
      <c r="V1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7" s="37" cm="1">
        <f t="array" aca="1" ref="X17" ca="1">INDEX('SAP Customer Data'!$A:$AC,MATCH(بيانات_العملاء[[#This Row],[رمز شريك الأعمال]],'SAP Customer Data'!$B:$B,0),CELL("col",Table_Customer_Data[[#Headers],[CreditLine]]))</f>
        <v>0</v>
      </c>
      <c r="Y1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17" s="37" t="s">
        <v>855</v>
      </c>
      <c r="AA1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7" s="37" t="s">
        <v>856</v>
      </c>
      <c r="AC17" s="37"/>
      <c r="AD1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" s="37" t="s">
        <v>856</v>
      </c>
      <c r="AF17" s="37"/>
      <c r="AG1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" s="37" t="s">
        <v>856</v>
      </c>
      <c r="AI17" s="37"/>
      <c r="AJ1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" s="37"/>
      <c r="AL17" s="38"/>
      <c r="AM1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" s="37" t="s">
        <v>856</v>
      </c>
      <c r="AO17" s="41"/>
      <c r="AP1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" s="37" t="s">
        <v>856</v>
      </c>
      <c r="AR17" s="37"/>
      <c r="AS1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" s="41" cm="1">
        <f t="array" aca="1" ref="AT17" ca="1">INDEX('SAP Customer Data'!A:Z,MATCH(بيانات_العملاء[[#This Row],[رمز شريك الأعمال]],'SAP Customer Data'!B:B,0),CELL("col",Table_Customer_Data[[#Headers],[CreateDate]]))</f>
        <v>43581</v>
      </c>
      <c r="AU17" s="37"/>
      <c r="AV17" s="41" t="s">
        <v>1103</v>
      </c>
      <c r="AW17" s="37" t="s">
        <v>2096</v>
      </c>
      <c r="AX17" s="37"/>
    </row>
    <row r="18" spans="1:50" x14ac:dyDescent="0.25">
      <c r="A18" s="36" t="str" cm="1">
        <f t="array" aca="1" ref="A18" ca="1">INDEX('SAP Customer Data'!$A:$AC,MATCH(بيانات_العملاء[[#This Row],[رمز شريك الأعمال]],'SAP Customer Data'!$B:$B,0),CELL("col",Table_Customer_Data[[#Headers],[GroupName]]))</f>
        <v>CS01</v>
      </c>
      <c r="B18" s="42" t="s">
        <v>494</v>
      </c>
      <c r="C18" s="37" t="str" cm="1">
        <f t="array" aca="1" ref="C18" ca="1">INDEX('SAP Customer Data'!$A:$AC,MATCH(بيانات_العملاء[[#This Row],[رمز شريك الأعمال]],'SAP Customer Data'!$B:$B,0),CELL("col",Table_Customer_Data[[#Headers],[CardName]]))</f>
        <v>مؤسسة الجربوع للكهرباء والسباكة-نقدى</v>
      </c>
      <c r="D18" s="37" t="str">
        <f ca="1">IF(بيانات_العملاء[[#This Row],[حد الائتمان على SAP]]&gt;0,"آجل","نقدى")</f>
        <v>نقدى</v>
      </c>
      <c r="E18" s="37"/>
      <c r="F18" s="37" t="s">
        <v>1082</v>
      </c>
      <c r="G18" s="37" t="s">
        <v>856</v>
      </c>
      <c r="H1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8" s="37" t="s">
        <v>856</v>
      </c>
      <c r="J18" s="38"/>
      <c r="K18" s="37"/>
      <c r="L18" s="37" t="str">
        <f ca="1">IF(AND(بيانات_العملاء[[#This Row],[السجل التجارى]]="موجود",TODAY()+'Other Data'!$B$23&lt;J18,بيانات_العملاء[[#This Row],[مطابقة اسم العميل بالاسم بالسجل التجارى]]="مطابق"), "سارى", "يجب اعادة طلبه")</f>
        <v>يجب اعادة طلبه</v>
      </c>
      <c r="M18" s="37" t="s">
        <v>856</v>
      </c>
      <c r="N18" s="39" cm="1">
        <f t="array" aca="1" ref="N18" ca="1">INDEX('SAP Customer Data'!$A:$AC,MATCH(بيانات_العملاء[[#This Row],[رمز شريك الأعمال]],'SAP Customer Data'!$B:$B,0),CELL("col",Table_Customer_Data[[#Headers],[LicTradNum]]))</f>
        <v>0</v>
      </c>
      <c r="O1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8" s="37" t="s">
        <v>856</v>
      </c>
      <c r="Q18" s="38"/>
      <c r="R1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" s="37" t="s">
        <v>1080</v>
      </c>
      <c r="T18" s="40"/>
      <c r="U18" s="41"/>
      <c r="V1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8" s="37" cm="1">
        <f t="array" aca="1" ref="X18" ca="1">INDEX('SAP Customer Data'!$A:$AC,MATCH(بيانات_العملاء[[#This Row],[رمز شريك الأعمال]],'SAP Customer Data'!$B:$B,0),CELL("col",Table_Customer_Data[[#Headers],[CreditLine]]))</f>
        <v>0</v>
      </c>
      <c r="Y1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" s="37"/>
      <c r="AA1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" s="37" t="s">
        <v>856</v>
      </c>
      <c r="AC18" s="37"/>
      <c r="AD1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" s="37" t="s">
        <v>856</v>
      </c>
      <c r="AF18" s="37"/>
      <c r="AG1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" s="37" t="s">
        <v>856</v>
      </c>
      <c r="AI18" s="37"/>
      <c r="AJ1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" s="37"/>
      <c r="AL18" s="38"/>
      <c r="AM1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" s="37" t="s">
        <v>856</v>
      </c>
      <c r="AO18" s="41"/>
      <c r="AP1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" s="37" t="s">
        <v>856</v>
      </c>
      <c r="AR18" s="37"/>
      <c r="AS1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" s="41" cm="1">
        <f t="array" aca="1" ref="AT18" ca="1">INDEX('SAP Customer Data'!A:Z,MATCH(بيانات_العملاء[[#This Row],[رمز شريك الأعمال]],'SAP Customer Data'!B:B,0),CELL("col",Table_Customer_Data[[#Headers],[CreateDate]]))</f>
        <v>43581</v>
      </c>
      <c r="AU18" s="37"/>
      <c r="AV18" s="41"/>
      <c r="AW18" s="37" t="s">
        <v>2097</v>
      </c>
      <c r="AX18" s="37"/>
    </row>
    <row r="19" spans="1:50" x14ac:dyDescent="0.25">
      <c r="A19" s="36" t="str" cm="1">
        <f t="array" aca="1" ref="A19" ca="1">INDEX('SAP Customer Data'!$A:$AC,MATCH(بيانات_العملاء[[#This Row],[رمز شريك الأعمال]],'SAP Customer Data'!$B:$B,0),CELL("col",Table_Customer_Data[[#Headers],[GroupName]]))</f>
        <v>CS01</v>
      </c>
      <c r="B19" s="42" t="s">
        <v>495</v>
      </c>
      <c r="C19" s="37" t="str" cm="1">
        <f t="array" aca="1" ref="C19" ca="1">INDEX('SAP Customer Data'!$A:$AC,MATCH(بيانات_العملاء[[#This Row],[رمز شريك الأعمال]],'SAP Customer Data'!$B:$B,0),CELL("col",Table_Customer_Data[[#Headers],[CardName]]))</f>
        <v>جولدن توليب القصيم -اتقان الضيافة -نقدى</v>
      </c>
      <c r="D19" s="37" t="str">
        <f ca="1">IF(بيانات_العملاء[[#This Row],[حد الائتمان على SAP]]&gt;0,"آجل","نقدى")</f>
        <v>نقدى</v>
      </c>
      <c r="E19" s="37"/>
      <c r="F19" s="37" t="s">
        <v>1082</v>
      </c>
      <c r="G19" s="37" t="s">
        <v>856</v>
      </c>
      <c r="H1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9" s="37" t="s">
        <v>856</v>
      </c>
      <c r="J19" s="38"/>
      <c r="K19" s="37"/>
      <c r="L19" s="37" t="str">
        <f ca="1">IF(AND(بيانات_العملاء[[#This Row],[السجل التجارى]]="موجود",TODAY()+'Other Data'!$B$23&lt;J19,بيانات_العملاء[[#This Row],[مطابقة اسم العميل بالاسم بالسجل التجارى]]="مطابق"), "سارى", "يجب اعادة طلبه")</f>
        <v>يجب اعادة طلبه</v>
      </c>
      <c r="M19" s="37" t="s">
        <v>856</v>
      </c>
      <c r="N19" s="39" cm="1">
        <f t="array" aca="1" ref="N19" ca="1">INDEX('SAP Customer Data'!$A:$AC,MATCH(بيانات_العملاء[[#This Row],[رمز شريك الأعمال]],'SAP Customer Data'!$B:$B,0),CELL("col",Table_Customer_Data[[#Headers],[LicTradNum]]))</f>
        <v>0</v>
      </c>
      <c r="O1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9" s="37" t="s">
        <v>856</v>
      </c>
      <c r="Q19" s="38"/>
      <c r="R1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9" s="37" t="s">
        <v>1080</v>
      </c>
      <c r="T19" s="40"/>
      <c r="U19" s="41"/>
      <c r="V1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9" s="37" cm="1">
        <f t="array" aca="1" ref="X19" ca="1">INDEX('SAP Customer Data'!$A:$AC,MATCH(بيانات_العملاء[[#This Row],[رمز شريك الأعمال]],'SAP Customer Data'!$B:$B,0),CELL("col",Table_Customer_Data[[#Headers],[CreditLine]]))</f>
        <v>0</v>
      </c>
      <c r="Y1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" s="37"/>
      <c r="AA1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" s="37" t="s">
        <v>856</v>
      </c>
      <c r="AC19" s="37"/>
      <c r="AD1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" s="37" t="s">
        <v>856</v>
      </c>
      <c r="AF19" s="37"/>
      <c r="AG1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9" s="37" t="s">
        <v>856</v>
      </c>
      <c r="AI19" s="37"/>
      <c r="AJ1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9" s="37"/>
      <c r="AL19" s="38"/>
      <c r="AM1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" s="37" t="s">
        <v>856</v>
      </c>
      <c r="AO19" s="41"/>
      <c r="AP1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" s="37" t="s">
        <v>856</v>
      </c>
      <c r="AR19" s="37"/>
      <c r="AS1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9" s="41" cm="1">
        <f t="array" aca="1" ref="AT19" ca="1">INDEX('SAP Customer Data'!A:Z,MATCH(بيانات_العملاء[[#This Row],[رمز شريك الأعمال]],'SAP Customer Data'!B:B,0),CELL("col",Table_Customer_Data[[#Headers],[CreateDate]]))</f>
        <v>43581</v>
      </c>
      <c r="AU19" s="37"/>
      <c r="AV19" s="41"/>
      <c r="AW19" s="37" t="s">
        <v>2097</v>
      </c>
      <c r="AX19" s="37"/>
    </row>
    <row r="20" spans="1:50" x14ac:dyDescent="0.25">
      <c r="A20" s="36" t="str" cm="1">
        <f t="array" aca="1" ref="A20" ca="1">INDEX('SAP Customer Data'!$A:$AC,MATCH(بيانات_العملاء[[#This Row],[رمز شريك الأعمال]],'SAP Customer Data'!$B:$B,0),CELL("col",Table_Customer_Data[[#Headers],[GroupName]]))</f>
        <v>CS01</v>
      </c>
      <c r="B20" s="42" t="s">
        <v>496</v>
      </c>
      <c r="C20" s="37" t="str" cm="1">
        <f t="array" aca="1" ref="C20" ca="1">INDEX('SAP Customer Data'!$A:$AC,MATCH(بيانات_العملاء[[#This Row],[رمز شريك الأعمال]],'SAP Customer Data'!$B:$B,0),CELL("col",Table_Customer_Data[[#Headers],[CardName]]))</f>
        <v>مؤسسة المشيقح للكهرباء-نقدى</v>
      </c>
      <c r="D20" s="37" t="str">
        <f ca="1">IF(بيانات_العملاء[[#This Row],[حد الائتمان على SAP]]&gt;0,"آجل","نقدى")</f>
        <v>نقدى</v>
      </c>
      <c r="E20" s="37"/>
      <c r="F20" s="37" t="s">
        <v>1082</v>
      </c>
      <c r="G20" s="37" t="s">
        <v>856</v>
      </c>
      <c r="H2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" s="37" t="s">
        <v>856</v>
      </c>
      <c r="J20" s="38"/>
      <c r="K20" s="37"/>
      <c r="L20" s="37" t="str">
        <f ca="1">IF(AND(بيانات_العملاء[[#This Row],[السجل التجارى]]="موجود",TODAY()+'Other Data'!$B$23&lt;J20,بيانات_العملاء[[#This Row],[مطابقة اسم العميل بالاسم بالسجل التجارى]]="مطابق"), "سارى", "يجب اعادة طلبه")</f>
        <v>يجب اعادة طلبه</v>
      </c>
      <c r="M20" s="37" t="s">
        <v>856</v>
      </c>
      <c r="N20" s="39" cm="1">
        <f t="array" aca="1" ref="N20" ca="1">INDEX('SAP Customer Data'!$A:$AC,MATCH(بيانات_العملاء[[#This Row],[رمز شريك الأعمال]],'SAP Customer Data'!$B:$B,0),CELL("col",Table_Customer_Data[[#Headers],[LicTradNum]]))</f>
        <v>0</v>
      </c>
      <c r="O2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0" s="37" t="s">
        <v>856</v>
      </c>
      <c r="Q20" s="38"/>
      <c r="R2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" s="37" t="s">
        <v>1080</v>
      </c>
      <c r="T20" s="40"/>
      <c r="U20" s="41"/>
      <c r="V2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" s="37" cm="1">
        <f t="array" aca="1" ref="X20" ca="1">INDEX('SAP Customer Data'!$A:$AC,MATCH(بيانات_العملاء[[#This Row],[رمز شريك الأعمال]],'SAP Customer Data'!$B:$B,0),CELL("col",Table_Customer_Data[[#Headers],[CreditLine]]))</f>
        <v>0</v>
      </c>
      <c r="Y2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" s="37"/>
      <c r="AA2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" s="37" t="s">
        <v>856</v>
      </c>
      <c r="AC20" s="37"/>
      <c r="AD2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" s="37" t="s">
        <v>856</v>
      </c>
      <c r="AF20" s="37"/>
      <c r="AG2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" s="37" t="s">
        <v>856</v>
      </c>
      <c r="AI20" s="37"/>
      <c r="AJ2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" s="37"/>
      <c r="AL20" s="38"/>
      <c r="AM2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" s="37" t="s">
        <v>856</v>
      </c>
      <c r="AO20" s="41"/>
      <c r="AP2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" s="37" t="s">
        <v>856</v>
      </c>
      <c r="AR20" s="37"/>
      <c r="AS2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" s="41" cm="1">
        <f t="array" aca="1" ref="AT20" ca="1">INDEX('SAP Customer Data'!A:Z,MATCH(بيانات_العملاء[[#This Row],[رمز شريك الأعمال]],'SAP Customer Data'!B:B,0),CELL("col",Table_Customer_Data[[#Headers],[CreateDate]]))</f>
        <v>43581</v>
      </c>
      <c r="AU20" s="37"/>
      <c r="AV20" s="41"/>
      <c r="AW20" s="37" t="s">
        <v>2097</v>
      </c>
      <c r="AX20" s="37"/>
    </row>
    <row r="21" spans="1:50" s="71" customFormat="1" x14ac:dyDescent="0.25">
      <c r="A21" s="36" t="str" cm="1">
        <f t="array" aca="1" ref="A21" ca="1">INDEX('SAP Customer Data'!$A:$AC,MATCH(بيانات_العملاء[[#This Row],[رمز شريك الأعمال]],'SAP Customer Data'!$B:$B,0),CELL("col",Table_Customer_Data[[#Headers],[GroupName]]))</f>
        <v>CS01</v>
      </c>
      <c r="B21" s="35" t="s">
        <v>520</v>
      </c>
      <c r="C21" s="37" t="str" cm="1">
        <f t="array" aca="1" ref="C21" ca="1">INDEX('SAP Customer Data'!$A:$AC,MATCH(بيانات_العملاء[[#This Row],[رمز شريك الأعمال]],'SAP Customer Data'!$B:$B,0),CELL("col",Table_Customer_Data[[#Headers],[CardName]]))</f>
        <v>محل تسويق البناء - المجمعة</v>
      </c>
      <c r="D21" s="37" t="str">
        <f ca="1">IF(بيانات_العملاء[[#This Row],[حد الائتمان على SAP]]&gt;0,"آجل","نقدى")</f>
        <v>آجل</v>
      </c>
      <c r="E21" s="37"/>
      <c r="F21" s="37" t="s">
        <v>997</v>
      </c>
      <c r="G21" s="37" t="s">
        <v>854</v>
      </c>
      <c r="H2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1" s="37" t="s">
        <v>854</v>
      </c>
      <c r="J21" s="38">
        <v>44693</v>
      </c>
      <c r="K21" s="37" t="s">
        <v>859</v>
      </c>
      <c r="L21" s="37" t="str">
        <f ca="1">IF(AND(بيانات_العملاء[[#This Row],[السجل التجارى]]="موجود",TODAY()+'Other Data'!$B$23&lt;J21,بيانات_العملاء[[#This Row],[مطابقة اسم العميل بالاسم بالسجل التجارى]]="مطابق"), "سارى", "يجب اعادة طلبه")</f>
        <v>يجب اعادة طلبه</v>
      </c>
      <c r="M21" s="37" t="s">
        <v>854</v>
      </c>
      <c r="N21" s="39" t="str" cm="1">
        <f t="array" aca="1" ref="N21" ca="1">INDEX('SAP Customer Data'!$A:$AC,MATCH(بيانات_العملاء[[#This Row],[رمز شريك الأعمال]],'SAP Customer Data'!$B:$B,0),CELL("col",Table_Customer_Data[[#Headers],[LicTradNum]]))</f>
        <v>310306606400003</v>
      </c>
      <c r="O2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" s="37" t="s">
        <v>856</v>
      </c>
      <c r="Q21" s="38"/>
      <c r="R2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" s="37" t="s">
        <v>1075</v>
      </c>
      <c r="T21" s="40">
        <v>10000</v>
      </c>
      <c r="U21" s="41"/>
      <c r="V2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10000</v>
      </c>
      <c r="X21" s="37" cm="1">
        <f t="array" aca="1" ref="X21" ca="1">INDEX('SAP Customer Data'!$A:$AC,MATCH(بيانات_العملاء[[#This Row],[رمز شريك الأعمال]],'SAP Customer Data'!$B:$B,0),CELL("col",Table_Customer_Data[[#Headers],[CreditLine]]))</f>
        <v>10000</v>
      </c>
      <c r="Y2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" s="37"/>
      <c r="AA2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" s="37" t="s">
        <v>854</v>
      </c>
      <c r="AC21" s="41">
        <v>48192</v>
      </c>
      <c r="AD2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21" s="37" t="s">
        <v>856</v>
      </c>
      <c r="AF21" s="37"/>
      <c r="AG2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" s="37" t="s">
        <v>856</v>
      </c>
      <c r="AI21" s="37"/>
      <c r="AJ2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" s="37"/>
      <c r="AL21" s="38"/>
      <c r="AM2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" s="37" t="s">
        <v>854</v>
      </c>
      <c r="AO21" s="41"/>
      <c r="AP2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" s="37" t="s">
        <v>856</v>
      </c>
      <c r="AR21" s="37"/>
      <c r="AS2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" s="41" cm="1">
        <f t="array" aca="1" ref="AT21" ca="1">INDEX('SAP Customer Data'!A:Z,MATCH(بيانات_العملاء[[#This Row],[رمز شريك الأعمال]],'SAP Customer Data'!B:B,0),CELL("col",Table_Customer_Data[[#Headers],[CreateDate]]))</f>
        <v>43589</v>
      </c>
      <c r="AU21" s="37"/>
      <c r="AV21" s="41"/>
      <c r="AW21" s="37" t="s">
        <v>2096</v>
      </c>
      <c r="AX21" s="37"/>
    </row>
    <row r="22" spans="1:50" x14ac:dyDescent="0.25">
      <c r="A22" s="36" t="str" cm="1">
        <f t="array" aca="1" ref="A22" ca="1">INDEX('SAP Customer Data'!$A:$AC,MATCH(بيانات_العملاء[[#This Row],[رمز شريك الأعمال]],'SAP Customer Data'!$B:$B,0),CELL("col",Table_Customer_Data[[#Headers],[GroupName]]))</f>
        <v>CS01</v>
      </c>
      <c r="B22" s="42" t="s">
        <v>503</v>
      </c>
      <c r="C22" s="37" t="str" cm="1">
        <f t="array" aca="1" ref="C22" ca="1">INDEX('SAP Customer Data'!$A:$AC,MATCH(بيانات_العملاء[[#This Row],[رمز شريك الأعمال]],'SAP Customer Data'!$B:$B,0),CELL("col",Table_Customer_Data[[#Headers],[CardName]]))</f>
        <v>محل الهدير للكهرباء والسباكة-نقدى</v>
      </c>
      <c r="D22" s="37" t="str">
        <f ca="1">IF(بيانات_العملاء[[#This Row],[حد الائتمان على SAP]]&gt;0,"آجل","نقدى")</f>
        <v>نقدى</v>
      </c>
      <c r="E22" s="37"/>
      <c r="F22" s="37" t="s">
        <v>1082</v>
      </c>
      <c r="G22" s="37" t="s">
        <v>856</v>
      </c>
      <c r="H2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" s="37" t="s">
        <v>856</v>
      </c>
      <c r="J22" s="38"/>
      <c r="K22" s="37"/>
      <c r="L22" s="37" t="str">
        <f ca="1">IF(AND(بيانات_العملاء[[#This Row],[السجل التجارى]]="موجود",TODAY()+'Other Data'!$B$23&lt;J22,بيانات_العملاء[[#This Row],[مطابقة اسم العميل بالاسم بالسجل التجارى]]="مطابق"), "سارى", "يجب اعادة طلبه")</f>
        <v>يجب اعادة طلبه</v>
      </c>
      <c r="M22" s="37" t="s">
        <v>856</v>
      </c>
      <c r="N22" s="39" cm="1">
        <f t="array" aca="1" ref="N22" ca="1">INDEX('SAP Customer Data'!$A:$AC,MATCH(بيانات_العملاء[[#This Row],[رمز شريك الأعمال]],'SAP Customer Data'!$B:$B,0),CELL("col",Table_Customer_Data[[#Headers],[LicTradNum]]))</f>
        <v>0</v>
      </c>
      <c r="O2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" s="37" t="s">
        <v>856</v>
      </c>
      <c r="Q22" s="38"/>
      <c r="R2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" s="37" t="s">
        <v>1080</v>
      </c>
      <c r="T22" s="40"/>
      <c r="U22" s="41"/>
      <c r="V2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" s="37" cm="1">
        <f t="array" aca="1" ref="X22" ca="1">INDEX('SAP Customer Data'!$A:$AC,MATCH(بيانات_العملاء[[#This Row],[رمز شريك الأعمال]],'SAP Customer Data'!$B:$B,0),CELL("col",Table_Customer_Data[[#Headers],[CreditLine]]))</f>
        <v>0</v>
      </c>
      <c r="Y2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" s="37"/>
      <c r="AA2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" s="37" t="s">
        <v>856</v>
      </c>
      <c r="AC22" s="37"/>
      <c r="AD2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" s="37" t="s">
        <v>856</v>
      </c>
      <c r="AF22" s="37"/>
      <c r="AG2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" s="37" t="s">
        <v>856</v>
      </c>
      <c r="AI22" s="37"/>
      <c r="AJ2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" s="37"/>
      <c r="AL22" s="38"/>
      <c r="AM2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" s="37" t="s">
        <v>856</v>
      </c>
      <c r="AO22" s="41"/>
      <c r="AP2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" s="37" t="s">
        <v>856</v>
      </c>
      <c r="AR22" s="37"/>
      <c r="AS2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" s="41" cm="1">
        <f t="array" aca="1" ref="AT22" ca="1">INDEX('SAP Customer Data'!A:Z,MATCH(بيانات_العملاء[[#This Row],[رمز شريك الأعمال]],'SAP Customer Data'!B:B,0),CELL("col",Table_Customer_Data[[#Headers],[CreateDate]]))</f>
        <v>43581</v>
      </c>
      <c r="AU22" s="37"/>
      <c r="AV22" s="41"/>
      <c r="AW22" s="37" t="s">
        <v>2097</v>
      </c>
      <c r="AX22" s="37"/>
    </row>
    <row r="23" spans="1:50" x14ac:dyDescent="0.25">
      <c r="A23" s="36" t="str" cm="1">
        <f t="array" aca="1" ref="A23" ca="1">INDEX('SAP Customer Data'!$A:$AC,MATCH(بيانات_العملاء[[#This Row],[رمز شريك الأعمال]],'SAP Customer Data'!$B:$B,0),CELL("col",Table_Customer_Data[[#Headers],[GroupName]]))</f>
        <v>CS01</v>
      </c>
      <c r="B23" s="42" t="s">
        <v>510</v>
      </c>
      <c r="C23" s="37" t="str" cm="1">
        <f t="array" aca="1" ref="C23" ca="1">INDEX('SAP Customer Data'!$A:$AC,MATCH(بيانات_العملاء[[#This Row],[رمز شريك الأعمال]],'SAP Customer Data'!$B:$B,0),CELL("col",Table_Customer_Data[[#Headers],[CardName]]))</f>
        <v>محل النور للسباكة والكهرباء -نقدى</v>
      </c>
      <c r="D23" s="37" t="str">
        <f ca="1">IF(بيانات_العملاء[[#This Row],[حد الائتمان على SAP]]&gt;0,"آجل","نقدى")</f>
        <v>نقدى</v>
      </c>
      <c r="E23" s="37"/>
      <c r="F23" s="37" t="s">
        <v>1082</v>
      </c>
      <c r="G23" s="37" t="s">
        <v>856</v>
      </c>
      <c r="H2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3" s="37" t="s">
        <v>856</v>
      </c>
      <c r="J23" s="38"/>
      <c r="K23" s="37"/>
      <c r="L23" s="37" t="str">
        <f ca="1">IF(AND(بيانات_العملاء[[#This Row],[السجل التجارى]]="موجود",TODAY()+'Other Data'!$B$23&lt;J23,بيانات_العملاء[[#This Row],[مطابقة اسم العميل بالاسم بالسجل التجارى]]="مطابق"), "سارى", "يجب اعادة طلبه")</f>
        <v>يجب اعادة طلبه</v>
      </c>
      <c r="M23" s="37" t="s">
        <v>856</v>
      </c>
      <c r="N23" s="39" cm="1">
        <f t="array" aca="1" ref="N23" ca="1">INDEX('SAP Customer Data'!$A:$AC,MATCH(بيانات_العملاء[[#This Row],[رمز شريك الأعمال]],'SAP Customer Data'!$B:$B,0),CELL("col",Table_Customer_Data[[#Headers],[LicTradNum]]))</f>
        <v>0</v>
      </c>
      <c r="O2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3" s="37" t="s">
        <v>856</v>
      </c>
      <c r="Q23" s="38"/>
      <c r="R2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" s="37" t="s">
        <v>1080</v>
      </c>
      <c r="T23" s="40"/>
      <c r="U23" s="41"/>
      <c r="V2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3" s="37" cm="1">
        <f t="array" aca="1" ref="X23" ca="1">INDEX('SAP Customer Data'!$A:$AC,MATCH(بيانات_العملاء[[#This Row],[رمز شريك الأعمال]],'SAP Customer Data'!$B:$B,0),CELL("col",Table_Customer_Data[[#Headers],[CreditLine]]))</f>
        <v>0</v>
      </c>
      <c r="Y2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3" s="37"/>
      <c r="AA2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3" s="37" t="s">
        <v>856</v>
      </c>
      <c r="AC23" s="37"/>
      <c r="AD2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" s="37" t="s">
        <v>856</v>
      </c>
      <c r="AF23" s="37"/>
      <c r="AG2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" s="37" t="s">
        <v>856</v>
      </c>
      <c r="AI23" s="37"/>
      <c r="AJ2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" s="37"/>
      <c r="AL23" s="38"/>
      <c r="AM2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" s="37" t="s">
        <v>856</v>
      </c>
      <c r="AO23" s="41"/>
      <c r="AP2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" s="37" t="s">
        <v>856</v>
      </c>
      <c r="AR23" s="37"/>
      <c r="AS2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" s="41" cm="1">
        <f t="array" aca="1" ref="AT23" ca="1">INDEX('SAP Customer Data'!A:Z,MATCH(بيانات_العملاء[[#This Row],[رمز شريك الأعمال]],'SAP Customer Data'!B:B,0),CELL("col",Table_Customer_Data[[#Headers],[CreateDate]]))</f>
        <v>43581</v>
      </c>
      <c r="AU23" s="37"/>
      <c r="AV23" s="41"/>
      <c r="AW23" s="37" t="s">
        <v>2097</v>
      </c>
      <c r="AX23" s="37"/>
    </row>
    <row r="24" spans="1:50" x14ac:dyDescent="0.25">
      <c r="A24" s="36" t="str" cm="1">
        <f t="array" aca="1" ref="A24" ca="1">INDEX('SAP Customer Data'!$A:$AC,MATCH(بيانات_العملاء[[#This Row],[رمز شريك الأعمال]],'SAP Customer Data'!$B:$B,0),CELL("col",Table_Customer_Data[[#Headers],[GroupName]]))</f>
        <v>CS01</v>
      </c>
      <c r="B24" s="42" t="s">
        <v>513</v>
      </c>
      <c r="C24" s="37" t="str" cm="1">
        <f t="array" aca="1" ref="C24" ca="1">INDEX('SAP Customer Data'!$A:$AC,MATCH(بيانات_العملاء[[#This Row],[رمز شريك الأعمال]],'SAP Customer Data'!$B:$B,0),CELL("col",Table_Customer_Data[[#Headers],[CardName]]))</f>
        <v>مؤسسة حمد عبدالكريم البدر -نقدى</v>
      </c>
      <c r="D24" s="37" t="str">
        <f ca="1">IF(بيانات_العملاء[[#This Row],[حد الائتمان على SAP]]&gt;0,"آجل","نقدى")</f>
        <v>نقدى</v>
      </c>
      <c r="E24" s="37"/>
      <c r="F24" s="37" t="s">
        <v>1082</v>
      </c>
      <c r="G24" s="37" t="s">
        <v>856</v>
      </c>
      <c r="H2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4" s="37" t="s">
        <v>856</v>
      </c>
      <c r="J24" s="38"/>
      <c r="K24" s="37"/>
      <c r="L24" s="37" t="str">
        <f ca="1">IF(AND(بيانات_العملاء[[#This Row],[السجل التجارى]]="موجود",TODAY()+'Other Data'!$B$23&lt;J24,بيانات_العملاء[[#This Row],[مطابقة اسم العميل بالاسم بالسجل التجارى]]="مطابق"), "سارى", "يجب اعادة طلبه")</f>
        <v>يجب اعادة طلبه</v>
      </c>
      <c r="M24" s="37" t="s">
        <v>856</v>
      </c>
      <c r="N24" s="39" cm="1">
        <f t="array" aca="1" ref="N24" ca="1">INDEX('SAP Customer Data'!$A:$AC,MATCH(بيانات_العملاء[[#This Row],[رمز شريك الأعمال]],'SAP Customer Data'!$B:$B,0),CELL("col",Table_Customer_Data[[#Headers],[LicTradNum]]))</f>
        <v>0</v>
      </c>
      <c r="O2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4" s="37" t="s">
        <v>856</v>
      </c>
      <c r="Q24" s="38"/>
      <c r="R2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" s="37" t="s">
        <v>1080</v>
      </c>
      <c r="T24" s="40"/>
      <c r="U24" s="41"/>
      <c r="V2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4" s="37" cm="1">
        <f t="array" aca="1" ref="X24" ca="1">INDEX('SAP Customer Data'!$A:$AC,MATCH(بيانات_العملاء[[#This Row],[رمز شريك الأعمال]],'SAP Customer Data'!$B:$B,0),CELL("col",Table_Customer_Data[[#Headers],[CreditLine]]))</f>
        <v>0</v>
      </c>
      <c r="Y2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" s="37"/>
      <c r="AA2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4" s="37" t="s">
        <v>856</v>
      </c>
      <c r="AC24" s="37"/>
      <c r="AD2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" s="37" t="s">
        <v>856</v>
      </c>
      <c r="AF24" s="37"/>
      <c r="AG2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" s="37" t="s">
        <v>856</v>
      </c>
      <c r="AI24" s="37"/>
      <c r="AJ2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" s="37"/>
      <c r="AL24" s="38"/>
      <c r="AM2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" s="37" t="s">
        <v>856</v>
      </c>
      <c r="AO24" s="41"/>
      <c r="AP2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" s="37" t="s">
        <v>856</v>
      </c>
      <c r="AR24" s="37"/>
      <c r="AS2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" s="41" cm="1">
        <f t="array" aca="1" ref="AT24" ca="1">INDEX('SAP Customer Data'!A:Z,MATCH(بيانات_العملاء[[#This Row],[رمز شريك الأعمال]],'SAP Customer Data'!B:B,0),CELL("col",Table_Customer_Data[[#Headers],[CreateDate]]))</f>
        <v>43581</v>
      </c>
      <c r="AU24" s="37"/>
      <c r="AV24" s="41"/>
      <c r="AW24" s="37" t="s">
        <v>2097</v>
      </c>
      <c r="AX24" s="37"/>
    </row>
    <row r="25" spans="1:50" x14ac:dyDescent="0.25">
      <c r="A25" s="36" t="str" cm="1">
        <f t="array" aca="1" ref="A25" ca="1">INDEX('SAP Customer Data'!$A:$AC,MATCH(بيانات_العملاء[[#This Row],[رمز شريك الأعمال]],'SAP Customer Data'!$B:$B,0),CELL("col",Table_Customer_Data[[#Headers],[GroupName]]))</f>
        <v>CS01</v>
      </c>
      <c r="B25" s="42" t="s">
        <v>514</v>
      </c>
      <c r="C25" s="37" t="str" cm="1">
        <f t="array" aca="1" ref="C25" ca="1">INDEX('SAP Customer Data'!$A:$AC,MATCH(بيانات_العملاء[[#This Row],[رمز شريك الأعمال]],'SAP Customer Data'!$B:$B,0),CELL("col",Table_Customer_Data[[#Headers],[CardName]]))</f>
        <v>محل الانارة - المذنب - نقدي</v>
      </c>
      <c r="D25" s="37" t="str">
        <f ca="1">IF(بيانات_العملاء[[#This Row],[حد الائتمان على SAP]]&gt;0,"آجل","نقدى")</f>
        <v>نقدى</v>
      </c>
      <c r="E25" s="37"/>
      <c r="F25" s="37" t="s">
        <v>1082</v>
      </c>
      <c r="G25" s="37" t="s">
        <v>856</v>
      </c>
      <c r="H2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" s="37" t="s">
        <v>856</v>
      </c>
      <c r="J25" s="38"/>
      <c r="K25" s="37"/>
      <c r="L25" s="37" t="str">
        <f ca="1">IF(AND(بيانات_العملاء[[#This Row],[السجل التجارى]]="موجود",TODAY()+'Other Data'!$B$23&lt;J25,بيانات_العملاء[[#This Row],[مطابقة اسم العميل بالاسم بالسجل التجارى]]="مطابق"), "سارى", "يجب اعادة طلبه")</f>
        <v>يجب اعادة طلبه</v>
      </c>
      <c r="M25" s="37" t="s">
        <v>856</v>
      </c>
      <c r="N25" s="39" cm="1">
        <f t="array" aca="1" ref="N25" ca="1">INDEX('SAP Customer Data'!$A:$AC,MATCH(بيانات_العملاء[[#This Row],[رمز شريك الأعمال]],'SAP Customer Data'!$B:$B,0),CELL("col",Table_Customer_Data[[#Headers],[LicTradNum]]))</f>
        <v>0</v>
      </c>
      <c r="O2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5" s="37" t="s">
        <v>856</v>
      </c>
      <c r="Q25" s="38"/>
      <c r="R2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" s="37" t="s">
        <v>1080</v>
      </c>
      <c r="T25" s="40"/>
      <c r="U25" s="41"/>
      <c r="V2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" s="37" cm="1">
        <f t="array" aca="1" ref="X25" ca="1">INDEX('SAP Customer Data'!$A:$AC,MATCH(بيانات_العملاء[[#This Row],[رمز شريك الأعمال]],'SAP Customer Data'!$B:$B,0),CELL("col",Table_Customer_Data[[#Headers],[CreditLine]]))</f>
        <v>0</v>
      </c>
      <c r="Y2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" s="37"/>
      <c r="AA2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" s="37" t="s">
        <v>856</v>
      </c>
      <c r="AC25" s="37"/>
      <c r="AD2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" s="37" t="s">
        <v>856</v>
      </c>
      <c r="AF25" s="37"/>
      <c r="AG2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" s="37" t="s">
        <v>856</v>
      </c>
      <c r="AI25" s="37"/>
      <c r="AJ2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" s="37"/>
      <c r="AL25" s="38"/>
      <c r="AM2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" s="37" t="s">
        <v>856</v>
      </c>
      <c r="AO25" s="41"/>
      <c r="AP2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" s="37" t="s">
        <v>856</v>
      </c>
      <c r="AR25" s="37"/>
      <c r="AS2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" s="41" cm="1">
        <f t="array" aca="1" ref="AT25" ca="1">INDEX('SAP Customer Data'!A:Z,MATCH(بيانات_العملاء[[#This Row],[رمز شريك الأعمال]],'SAP Customer Data'!B:B,0),CELL("col",Table_Customer_Data[[#Headers],[CreateDate]]))</f>
        <v>43589</v>
      </c>
      <c r="AU25" s="37"/>
      <c r="AV25" s="41"/>
      <c r="AW25" s="37" t="s">
        <v>2097</v>
      </c>
      <c r="AX25" s="37"/>
    </row>
    <row r="26" spans="1:50" x14ac:dyDescent="0.25">
      <c r="A26" s="36" t="str" cm="1">
        <f t="array" aca="1" ref="A26" ca="1">INDEX('SAP Customer Data'!$A:$AC,MATCH(بيانات_العملاء[[#This Row],[رمز شريك الأعمال]],'SAP Customer Data'!$B:$B,0),CELL("col",Table_Customer_Data[[#Headers],[GroupName]]))</f>
        <v>CS01</v>
      </c>
      <c r="B26" s="42" t="s">
        <v>517</v>
      </c>
      <c r="C26" s="37" t="str" cm="1">
        <f t="array" aca="1" ref="C26" ca="1">INDEX('SAP Customer Data'!$A:$AC,MATCH(بيانات_العملاء[[#This Row],[رمز شريك الأعمال]],'SAP Customer Data'!$B:$B,0),CELL("col",Table_Customer_Data[[#Headers],[CardName]]))</f>
        <v>محل الاستاذ للكهرباء والسباكة - نقدى</v>
      </c>
      <c r="D26" s="37" t="str">
        <f ca="1">IF(بيانات_العملاء[[#This Row],[حد الائتمان على SAP]]&gt;0,"آجل","نقدى")</f>
        <v>نقدى</v>
      </c>
      <c r="E26" s="37"/>
      <c r="F26" s="37" t="s">
        <v>1082</v>
      </c>
      <c r="G26" s="37" t="s">
        <v>856</v>
      </c>
      <c r="H2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" s="37" t="s">
        <v>856</v>
      </c>
      <c r="J26" s="38"/>
      <c r="K26" s="37"/>
      <c r="L26" s="37" t="str">
        <f ca="1">IF(AND(بيانات_العملاء[[#This Row],[السجل التجارى]]="موجود",TODAY()+'Other Data'!$B$23&lt;J26,بيانات_العملاء[[#This Row],[مطابقة اسم العميل بالاسم بالسجل التجارى]]="مطابق"), "سارى", "يجب اعادة طلبه")</f>
        <v>يجب اعادة طلبه</v>
      </c>
      <c r="M26" s="37" t="s">
        <v>856</v>
      </c>
      <c r="N26" s="39" cm="1">
        <f t="array" aca="1" ref="N26" ca="1">INDEX('SAP Customer Data'!$A:$AC,MATCH(بيانات_العملاء[[#This Row],[رمز شريك الأعمال]],'SAP Customer Data'!$B:$B,0),CELL("col",Table_Customer_Data[[#Headers],[LicTradNum]]))</f>
        <v>0</v>
      </c>
      <c r="O2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6" s="37" t="s">
        <v>856</v>
      </c>
      <c r="Q26" s="38"/>
      <c r="R2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" s="37" t="s">
        <v>1080</v>
      </c>
      <c r="T26" s="40"/>
      <c r="U26" s="41"/>
      <c r="V2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" s="37" cm="1">
        <f t="array" aca="1" ref="X26" ca="1">INDEX('SAP Customer Data'!$A:$AC,MATCH(بيانات_العملاء[[#This Row],[رمز شريك الأعمال]],'SAP Customer Data'!$B:$B,0),CELL("col",Table_Customer_Data[[#Headers],[CreditLine]]))</f>
        <v>0</v>
      </c>
      <c r="Y2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" s="37"/>
      <c r="AA2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" s="37" t="s">
        <v>856</v>
      </c>
      <c r="AC26" s="37"/>
      <c r="AD2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" s="37" t="s">
        <v>856</v>
      </c>
      <c r="AF26" s="37"/>
      <c r="AG2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" s="37" t="s">
        <v>856</v>
      </c>
      <c r="AI26" s="37"/>
      <c r="AJ2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" s="37"/>
      <c r="AL26" s="38"/>
      <c r="AM2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" s="37" t="s">
        <v>856</v>
      </c>
      <c r="AO26" s="41"/>
      <c r="AP2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" s="37" t="s">
        <v>856</v>
      </c>
      <c r="AR26" s="37"/>
      <c r="AS2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" s="41" cm="1">
        <f t="array" aca="1" ref="AT26" ca="1">INDEX('SAP Customer Data'!A:Z,MATCH(بيانات_العملاء[[#This Row],[رمز شريك الأعمال]],'SAP Customer Data'!B:B,0),CELL("col",Table_Customer_Data[[#Headers],[CreateDate]]))</f>
        <v>43581</v>
      </c>
      <c r="AU26" s="37"/>
      <c r="AV26" s="41"/>
      <c r="AW26" s="37" t="s">
        <v>2097</v>
      </c>
      <c r="AX26" s="37"/>
    </row>
    <row r="27" spans="1:50" x14ac:dyDescent="0.25">
      <c r="A27" s="48" t="str" cm="1">
        <f t="array" aca="1" ref="A27" ca="1">INDEX('SAP Customer Data'!$A:$AC,MATCH(بيانات_العملاء[[#This Row],[رمز شريك الأعمال]],'SAP Customer Data'!$B:$B,0),CELL("col",Table_Customer_Data[[#Headers],[GroupName]]))</f>
        <v>CS01</v>
      </c>
      <c r="B27" s="29" t="s">
        <v>522</v>
      </c>
      <c r="C27" s="30" t="str" cm="1">
        <f t="array" aca="1" ref="C27" ca="1">INDEX('SAP Customer Data'!$A:$AC,MATCH(بيانات_العملاء[[#This Row],[رمز شريك الأعمال]],'SAP Customer Data'!$B:$B,0),CELL("col",Table_Customer_Data[[#Headers],[CardName]]))</f>
        <v>محل كنز الاضواء - الدوامي</v>
      </c>
      <c r="D27" s="30" t="str">
        <f ca="1">IF(بيانات_العملاء[[#This Row],[حد الائتمان على SAP]]&gt;0,"آجل","نقدى")</f>
        <v>آجل</v>
      </c>
      <c r="E27" s="30"/>
      <c r="F27" s="30" t="s">
        <v>1082</v>
      </c>
      <c r="G27" s="30" t="s">
        <v>856</v>
      </c>
      <c r="H27" s="30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7" s="30" t="s">
        <v>856</v>
      </c>
      <c r="J27" s="31"/>
      <c r="K27" s="30"/>
      <c r="L27" s="30" t="str">
        <f ca="1">IF(AND(بيانات_العملاء[[#This Row],[السجل التجارى]]="موجود",TODAY()+'Other Data'!$B$23&lt;J27,بيانات_العملاء[[#This Row],[مطابقة اسم العميل بالاسم بالسجل التجارى]]="مطابق"), "سارى", "يجب اعادة طلبه")</f>
        <v>يجب اعادة طلبه</v>
      </c>
      <c r="M27" s="30" t="s">
        <v>856</v>
      </c>
      <c r="N27" s="49" cm="1">
        <f t="array" aca="1" ref="N27" ca="1">INDEX('SAP Customer Data'!$A:$AC,MATCH(بيانات_العملاء[[#This Row],[رمز شريك الأعمال]],'SAP Customer Data'!$B:$B,0),CELL("col",Table_Customer_Data[[#Headers],[LicTradNum]]))</f>
        <v>0</v>
      </c>
      <c r="O27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7" s="30" t="s">
        <v>856</v>
      </c>
      <c r="Q27" s="31"/>
      <c r="R27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" s="30" t="s">
        <v>854</v>
      </c>
      <c r="T27" s="32">
        <v>50000</v>
      </c>
      <c r="U27" s="33"/>
      <c r="V27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27" s="30" cm="1">
        <f t="array" aca="1" ref="X27" ca="1">INDEX('SAP Customer Data'!$A:$AC,MATCH(بيانات_العملاء[[#This Row],[رمز شريك الأعمال]],'SAP Customer Data'!$B:$B,0),CELL("col",Table_Customer_Data[[#Headers],[CreditLine]]))</f>
        <v>50000</v>
      </c>
      <c r="Y2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27" s="30" t="s">
        <v>859</v>
      </c>
      <c r="AA2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7" s="30" t="s">
        <v>856</v>
      </c>
      <c r="AC27" s="30"/>
      <c r="AD27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" s="30" t="s">
        <v>856</v>
      </c>
      <c r="AF27" s="30"/>
      <c r="AG27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" s="30" t="s">
        <v>856</v>
      </c>
      <c r="AI27" s="30"/>
      <c r="AJ27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" s="30"/>
      <c r="AL27" s="31"/>
      <c r="AM27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" s="30" t="s">
        <v>856</v>
      </c>
      <c r="AO27" s="33"/>
      <c r="AP27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" s="30" t="s">
        <v>856</v>
      </c>
      <c r="AR27" s="30"/>
      <c r="AS27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" s="33" cm="1">
        <f t="array" aca="1" ref="AT27" ca="1">INDEX('SAP Customer Data'!A:Z,MATCH(بيانات_العملاء[[#This Row],[رمز شريك الأعمال]],'SAP Customer Data'!B:B,0),CELL("col",Table_Customer_Data[[#Headers],[CreateDate]]))</f>
        <v>43587</v>
      </c>
      <c r="AU27" s="30"/>
      <c r="AV27" s="33" t="s">
        <v>2267</v>
      </c>
      <c r="AW27" s="30" t="s">
        <v>2097</v>
      </c>
      <c r="AX27" s="30"/>
    </row>
    <row r="28" spans="1:50" x14ac:dyDescent="0.25">
      <c r="A28" s="36" t="str" cm="1">
        <f t="array" aca="1" ref="A28" ca="1">INDEX('SAP Customer Data'!$A:$AC,MATCH(بيانات_العملاء[[#This Row],[رمز شريك الأعمال]],'SAP Customer Data'!$B:$B,0),CELL("col",Table_Customer_Data[[#Headers],[GroupName]]))</f>
        <v>CS01</v>
      </c>
      <c r="B28" s="42" t="s">
        <v>526</v>
      </c>
      <c r="C28" s="37" t="str" cm="1">
        <f t="array" aca="1" ref="C28" ca="1">INDEX('SAP Customer Data'!$A:$AC,MATCH(بيانات_العملاء[[#This Row],[رمز شريك الأعمال]],'SAP Customer Data'!$B:$B,0),CELL("col",Table_Customer_Data[[#Headers],[CardName]]))</f>
        <v>اضواء ساجر (نقدي)</v>
      </c>
      <c r="D28" s="37" t="str">
        <f ca="1">IF(بيانات_العملاء[[#This Row],[حد الائتمان على SAP]]&gt;0,"آجل","نقدى")</f>
        <v>نقدى</v>
      </c>
      <c r="E28" s="37"/>
      <c r="F28" s="37" t="s">
        <v>1082</v>
      </c>
      <c r="G28" s="37" t="s">
        <v>856</v>
      </c>
      <c r="H2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8" s="37" t="s">
        <v>856</v>
      </c>
      <c r="J28" s="38"/>
      <c r="K28" s="37"/>
      <c r="L28" s="37" t="str">
        <f ca="1">IF(AND(بيانات_العملاء[[#This Row],[السجل التجارى]]="موجود",TODAY()+'Other Data'!$B$23&lt;J28,بيانات_العملاء[[#This Row],[مطابقة اسم العميل بالاسم بالسجل التجارى]]="مطابق"), "سارى", "يجب اعادة طلبه")</f>
        <v>يجب اعادة طلبه</v>
      </c>
      <c r="M28" s="37" t="s">
        <v>856</v>
      </c>
      <c r="N28" s="39" cm="1">
        <f t="array" aca="1" ref="N28" ca="1">INDEX('SAP Customer Data'!$A:$AC,MATCH(بيانات_العملاء[[#This Row],[رمز شريك الأعمال]],'SAP Customer Data'!$B:$B,0),CELL("col",Table_Customer_Data[[#Headers],[LicTradNum]]))</f>
        <v>0</v>
      </c>
      <c r="O2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8" s="37" t="s">
        <v>856</v>
      </c>
      <c r="Q28" s="38"/>
      <c r="R2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" s="37" t="s">
        <v>1080</v>
      </c>
      <c r="T28" s="40"/>
      <c r="U28" s="41"/>
      <c r="V2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8" s="37" cm="1">
        <f t="array" aca="1" ref="X28" ca="1">INDEX('SAP Customer Data'!$A:$AC,MATCH(بيانات_العملاء[[#This Row],[رمز شريك الأعمال]],'SAP Customer Data'!$B:$B,0),CELL("col",Table_Customer_Data[[#Headers],[CreditLine]]))</f>
        <v>0</v>
      </c>
      <c r="Y2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8" s="37"/>
      <c r="AA2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8" s="37" t="s">
        <v>856</v>
      </c>
      <c r="AC28" s="37"/>
      <c r="AD2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" s="37" t="s">
        <v>856</v>
      </c>
      <c r="AF28" s="37"/>
      <c r="AG2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" s="37" t="s">
        <v>856</v>
      </c>
      <c r="AI28" s="37"/>
      <c r="AJ2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" s="37"/>
      <c r="AL28" s="38"/>
      <c r="AM2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" s="37" t="s">
        <v>856</v>
      </c>
      <c r="AO28" s="41"/>
      <c r="AP2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" s="37" t="s">
        <v>856</v>
      </c>
      <c r="AR28" s="37"/>
      <c r="AS2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" s="41" cm="1">
        <f t="array" aca="1" ref="AT28" ca="1">INDEX('SAP Customer Data'!A:Z,MATCH(بيانات_العملاء[[#This Row],[رمز شريك الأعمال]],'SAP Customer Data'!B:B,0),CELL("col",Table_Customer_Data[[#Headers],[CreateDate]]))</f>
        <v>43643</v>
      </c>
      <c r="AU28" s="37"/>
      <c r="AV28" s="41"/>
      <c r="AW28" s="37" t="s">
        <v>2097</v>
      </c>
      <c r="AX28" s="37"/>
    </row>
    <row r="29" spans="1:50" x14ac:dyDescent="0.25">
      <c r="A29" s="36" t="str" cm="1">
        <f t="array" aca="1" ref="A29" ca="1">INDEX('SAP Customer Data'!$A:$AC,MATCH(بيانات_العملاء[[#This Row],[رمز شريك الأعمال]],'SAP Customer Data'!$B:$B,0),CELL("col",Table_Customer_Data[[#Headers],[GroupName]]))</f>
        <v>CS01</v>
      </c>
      <c r="B29" s="42" t="s">
        <v>534</v>
      </c>
      <c r="C29" s="37" t="str" cm="1">
        <f t="array" aca="1" ref="C29" ca="1">INDEX('SAP Customer Data'!$A:$AC,MATCH(بيانات_العملاء[[#This Row],[رمز شريك الأعمال]],'SAP Customer Data'!$B:$B,0),CELL("col",Table_Customer_Data[[#Headers],[CardName]]))</f>
        <v>شركة السيف - ساجر - نقدى</v>
      </c>
      <c r="D29" s="37" t="str">
        <f ca="1">IF(بيانات_العملاء[[#This Row],[حد الائتمان على SAP]]&gt;0,"آجل","نقدى")</f>
        <v>نقدى</v>
      </c>
      <c r="E29" s="37"/>
      <c r="F29" s="37" t="s">
        <v>1082</v>
      </c>
      <c r="G29" s="37" t="s">
        <v>856</v>
      </c>
      <c r="H2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9" s="37" t="s">
        <v>856</v>
      </c>
      <c r="J29" s="38"/>
      <c r="K29" s="37"/>
      <c r="L29" s="37" t="str">
        <f ca="1">IF(AND(بيانات_العملاء[[#This Row],[السجل التجارى]]="موجود",TODAY()+'Other Data'!$B$23&lt;J29,بيانات_العملاء[[#This Row],[مطابقة اسم العميل بالاسم بالسجل التجارى]]="مطابق"), "سارى", "يجب اعادة طلبه")</f>
        <v>يجب اعادة طلبه</v>
      </c>
      <c r="M29" s="37" t="s">
        <v>856</v>
      </c>
      <c r="N29" s="39" cm="1">
        <f t="array" aca="1" ref="N29" ca="1">INDEX('SAP Customer Data'!$A:$AC,MATCH(بيانات_العملاء[[#This Row],[رمز شريك الأعمال]],'SAP Customer Data'!$B:$B,0),CELL("col",Table_Customer_Data[[#Headers],[LicTradNum]]))</f>
        <v>0</v>
      </c>
      <c r="O2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9" s="37" t="s">
        <v>856</v>
      </c>
      <c r="Q29" s="38"/>
      <c r="R2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" s="37" t="s">
        <v>1080</v>
      </c>
      <c r="T29" s="40"/>
      <c r="U29" s="41"/>
      <c r="V2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9" s="37" cm="1">
        <f t="array" aca="1" ref="X29" ca="1">INDEX('SAP Customer Data'!$A:$AC,MATCH(بيانات_العملاء[[#This Row],[رمز شريك الأعمال]],'SAP Customer Data'!$B:$B,0),CELL("col",Table_Customer_Data[[#Headers],[CreditLine]]))</f>
        <v>0</v>
      </c>
      <c r="Y2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" s="37"/>
      <c r="AA2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9" s="37" t="s">
        <v>856</v>
      </c>
      <c r="AC29" s="37"/>
      <c r="AD2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9" s="37" t="s">
        <v>856</v>
      </c>
      <c r="AF29" s="37"/>
      <c r="AG2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" s="37" t="s">
        <v>856</v>
      </c>
      <c r="AI29" s="37"/>
      <c r="AJ2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" s="37"/>
      <c r="AL29" s="38"/>
      <c r="AM2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" s="37" t="s">
        <v>856</v>
      </c>
      <c r="AO29" s="41"/>
      <c r="AP2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" s="37" t="s">
        <v>856</v>
      </c>
      <c r="AR29" s="37"/>
      <c r="AS2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" s="41" cm="1">
        <f t="array" aca="1" ref="AT29" ca="1">INDEX('SAP Customer Data'!A:Z,MATCH(بيانات_العملاء[[#This Row],[رمز شريك الأعمال]],'SAP Customer Data'!B:B,0),CELL("col",Table_Customer_Data[[#Headers],[CreateDate]]))</f>
        <v>43643</v>
      </c>
      <c r="AU29" s="37"/>
      <c r="AV29" s="41"/>
      <c r="AW29" s="37" t="s">
        <v>2097</v>
      </c>
      <c r="AX29" s="37"/>
    </row>
    <row r="30" spans="1:50" s="71" customFormat="1" x14ac:dyDescent="0.25">
      <c r="A30" s="36" t="str" cm="1">
        <f t="array" aca="1" ref="A30" ca="1">INDEX('SAP Customer Data'!$A:$AC,MATCH(بيانات_العملاء[[#This Row],[رمز شريك الأعمال]],'SAP Customer Data'!$B:$B,0),CELL("col",Table_Customer_Data[[#Headers],[GroupName]]))</f>
        <v>CS01</v>
      </c>
      <c r="B30" s="35" t="s">
        <v>532</v>
      </c>
      <c r="C30" s="37" t="str" cm="1">
        <f t="array" aca="1" ref="C30" ca="1">INDEX('SAP Customer Data'!$A:$AC,MATCH(بيانات_العملاء[[#This Row],[رمز شريك الأعمال]],'SAP Customer Data'!$B:$B,0),CELL("col",Table_Customer_Data[[#Headers],[CardName]]))</f>
        <v>مؤسسة تسويق البناء - شقراء</v>
      </c>
      <c r="D30" s="37" t="str">
        <f ca="1">IF(بيانات_العملاء[[#This Row],[حد الائتمان على SAP]]&gt;0,"آجل","نقدى")</f>
        <v>آجل</v>
      </c>
      <c r="E30" s="37"/>
      <c r="F30" s="37" t="s">
        <v>997</v>
      </c>
      <c r="G30" s="37" t="s">
        <v>854</v>
      </c>
      <c r="H3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0" s="37" t="s">
        <v>854</v>
      </c>
      <c r="J30" s="38">
        <v>44693</v>
      </c>
      <c r="K30" s="37" t="s">
        <v>859</v>
      </c>
      <c r="L30" s="37" t="str">
        <f ca="1">IF(AND(بيانات_العملاء[[#This Row],[السجل التجارى]]="موجود",TODAY()+'Other Data'!$B$23&lt;J30,بيانات_العملاء[[#This Row],[مطابقة اسم العميل بالاسم بالسجل التجارى]]="مطابق"), "سارى", "يجب اعادة طلبه")</f>
        <v>يجب اعادة طلبه</v>
      </c>
      <c r="M30" s="37" t="s">
        <v>854</v>
      </c>
      <c r="N30" s="39" t="str" cm="1">
        <f t="array" aca="1" ref="N30" ca="1">INDEX('SAP Customer Data'!$A:$AC,MATCH(بيانات_العملاء[[#This Row],[رمز شريك الأعمال]],'SAP Customer Data'!$B:$B,0),CELL("col",Table_Customer_Data[[#Headers],[LicTradNum]]))</f>
        <v>310306606400003</v>
      </c>
      <c r="O3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0" s="37" t="s">
        <v>856</v>
      </c>
      <c r="Q30" s="38"/>
      <c r="R3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" s="37" t="s">
        <v>1075</v>
      </c>
      <c r="T30" s="40">
        <v>10000</v>
      </c>
      <c r="U30" s="41"/>
      <c r="V3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10000</v>
      </c>
      <c r="X30" s="37" cm="1">
        <f t="array" aca="1" ref="X30" ca="1">INDEX('SAP Customer Data'!$A:$AC,MATCH(بيانات_العملاء[[#This Row],[رمز شريك الأعمال]],'SAP Customer Data'!$B:$B,0),CELL("col",Table_Customer_Data[[#Headers],[CreditLine]]))</f>
        <v>10000</v>
      </c>
      <c r="Y3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" s="37"/>
      <c r="AA3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0" s="37" t="s">
        <v>856</v>
      </c>
      <c r="AC30" s="37"/>
      <c r="AD3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" s="37" t="s">
        <v>856</v>
      </c>
      <c r="AF30" s="37"/>
      <c r="AG3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" s="37" t="s">
        <v>856</v>
      </c>
      <c r="AI30" s="37"/>
      <c r="AJ3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" s="37" t="s">
        <v>856</v>
      </c>
      <c r="AL30" s="38"/>
      <c r="AM3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" s="37" t="s">
        <v>856</v>
      </c>
      <c r="AO30" s="41"/>
      <c r="AP3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" s="37" t="s">
        <v>856</v>
      </c>
      <c r="AR30" s="37"/>
      <c r="AS3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" s="41" cm="1">
        <f t="array" aca="1" ref="AT30" ca="1">INDEX('SAP Customer Data'!A:Z,MATCH(بيانات_العملاء[[#This Row],[رمز شريك الأعمال]],'SAP Customer Data'!B:B,0),CELL("col",Table_Customer_Data[[#Headers],[CreateDate]]))</f>
        <v>43589</v>
      </c>
      <c r="AU30" s="37"/>
      <c r="AV30" s="41"/>
      <c r="AW30" s="37" t="s">
        <v>2096</v>
      </c>
      <c r="AX30" s="37"/>
    </row>
    <row r="31" spans="1:50" s="71" customFormat="1" x14ac:dyDescent="0.25">
      <c r="A31" s="36" t="str" cm="1">
        <f t="array" aca="1" ref="A31" ca="1">INDEX('SAP Customer Data'!$A:$AC,MATCH(بيانات_العملاء[[#This Row],[رمز شريك الأعمال]],'SAP Customer Data'!$B:$B,0),CELL("col",Table_Customer_Data[[#Headers],[GroupName]]))</f>
        <v>CS01</v>
      </c>
      <c r="B31" s="35" t="s">
        <v>397</v>
      </c>
      <c r="C31" s="37" t="str" cm="1">
        <f t="array" aca="1" ref="C31" ca="1">INDEX('SAP Customer Data'!$A:$AC,MATCH(بيانات_العملاء[[#This Row],[رمز شريك الأعمال]],'SAP Customer Data'!$B:$B,0),CELL("col",Table_Customer_Data[[#Headers],[CardName]]))</f>
        <v>محل فانوس عنيزة للتجارة</v>
      </c>
      <c r="D31" s="37" t="str">
        <f ca="1">IF(بيانات_العملاء[[#This Row],[حد الائتمان على SAP]]&gt;0,"آجل","نقدى")</f>
        <v>آجل</v>
      </c>
      <c r="E31" s="37" t="s">
        <v>903</v>
      </c>
      <c r="F31" s="37" t="s">
        <v>1081</v>
      </c>
      <c r="G31" s="37" t="s">
        <v>854</v>
      </c>
      <c r="H3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1" s="37" t="s">
        <v>854</v>
      </c>
      <c r="J31" s="38">
        <v>43925</v>
      </c>
      <c r="K31" s="37" t="s">
        <v>855</v>
      </c>
      <c r="L31" s="37" t="str">
        <f ca="1">IF(AND(بيانات_العملاء[[#This Row],[السجل التجارى]]="موجود",TODAY()+'Other Data'!$B$23&lt;J31,بيانات_العملاء[[#This Row],[مطابقة اسم العميل بالاسم بالسجل التجارى]]="مطابق"), "سارى", "يجب اعادة طلبه")</f>
        <v>يجب اعادة طلبه</v>
      </c>
      <c r="M31" s="37" t="s">
        <v>856</v>
      </c>
      <c r="N31" s="39" t="str" cm="1">
        <f t="array" aca="1" ref="N31" ca="1">INDEX('SAP Customer Data'!$A:$AC,MATCH(بيانات_العملاء[[#This Row],[رمز شريك الأعمال]],'SAP Customer Data'!$B:$B,0),CELL("col",Table_Customer_Data[[#Headers],[LicTradNum]]))</f>
        <v>310538648800003</v>
      </c>
      <c r="O3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1" s="37" t="s">
        <v>856</v>
      </c>
      <c r="Q31" s="38"/>
      <c r="R3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" s="37" t="s">
        <v>1075</v>
      </c>
      <c r="T31" s="40">
        <v>10000</v>
      </c>
      <c r="U31" s="41"/>
      <c r="V3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10000</v>
      </c>
      <c r="X31" s="37" cm="1">
        <f t="array" aca="1" ref="X31" ca="1">INDEX('SAP Customer Data'!$A:$AC,MATCH(بيانات_العملاء[[#This Row],[رمز شريك الأعمال]],'SAP Customer Data'!$B:$B,0),CELL("col",Table_Customer_Data[[#Headers],[CreditLine]]))</f>
        <v>10000</v>
      </c>
      <c r="Y3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" s="37"/>
      <c r="AA3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1" s="37" t="s">
        <v>856</v>
      </c>
      <c r="AC31" s="37"/>
      <c r="AD3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" s="37" t="s">
        <v>856</v>
      </c>
      <c r="AF31" s="37"/>
      <c r="AG3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" s="37" t="s">
        <v>856</v>
      </c>
      <c r="AI31" s="37"/>
      <c r="AJ3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" s="37" t="s">
        <v>856</v>
      </c>
      <c r="AL31" s="38"/>
      <c r="AM3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" s="37" t="s">
        <v>856</v>
      </c>
      <c r="AO31" s="41"/>
      <c r="AP3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" s="37" t="s">
        <v>856</v>
      </c>
      <c r="AR31" s="37"/>
      <c r="AS3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" s="41" cm="1">
        <f t="array" aca="1" ref="AT31" ca="1">INDEX('SAP Customer Data'!A:Z,MATCH(بيانات_العملاء[[#This Row],[رمز شريك الأعمال]],'SAP Customer Data'!B:B,0),CELL("col",Table_Customer_Data[[#Headers],[CreateDate]]))</f>
        <v>43916</v>
      </c>
      <c r="AU31" s="37"/>
      <c r="AV31" s="41" t="s">
        <v>920</v>
      </c>
      <c r="AW31" s="37" t="s">
        <v>2096</v>
      </c>
      <c r="AX31" s="37"/>
    </row>
    <row r="32" spans="1:50" x14ac:dyDescent="0.25">
      <c r="A32" s="48" t="str" cm="1">
        <f t="array" aca="1" ref="A32" ca="1">INDEX('SAP Customer Data'!$A:$AC,MATCH(بيانات_العملاء[[#This Row],[رمز شريك الأعمال]],'SAP Customer Data'!$B:$B,0),CELL("col",Table_Customer_Data[[#Headers],[GroupName]]))</f>
        <v>CS01</v>
      </c>
      <c r="B32" s="29" t="s">
        <v>578</v>
      </c>
      <c r="C32" s="30" t="str" cm="1">
        <f t="array" aca="1" ref="C32" ca="1">INDEX('SAP Customer Data'!$A:$AC,MATCH(بيانات_العملاء[[#This Row],[رمز شريك الأعمال]],'SAP Customer Data'!$B:$B,0),CELL("col",Table_Customer_Data[[#Headers],[CardName]]))</f>
        <v>مؤسسة سطوع للتجارة</v>
      </c>
      <c r="D32" s="30" t="str">
        <f ca="1">IF(بيانات_العملاء[[#This Row],[حد الائتمان على SAP]]&gt;0,"آجل","نقدى")</f>
        <v>آجل</v>
      </c>
      <c r="E32" s="30"/>
      <c r="F32" s="30" t="s">
        <v>1082</v>
      </c>
      <c r="G32" s="30" t="s">
        <v>854</v>
      </c>
      <c r="H32" s="30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2" s="30" t="s">
        <v>856</v>
      </c>
      <c r="J32" s="31"/>
      <c r="K32" s="30"/>
      <c r="L32" s="30" t="str">
        <f ca="1">IF(AND(بيانات_العملاء[[#This Row],[السجل التجارى]]="موجود",TODAY()+'Other Data'!$B$23&lt;J32,بيانات_العملاء[[#This Row],[مطابقة اسم العميل بالاسم بالسجل التجارى]]="مطابق"), "سارى", "يجب اعادة طلبه")</f>
        <v>يجب اعادة طلبه</v>
      </c>
      <c r="M32" s="30" t="s">
        <v>856</v>
      </c>
      <c r="N32" s="49" t="str" cm="1">
        <f t="array" aca="1" ref="N32" ca="1">INDEX('SAP Customer Data'!$A:$AC,MATCH(بيانات_العملاء[[#This Row],[رمز شريك الأعمال]],'SAP Customer Data'!$B:$B,0),CELL("col",Table_Customer_Data[[#Headers],[LicTradNum]]))</f>
        <v/>
      </c>
      <c r="O32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2" s="30" t="s">
        <v>854</v>
      </c>
      <c r="Q32" s="31">
        <v>44568</v>
      </c>
      <c r="R32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" s="30" t="s">
        <v>856</v>
      </c>
      <c r="T32" s="32"/>
      <c r="U32" s="33"/>
      <c r="V32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2" s="30" cm="1">
        <f t="array" aca="1" ref="X32" ca="1">INDEX('SAP Customer Data'!$A:$AC,MATCH(بيانات_العملاء[[#This Row],[رمز شريك الأعمال]],'SAP Customer Data'!$B:$B,0),CELL("col",Table_Customer_Data[[#Headers],[CreditLine]]))</f>
        <v>40000</v>
      </c>
      <c r="Y3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32" s="37"/>
      <c r="AA3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2" s="30" t="s">
        <v>856</v>
      </c>
      <c r="AC32" s="33"/>
      <c r="AD32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" s="30" t="s">
        <v>856</v>
      </c>
      <c r="AF32" s="30"/>
      <c r="AG32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" s="30" t="s">
        <v>856</v>
      </c>
      <c r="AI32" s="30"/>
      <c r="AJ32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" s="30" t="s">
        <v>856</v>
      </c>
      <c r="AL32" s="31"/>
      <c r="AM32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" s="30" t="s">
        <v>856</v>
      </c>
      <c r="AO32" s="33"/>
      <c r="AP32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" s="30" t="s">
        <v>856</v>
      </c>
      <c r="AR32" s="30"/>
      <c r="AS32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" s="33" cm="1">
        <f t="array" aca="1" ref="AT32" ca="1">INDEX('SAP Customer Data'!A:Z,MATCH(بيانات_العملاء[[#This Row],[رمز شريك الأعمال]],'SAP Customer Data'!B:B,0),CELL("col",Table_Customer_Data[[#Headers],[CreateDate]]))</f>
        <v>44178</v>
      </c>
      <c r="AU32" s="30"/>
      <c r="AV32" s="33" t="s">
        <v>920</v>
      </c>
      <c r="AW32" s="30" t="s">
        <v>2097</v>
      </c>
      <c r="AX32" s="30"/>
    </row>
    <row r="33" spans="1:50" x14ac:dyDescent="0.25">
      <c r="A33" s="36" t="str" cm="1">
        <f t="array" aca="1" ref="A33" ca="1">INDEX('SAP Customer Data'!$A:$AC,MATCH(بيانات_العملاء[[#This Row],[رمز شريك الأعمال]],'SAP Customer Data'!$B:$B,0),CELL("col",Table_Customer_Data[[#Headers],[GroupName]]))</f>
        <v>CS01</v>
      </c>
      <c r="B33" s="78" t="s">
        <v>524</v>
      </c>
      <c r="C33" s="37" t="str" cm="1">
        <f t="array" aca="1" ref="C33" ca="1">INDEX('SAP Customer Data'!$A:$AC,MATCH(بيانات_العملاء[[#This Row],[رمز شريك الأعمال]],'SAP Customer Data'!$B:$B,0),CELL("col",Table_Customer_Data[[#Headers],[CardName]]))</f>
        <v>تناء الانارة - المجمعة</v>
      </c>
      <c r="D33" s="37" t="str">
        <f ca="1">IF(بيانات_العملاء[[#This Row],[حد الائتمان على SAP]]&gt;0,"آجل","نقدى")</f>
        <v>آجل</v>
      </c>
      <c r="E33" s="37" t="s">
        <v>1520</v>
      </c>
      <c r="F33" s="37" t="s">
        <v>1081</v>
      </c>
      <c r="G33" s="37" t="s">
        <v>854</v>
      </c>
      <c r="H3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3" s="37" t="s">
        <v>854</v>
      </c>
      <c r="J33" s="38">
        <v>43662</v>
      </c>
      <c r="K33" s="37" t="s">
        <v>859</v>
      </c>
      <c r="L33" s="37" t="str">
        <f ca="1">IF(AND(بيانات_العملاء[[#This Row],[السجل التجارى]]="موجود",TODAY()+'Other Data'!$B$23&lt;J33,بيانات_العملاء[[#This Row],[مطابقة اسم العميل بالاسم بالسجل التجارى]]="مطابق"), "سارى", "يجب اعادة طلبه")</f>
        <v>يجب اعادة طلبه</v>
      </c>
      <c r="M33" s="37" t="s">
        <v>856</v>
      </c>
      <c r="N33" s="39" t="str" cm="1">
        <f t="array" aca="1" ref="N33" ca="1">INDEX('SAP Customer Data'!$A:$AC,MATCH(بيانات_العملاء[[#This Row],[رمز شريك الأعمال]],'SAP Customer Data'!$B:$B,0),CELL("col",Table_Customer_Data[[#Headers],[LicTradNum]]))</f>
        <v>300063564200003</v>
      </c>
      <c r="O3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3" s="37" t="s">
        <v>856</v>
      </c>
      <c r="Q33" s="38"/>
      <c r="R3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" s="37" t="s">
        <v>854</v>
      </c>
      <c r="T33" s="40">
        <v>35000</v>
      </c>
      <c r="U33" s="41"/>
      <c r="V3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28000</v>
      </c>
      <c r="X33" s="37" cm="1">
        <f t="array" aca="1" ref="X33" ca="1">INDEX('SAP Customer Data'!$A:$AC,MATCH(بيانات_العملاء[[#This Row],[رمز شريك الأعمال]],'SAP Customer Data'!$B:$B,0),CELL("col",Table_Customer_Data[[#Headers],[CreditLine]]))</f>
        <v>28000</v>
      </c>
      <c r="Y3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" s="37" t="s">
        <v>855</v>
      </c>
      <c r="AA3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3" s="37" t="s">
        <v>856</v>
      </c>
      <c r="AC33" s="37"/>
      <c r="AD3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" s="37" t="s">
        <v>856</v>
      </c>
      <c r="AF33" s="37"/>
      <c r="AG3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" s="37" t="s">
        <v>856</v>
      </c>
      <c r="AI33" s="37"/>
      <c r="AJ3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" s="37" t="s">
        <v>856</v>
      </c>
      <c r="AL33" s="38"/>
      <c r="AM3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" s="37" t="s">
        <v>856</v>
      </c>
      <c r="AO33" s="41"/>
      <c r="AP3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" s="37" t="s">
        <v>856</v>
      </c>
      <c r="AR33" s="37"/>
      <c r="AS3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" s="41" cm="1">
        <f t="array" aca="1" ref="AT33" ca="1">INDEX('SAP Customer Data'!A:Z,MATCH(بيانات_العملاء[[#This Row],[رمز شريك الأعمال]],'SAP Customer Data'!B:B,0),CELL("col",Table_Customer_Data[[#Headers],[CreateDate]]))</f>
        <v>43589</v>
      </c>
      <c r="AU33" s="37"/>
      <c r="AV33" s="41" t="s">
        <v>897</v>
      </c>
      <c r="AW33" s="37" t="s">
        <v>2097</v>
      </c>
      <c r="AX33" s="37"/>
    </row>
    <row r="34" spans="1:50" x14ac:dyDescent="0.25">
      <c r="A34" s="36" t="str" cm="1">
        <f t="array" aca="1" ref="A34" ca="1">INDEX('SAP Customer Data'!$A:$AC,MATCH(بيانات_العملاء[[#This Row],[رمز شريك الأعمال]],'SAP Customer Data'!$B:$B,0),CELL("col",Table_Customer_Data[[#Headers],[GroupName]]))</f>
        <v>CS01</v>
      </c>
      <c r="B34" s="78" t="s">
        <v>217</v>
      </c>
      <c r="C34" s="37" t="str" cm="1">
        <f t="array" aca="1" ref="C34" ca="1">INDEX('SAP Customer Data'!$A:$AC,MATCH(بيانات_العملاء[[#This Row],[رمز شريك الأعمال]],'SAP Customer Data'!$B:$B,0),CELL("col",Table_Customer_Data[[#Headers],[CardName]]))</f>
        <v>مؤسسة دار سجوف التجارية</v>
      </c>
      <c r="D34" s="37" t="str">
        <f ca="1">IF(بيانات_العملاء[[#This Row],[حد الائتمان على SAP]]&gt;0,"آجل","نقدى")</f>
        <v>آجل</v>
      </c>
      <c r="E34" s="37"/>
      <c r="F34" s="37" t="s">
        <v>1082</v>
      </c>
      <c r="G34" s="37" t="s">
        <v>854</v>
      </c>
      <c r="H3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4" s="37" t="s">
        <v>856</v>
      </c>
      <c r="J34" s="38"/>
      <c r="K34" s="37"/>
      <c r="L34" s="37" t="str">
        <f ca="1">IF(AND(بيانات_العملاء[[#This Row],[السجل التجارى]]="موجود",TODAY()+'Other Data'!$B$23&lt;J34,بيانات_العملاء[[#This Row],[مطابقة اسم العميل بالاسم بالسجل التجارى]]="مطابق"), "سارى", "يجب اعادة طلبه")</f>
        <v>يجب اعادة طلبه</v>
      </c>
      <c r="M34" s="37" t="s">
        <v>856</v>
      </c>
      <c r="N34" s="39" t="str" cm="1">
        <f t="array" aca="1" ref="N34" ca="1">INDEX('SAP Customer Data'!$A:$AC,MATCH(بيانات_العملاء[[#This Row],[رمز شريك الأعمال]],'SAP Customer Data'!$B:$B,0),CELL("col",Table_Customer_Data[[#Headers],[LicTradNum]]))</f>
        <v>300425967400003</v>
      </c>
      <c r="O3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4" s="37" t="s">
        <v>856</v>
      </c>
      <c r="Q34" s="38"/>
      <c r="R3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" s="37" t="s">
        <v>854</v>
      </c>
      <c r="T34" s="40">
        <v>20000</v>
      </c>
      <c r="U34" s="41"/>
      <c r="V3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34" s="37" cm="1">
        <f t="array" aca="1" ref="X34" ca="1">INDEX('SAP Customer Data'!$A:$AC,MATCH(بيانات_العملاء[[#This Row],[رمز شريك الأعمال]],'SAP Customer Data'!$B:$B,0),CELL("col",Table_Customer_Data[[#Headers],[CreditLine]]))</f>
        <v>16000</v>
      </c>
      <c r="Y3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" s="37" t="s">
        <v>859</v>
      </c>
      <c r="AA3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4" s="37" t="s">
        <v>856</v>
      </c>
      <c r="AC34" s="37"/>
      <c r="AD3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" s="37" t="s">
        <v>856</v>
      </c>
      <c r="AF34" s="37"/>
      <c r="AG3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" s="37" t="s">
        <v>856</v>
      </c>
      <c r="AI34" s="37"/>
      <c r="AJ3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" s="37"/>
      <c r="AL34" s="38"/>
      <c r="AM3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" s="37" t="s">
        <v>856</v>
      </c>
      <c r="AO34" s="41"/>
      <c r="AP3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" s="37" t="s">
        <v>856</v>
      </c>
      <c r="AR34" s="37"/>
      <c r="AS3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" s="41" cm="1">
        <f t="array" aca="1" ref="AT34" ca="1">INDEX('SAP Customer Data'!A:Z,MATCH(بيانات_العملاء[[#This Row],[رمز شريك الأعمال]],'SAP Customer Data'!B:B,0),CELL("col",Table_Customer_Data[[#Headers],[CreateDate]]))</f>
        <v>43891</v>
      </c>
      <c r="AU34" s="37"/>
      <c r="AV34" s="41"/>
      <c r="AW34" s="37" t="s">
        <v>2097</v>
      </c>
      <c r="AX34" s="37"/>
    </row>
    <row r="35" spans="1:50" x14ac:dyDescent="0.25">
      <c r="A35" s="36" t="str" cm="1">
        <f t="array" aca="1" ref="A35" ca="1">INDEX('SAP Customer Data'!$A:$AC,MATCH(بيانات_العملاء[[#This Row],[رمز شريك الأعمال]],'SAP Customer Data'!$B:$B,0),CELL("col",Table_Customer_Data[[#Headers],[GroupName]]))</f>
        <v>CS01</v>
      </c>
      <c r="B35" s="78" t="s">
        <v>560</v>
      </c>
      <c r="C35" s="37" t="str" cm="1">
        <f t="array" aca="1" ref="C35" ca="1">INDEX('SAP Customer Data'!$A:$AC,MATCH(بيانات_العملاء[[#This Row],[رمز شريك الأعمال]],'SAP Customer Data'!$B:$B,0),CELL("col",Table_Customer_Data[[#Headers],[CardName]]))</f>
        <v>شركة دنيا الخلاطات التجارية</v>
      </c>
      <c r="D35" s="37" t="str">
        <f ca="1">IF(بيانات_العملاء[[#This Row],[حد الائتمان على SAP]]&gt;0,"آجل","نقدى")</f>
        <v>آجل</v>
      </c>
      <c r="E35" s="37"/>
      <c r="F35" s="37" t="s">
        <v>997</v>
      </c>
      <c r="G35" s="37" t="s">
        <v>854</v>
      </c>
      <c r="H3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5" s="37" t="s">
        <v>854</v>
      </c>
      <c r="J35" s="38">
        <v>45314</v>
      </c>
      <c r="K35" s="37" t="s">
        <v>855</v>
      </c>
      <c r="L35" s="37" t="str">
        <f ca="1">IF(AND(بيانات_العملاء[[#This Row],[السجل التجارى]]="موجود",TODAY()+'Other Data'!$B$23&lt;J35,بيانات_العملاء[[#This Row],[مطابقة اسم العميل بالاسم بالسجل التجارى]]="مطابق"), "سارى", "يجب اعادة طلبه")</f>
        <v>سارى</v>
      </c>
      <c r="M35" s="37" t="s">
        <v>856</v>
      </c>
      <c r="N35" s="39" t="str" cm="1">
        <f t="array" aca="1" ref="N35" ca="1">INDEX('SAP Customer Data'!$A:$AC,MATCH(بيانات_العملاء[[#This Row],[رمز شريك الأعمال]],'SAP Customer Data'!$B:$B,0),CELL("col",Table_Customer_Data[[#Headers],[LicTradNum]]))</f>
        <v>300426503100003</v>
      </c>
      <c r="O3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5" s="37" t="s">
        <v>856</v>
      </c>
      <c r="Q35" s="38"/>
      <c r="R3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" s="37" t="s">
        <v>854</v>
      </c>
      <c r="T35" s="40">
        <v>50000</v>
      </c>
      <c r="U35" s="41">
        <v>44087</v>
      </c>
      <c r="V35" s="41">
        <f>IF(بيانات_العملاء[[#This Row],[تاريخ انشاء سند الامر او الاستثناء]]="",0,بيانات_العملاء[[#This Row],[تاريخ انشاء سند الامر او الاستثناء]]+365*3)</f>
        <v>45182</v>
      </c>
      <c r="W3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35" s="37" cm="1">
        <f t="array" aca="1" ref="X35" ca="1">INDEX('SAP Customer Data'!$A:$AC,MATCH(بيانات_العملاء[[#This Row],[رمز شريك الأعمال]],'SAP Customer Data'!$B:$B,0),CELL("col",Table_Customer_Data[[#Headers],[CreditLine]]))</f>
        <v>40000</v>
      </c>
      <c r="Y3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" s="37" t="s">
        <v>855</v>
      </c>
      <c r="AA3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5" s="37" t="s">
        <v>856</v>
      </c>
      <c r="AC35" s="37"/>
      <c r="AD3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" s="37" t="s">
        <v>856</v>
      </c>
      <c r="AF35" s="37"/>
      <c r="AG3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" s="37" t="s">
        <v>856</v>
      </c>
      <c r="AI35" s="37"/>
      <c r="AJ3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" s="37" t="s">
        <v>856</v>
      </c>
      <c r="AL35" s="38"/>
      <c r="AM3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" s="37" t="s">
        <v>856</v>
      </c>
      <c r="AO35" s="41"/>
      <c r="AP3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" s="37" t="s">
        <v>856</v>
      </c>
      <c r="AR35" s="37"/>
      <c r="AS3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" s="41" cm="1">
        <f t="array" aca="1" ref="AT35" ca="1">INDEX('SAP Customer Data'!A:Z,MATCH(بيانات_العملاء[[#This Row],[رمز شريك الأعمال]],'SAP Customer Data'!B:B,0),CELL("col",Table_Customer_Data[[#Headers],[CreateDate]]))</f>
        <v>44088</v>
      </c>
      <c r="AU35" s="37"/>
      <c r="AV35" s="41"/>
      <c r="AW35" s="37" t="s">
        <v>2097</v>
      </c>
      <c r="AX35" s="37"/>
    </row>
    <row r="36" spans="1:50" x14ac:dyDescent="0.25">
      <c r="A36" s="36" t="str" cm="1">
        <f t="array" aca="1" ref="A36" ca="1">INDEX('SAP Customer Data'!$A:$AC,MATCH(بيانات_العملاء[[#This Row],[رمز شريك الأعمال]],'SAP Customer Data'!$B:$B,0),CELL("col",Table_Customer_Data[[#Headers],[GroupName]]))</f>
        <v>CS01</v>
      </c>
      <c r="B36" s="35" t="s">
        <v>544</v>
      </c>
      <c r="C36" s="37" t="str" cm="1">
        <f t="array" aca="1" ref="C36" ca="1">INDEX('SAP Customer Data'!$A:$AC,MATCH(بيانات_العملاء[[#This Row],[رمز شريك الأعمال]],'SAP Customer Data'!$B:$B,0),CELL("col",Table_Customer_Data[[#Headers],[CardName]]))</f>
        <v>شركة حسن عبدالله المهناء وشريكه</v>
      </c>
      <c r="D36" s="37" t="str">
        <f ca="1">IF(بيانات_العملاء[[#This Row],[حد الائتمان على SAP]]&gt;0,"آجل","نقدى")</f>
        <v>آجل</v>
      </c>
      <c r="E36" s="37"/>
      <c r="F36" s="37" t="s">
        <v>1602</v>
      </c>
      <c r="G36" s="37" t="s">
        <v>856</v>
      </c>
      <c r="H3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" s="37" t="s">
        <v>854</v>
      </c>
      <c r="J36" s="38">
        <v>44959</v>
      </c>
      <c r="K36" s="37" t="s">
        <v>855</v>
      </c>
      <c r="L36" s="37" t="str">
        <f ca="1">IF(AND(بيانات_العملاء[[#This Row],[السجل التجارى]]="موجود",TODAY()+'Other Data'!$B$23&lt;J36,بيانات_العملاء[[#This Row],[مطابقة اسم العميل بالاسم بالسجل التجارى]]="مطابق"), "سارى", "يجب اعادة طلبه")</f>
        <v>يجب اعادة طلبه</v>
      </c>
      <c r="M36" s="37" t="s">
        <v>854</v>
      </c>
      <c r="N36" s="39" t="str" cm="1">
        <f t="array" aca="1" ref="N36" ca="1">INDEX('SAP Customer Data'!$A:$AC,MATCH(بيانات_العملاء[[#This Row],[رمز شريك الأعمال]],'SAP Customer Data'!$B:$B,0),CELL("col",Table_Customer_Data[[#Headers],[LicTradNum]]))</f>
        <v>311221420300003</v>
      </c>
      <c r="O3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" s="37" t="s">
        <v>854</v>
      </c>
      <c r="Q36" s="38">
        <v>45885</v>
      </c>
      <c r="R3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36" s="37" t="s">
        <v>1075</v>
      </c>
      <c r="T36" s="40">
        <v>50000</v>
      </c>
      <c r="U36" s="41">
        <v>43747</v>
      </c>
      <c r="V36" s="41">
        <f>IF(بيانات_العملاء[[#This Row],[تاريخ انشاء سند الامر او الاستثناء]]="",0,بيانات_العملاء[[#This Row],[تاريخ انشاء سند الامر او الاستثناء]]+365*3)</f>
        <v>44842</v>
      </c>
      <c r="W3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36" s="37" cm="1">
        <f t="array" aca="1" ref="X36" ca="1">INDEX('SAP Customer Data'!$A:$AC,MATCH(بيانات_العملاء[[#This Row],[رمز شريك الأعمال]],'SAP Customer Data'!$B:$B,0),CELL("col",Table_Customer_Data[[#Headers],[CreditLine]]))</f>
        <v>50000</v>
      </c>
      <c r="Y3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" s="37"/>
      <c r="AA3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" s="37" t="s">
        <v>856</v>
      </c>
      <c r="AC36" s="37"/>
      <c r="AD3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" s="37" t="s">
        <v>856</v>
      </c>
      <c r="AF36" s="37"/>
      <c r="AG3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" s="37" t="s">
        <v>856</v>
      </c>
      <c r="AI36" s="37"/>
      <c r="AJ3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" s="37" t="s">
        <v>856</v>
      </c>
      <c r="AL36" s="38"/>
      <c r="AM3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" s="37" t="s">
        <v>856</v>
      </c>
      <c r="AO36" s="41"/>
      <c r="AP3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" s="37" t="s">
        <v>856</v>
      </c>
      <c r="AR36" s="37"/>
      <c r="AS3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" s="41" cm="1">
        <f t="array" aca="1" ref="AT36" ca="1">INDEX('SAP Customer Data'!A:Z,MATCH(بيانات_العملاء[[#This Row],[رمز شريك الأعمال]],'SAP Customer Data'!B:B,0),CELL("col",Table_Customer_Data[[#Headers],[CreateDate]]))</f>
        <v>43747</v>
      </c>
      <c r="AU36" s="37"/>
      <c r="AV36" s="41" t="s">
        <v>2269</v>
      </c>
      <c r="AW36" s="37" t="s">
        <v>2097</v>
      </c>
      <c r="AX36" s="37"/>
    </row>
    <row r="37" spans="1:50" x14ac:dyDescent="0.25">
      <c r="A37" s="48" t="str" cm="1">
        <f t="array" aca="1" ref="A37" ca="1">INDEX('SAP Customer Data'!$A:$AC,MATCH(بيانات_العملاء[[#This Row],[رمز شريك الأعمال]],'SAP Customer Data'!$B:$B,0),CELL("col",Table_Customer_Data[[#Headers],[GroupName]]))</f>
        <v>CS01</v>
      </c>
      <c r="B37" s="29" t="s">
        <v>377</v>
      </c>
      <c r="C37" s="30" t="str" cm="1">
        <f t="array" aca="1" ref="C37" ca="1">INDEX('SAP Customer Data'!$A:$AC,MATCH(بيانات_العملاء[[#This Row],[رمز شريك الأعمال]],'SAP Customer Data'!$B:$B,0),CELL("col",Table_Customer_Data[[#Headers],[CardName]]))</f>
        <v>مؤسسة محمد عبدالله الصقعوب التجارية</v>
      </c>
      <c r="D37" s="30" t="str">
        <f ca="1">IF(بيانات_العملاء[[#This Row],[حد الائتمان على SAP]]&gt;0,"آجل","نقدى")</f>
        <v>آجل</v>
      </c>
      <c r="E37" s="30" t="s">
        <v>911</v>
      </c>
      <c r="F37" s="30" t="s">
        <v>1081</v>
      </c>
      <c r="G37" s="30" t="s">
        <v>854</v>
      </c>
      <c r="H37" s="30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7" s="30" t="s">
        <v>854</v>
      </c>
      <c r="J37" s="31">
        <v>43839</v>
      </c>
      <c r="K37" s="30" t="s">
        <v>855</v>
      </c>
      <c r="L37" s="30" t="str">
        <f ca="1">IF(AND(بيانات_العملاء[[#This Row],[السجل التجارى]]="موجود",TODAY()+'Other Data'!$B$23&lt;J37,بيانات_العملاء[[#This Row],[مطابقة اسم العميل بالاسم بالسجل التجارى]]="مطابق"), "سارى", "يجب اعادة طلبه")</f>
        <v>يجب اعادة طلبه</v>
      </c>
      <c r="M37" s="30" t="s">
        <v>856</v>
      </c>
      <c r="N37" s="49" t="str" cm="1">
        <f t="array" aca="1" ref="N37" ca="1">INDEX('SAP Customer Data'!$A:$AC,MATCH(بيانات_العملاء[[#This Row],[رمز شريك الأعمال]],'SAP Customer Data'!$B:$B,0),CELL("col",Table_Customer_Data[[#Headers],[LicTradNum]]))</f>
        <v>300451104700003</v>
      </c>
      <c r="O37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7" s="30" t="s">
        <v>856</v>
      </c>
      <c r="Q37" s="31"/>
      <c r="R37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" s="30" t="s">
        <v>856</v>
      </c>
      <c r="T37" s="32"/>
      <c r="U37" s="33"/>
      <c r="V37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" s="30" cm="1">
        <f t="array" aca="1" ref="X37" ca="1">INDEX('SAP Customer Data'!$A:$AC,MATCH(بيانات_العملاء[[#This Row],[رمز شريك الأعمال]],'SAP Customer Data'!$B:$B,0),CELL("col",Table_Customer_Data[[#Headers],[CreditLine]]))</f>
        <v>100000</v>
      </c>
      <c r="Y3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37" s="37"/>
      <c r="AA3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7" s="30" t="s">
        <v>856</v>
      </c>
      <c r="AC37" s="30"/>
      <c r="AD37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" s="30" t="s">
        <v>856</v>
      </c>
      <c r="AF37" s="30"/>
      <c r="AG37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" s="30" t="s">
        <v>856</v>
      </c>
      <c r="AI37" s="30"/>
      <c r="AJ37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" s="30" t="s">
        <v>856</v>
      </c>
      <c r="AL37" s="31"/>
      <c r="AM37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" s="30" t="s">
        <v>856</v>
      </c>
      <c r="AO37" s="33"/>
      <c r="AP37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" s="30" t="s">
        <v>856</v>
      </c>
      <c r="AR37" s="30"/>
      <c r="AS37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" s="33" cm="1">
        <f t="array" aca="1" ref="AT37" ca="1">INDEX('SAP Customer Data'!A:Z,MATCH(بيانات_العملاء[[#This Row],[رمز شريك الأعمال]],'SAP Customer Data'!B:B,0),CELL("col",Table_Customer_Data[[#Headers],[CreateDate]]))</f>
        <v>43782</v>
      </c>
      <c r="AU37" s="30"/>
      <c r="AV37" s="33" t="s">
        <v>920</v>
      </c>
      <c r="AW37" s="30" t="s">
        <v>2097</v>
      </c>
      <c r="AX37" s="30"/>
    </row>
    <row r="38" spans="1:50" x14ac:dyDescent="0.25">
      <c r="A38" s="36" t="str" cm="1">
        <f t="array" aca="1" ref="A38" ca="1">INDEX('SAP Customer Data'!$A:$AC,MATCH(بيانات_العملاء[[#This Row],[رمز شريك الأعمال]],'SAP Customer Data'!$B:$B,0),CELL("col",Table_Customer_Data[[#Headers],[GroupName]]))</f>
        <v>CS01</v>
      </c>
      <c r="B38" s="35" t="s">
        <v>189</v>
      </c>
      <c r="C38" s="37" t="str" cm="1">
        <f t="array" aca="1" ref="C38" ca="1">INDEX('SAP Customer Data'!$A:$AC,MATCH(بيانات_العملاء[[#This Row],[رمز شريك الأعمال]],'SAP Customer Data'!$B:$B,0),CELL("col",Table_Customer_Data[[#Headers],[CardName]]))</f>
        <v>شركة الفهد للتجارة والصناعة والمقاولات-عنيزة-الخزامي-شارع الملك عبدالعزيز</v>
      </c>
      <c r="D38" s="37" t="str">
        <f ca="1">IF(بيانات_العملاء[[#This Row],[حد الائتمان على SAP]]&gt;0,"آجل","نقدى")</f>
        <v>آجل</v>
      </c>
      <c r="E38" s="37"/>
      <c r="F38" s="37" t="s">
        <v>1044</v>
      </c>
      <c r="G38" s="37" t="s">
        <v>854</v>
      </c>
      <c r="H3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8" s="37" t="s">
        <v>854</v>
      </c>
      <c r="J38" s="38">
        <v>44919</v>
      </c>
      <c r="K38" s="37" t="s">
        <v>855</v>
      </c>
      <c r="L38" s="37" t="str">
        <f ca="1">IF(AND(بيانات_العملاء[[#This Row],[السجل التجارى]]="موجود",TODAY()+'Other Data'!$B$23&lt;J38,بيانات_العملاء[[#This Row],[مطابقة اسم العميل بالاسم بالسجل التجارى]]="مطابق"), "سارى", "يجب اعادة طلبه")</f>
        <v>يجب اعادة طلبه</v>
      </c>
      <c r="M38" s="37" t="s">
        <v>854</v>
      </c>
      <c r="N38" s="39" t="str" cm="1">
        <f t="array" aca="1" ref="N38" ca="1">INDEX('SAP Customer Data'!$A:$AC,MATCH(بيانات_العملاء[[#This Row],[رمز شريك الأعمال]],'SAP Customer Data'!$B:$B,0),CELL("col",Table_Customer_Data[[#Headers],[LicTradNum]]))</f>
        <v>300500233800003</v>
      </c>
      <c r="O3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" s="37" t="s">
        <v>856</v>
      </c>
      <c r="Q38" s="38"/>
      <c r="R3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" s="37" t="s">
        <v>1075</v>
      </c>
      <c r="T38" s="40">
        <v>100000</v>
      </c>
      <c r="U38" s="41">
        <v>43701</v>
      </c>
      <c r="V38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3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100000</v>
      </c>
      <c r="X38" s="37" cm="1">
        <f t="array" aca="1" ref="X38" ca="1">INDEX('SAP Customer Data'!$A:$AC,MATCH(بيانات_العملاء[[#This Row],[رمز شريك الأعمال]],'SAP Customer Data'!$B:$B,0),CELL("col",Table_Customer_Data[[#Headers],[CreditLine]]))</f>
        <v>100000</v>
      </c>
      <c r="Y3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" s="37"/>
      <c r="AA3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8" s="37" t="s">
        <v>856</v>
      </c>
      <c r="AC38" s="37"/>
      <c r="AD3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8" s="37" t="s">
        <v>856</v>
      </c>
      <c r="AF38" s="37"/>
      <c r="AG3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" s="37" t="s">
        <v>856</v>
      </c>
      <c r="AI38" s="37"/>
      <c r="AJ3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" s="37"/>
      <c r="AL38" s="38"/>
      <c r="AM3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" s="37" t="s">
        <v>856</v>
      </c>
      <c r="AO38" s="41"/>
      <c r="AP3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" s="37" t="s">
        <v>856</v>
      </c>
      <c r="AR38" s="37"/>
      <c r="AS3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" s="41" cm="1">
        <f t="array" aca="1" ref="AT38" ca="1">INDEX('SAP Customer Data'!A:Z,MATCH(بيانات_العملاء[[#This Row],[رمز شريك الأعمال]],'SAP Customer Data'!B:B,0),CELL("col",Table_Customer_Data[[#Headers],[CreateDate]]))</f>
        <v>43589</v>
      </c>
      <c r="AU38" s="37"/>
      <c r="AV38" s="41"/>
      <c r="AW38" s="37" t="s">
        <v>2097</v>
      </c>
      <c r="AX38" s="37"/>
    </row>
    <row r="39" spans="1:50" x14ac:dyDescent="0.25">
      <c r="A39" s="48" t="str" cm="1">
        <f t="array" aca="1" ref="A39" ca="1">INDEX('SAP Customer Data'!$A:$AC,MATCH(بيانات_العملاء[[#This Row],[رمز شريك الأعمال]],'SAP Customer Data'!$B:$B,0),CELL("col",Table_Customer_Data[[#Headers],[GroupName]]))</f>
        <v>CS01</v>
      </c>
      <c r="B39" s="29" t="s">
        <v>274</v>
      </c>
      <c r="C39" s="30" t="str" cm="1">
        <f t="array" aca="1" ref="C39" ca="1">INDEX('SAP Customer Data'!$A:$AC,MATCH(بيانات_العملاء[[#This Row],[رمز شريك الأعمال]],'SAP Customer Data'!$B:$B,0),CELL("col",Table_Customer_Data[[#Headers],[CardName]]))</f>
        <v>شركة المصباح للتجارة والمقاولات المحدودة</v>
      </c>
      <c r="D39" s="30" t="str">
        <f ca="1">IF(بيانات_العملاء[[#This Row],[حد الائتمان على SAP]]&gt;0,"آجل","نقدى")</f>
        <v>آجل</v>
      </c>
      <c r="E39" s="30"/>
      <c r="F39" s="30" t="s">
        <v>1082</v>
      </c>
      <c r="G39" s="30" t="s">
        <v>854</v>
      </c>
      <c r="H39" s="30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9" s="30" t="s">
        <v>856</v>
      </c>
      <c r="J39" s="31"/>
      <c r="K39" s="30"/>
      <c r="L39" s="30" t="str">
        <f ca="1">IF(AND(بيانات_العملاء[[#This Row],[السجل التجارى]]="موجود",TODAY()+'Other Data'!$B$23&lt;J39,بيانات_العملاء[[#This Row],[مطابقة اسم العميل بالاسم بالسجل التجارى]]="مطابق"), "سارى", "يجب اعادة طلبه")</f>
        <v>يجب اعادة طلبه</v>
      </c>
      <c r="M39" s="30" t="s">
        <v>854</v>
      </c>
      <c r="N39" s="49" t="str" cm="1">
        <f t="array" aca="1" ref="N39" ca="1">INDEX('SAP Customer Data'!$A:$AC,MATCH(بيانات_العملاء[[#This Row],[رمز شريك الأعمال]],'SAP Customer Data'!$B:$B,0),CELL("col",Table_Customer_Data[[#Headers],[LicTradNum]]))</f>
        <v>300537789500003</v>
      </c>
      <c r="O39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" s="30" t="s">
        <v>856</v>
      </c>
      <c r="Q39" s="31"/>
      <c r="R39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" s="30" t="s">
        <v>856</v>
      </c>
      <c r="T39" s="32"/>
      <c r="U39" s="33"/>
      <c r="V39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" s="30" cm="1">
        <f t="array" aca="1" ref="X39" ca="1">INDEX('SAP Customer Data'!$A:$AC,MATCH(بيانات_العملاء[[#This Row],[رمز شريك الأعمال]],'SAP Customer Data'!$B:$B,0),CELL("col",Table_Customer_Data[[#Headers],[CreditLine]]))</f>
        <v>30000</v>
      </c>
      <c r="Y3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39" s="37"/>
      <c r="AA3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9" s="30" t="s">
        <v>856</v>
      </c>
      <c r="AC39" s="30"/>
      <c r="AD39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" s="30" t="s">
        <v>856</v>
      </c>
      <c r="AF39" s="30"/>
      <c r="AG39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" s="30" t="s">
        <v>856</v>
      </c>
      <c r="AI39" s="30"/>
      <c r="AJ39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" s="30"/>
      <c r="AL39" s="31"/>
      <c r="AM39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" s="30" t="s">
        <v>856</v>
      </c>
      <c r="AO39" s="33"/>
      <c r="AP39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" s="30" t="s">
        <v>856</v>
      </c>
      <c r="AR39" s="30"/>
      <c r="AS39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" s="33" cm="1">
        <f t="array" aca="1" ref="AT39" ca="1">INDEX('SAP Customer Data'!A:Z,MATCH(بيانات_العملاء[[#This Row],[رمز شريك الأعمال]],'SAP Customer Data'!B:B,0),CELL("col",Table_Customer_Data[[#Headers],[CreateDate]]))</f>
        <v>44478</v>
      </c>
      <c r="AU39" s="30"/>
      <c r="AV39" s="33" t="s">
        <v>920</v>
      </c>
      <c r="AW39" s="30" t="s">
        <v>2097</v>
      </c>
      <c r="AX39" s="30"/>
    </row>
    <row r="40" spans="1:50" x14ac:dyDescent="0.25">
      <c r="A40" s="36" t="str" cm="1">
        <f t="array" aca="1" ref="A40" ca="1">INDEX('SAP Customer Data'!$A:$AC,MATCH(بيانات_العملاء[[#This Row],[رمز شريك الأعمال]],'SAP Customer Data'!$B:$B,0),CELL("col",Table_Customer_Data[[#Headers],[GroupName]]))</f>
        <v>CS01</v>
      </c>
      <c r="B40" s="35" t="s">
        <v>584</v>
      </c>
      <c r="C40" s="37" t="str" cm="1">
        <f t="array" aca="1" ref="C40" ca="1">INDEX('SAP Customer Data'!$A:$AC,MATCH(بيانات_العملاء[[#This Row],[رمز شريك الأعمال]],'SAP Customer Data'!$B:$B,0),CELL("col",Table_Customer_Data[[#Headers],[CardName]]))</f>
        <v>مؤسسة محمد عثمان المزيرعي-نقدي</v>
      </c>
      <c r="D40" s="37" t="str">
        <f ca="1">IF(بيانات_العملاء[[#This Row],[حد الائتمان على SAP]]&gt;0,"آجل","نقدى")</f>
        <v>نقدى</v>
      </c>
      <c r="E40" s="37" t="s">
        <v>1585</v>
      </c>
      <c r="F40" s="37" t="s">
        <v>1081</v>
      </c>
      <c r="G40" s="37" t="s">
        <v>854</v>
      </c>
      <c r="H4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0" s="37" t="s">
        <v>854</v>
      </c>
      <c r="J40" s="38">
        <v>45925</v>
      </c>
      <c r="K40" s="37" t="s">
        <v>855</v>
      </c>
      <c r="L40" s="37" t="str">
        <f ca="1">IF(AND(بيانات_العملاء[[#This Row],[السجل التجارى]]="موجود",TODAY()+'Other Data'!$B$23&lt;J40,بيانات_العملاء[[#This Row],[مطابقة اسم العميل بالاسم بالسجل التجارى]]="مطابق"), "سارى", "يجب اعادة طلبه")</f>
        <v>سارى</v>
      </c>
      <c r="M40" s="37" t="s">
        <v>856</v>
      </c>
      <c r="N40" s="39" t="str" cm="1">
        <f t="array" aca="1" ref="N40" ca="1">INDEX('SAP Customer Data'!$A:$AC,MATCH(بيانات_العملاء[[#This Row],[رمز شريك الأعمال]],'SAP Customer Data'!$B:$B,0),CELL("col",Table_Customer_Data[[#Headers],[LicTradNum]]))</f>
        <v>300550364200003</v>
      </c>
      <c r="O4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0" s="37" t="s">
        <v>856</v>
      </c>
      <c r="Q40" s="38"/>
      <c r="R4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" s="37" t="s">
        <v>854</v>
      </c>
      <c r="T40" s="40">
        <v>50000</v>
      </c>
      <c r="U40" s="41"/>
      <c r="V4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0" s="37" cm="1">
        <f t="array" aca="1" ref="X40" ca="1">INDEX('SAP Customer Data'!$A:$AC,MATCH(بيانات_العملاء[[#This Row],[رمز شريك الأعمال]],'SAP Customer Data'!$B:$B,0),CELL("col",Table_Customer_Data[[#Headers],[CreditLine]]))</f>
        <v>0</v>
      </c>
      <c r="Y4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40" s="37" t="s">
        <v>855</v>
      </c>
      <c r="AA4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0" s="37" t="s">
        <v>856</v>
      </c>
      <c r="AC40" s="37"/>
      <c r="AD4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" s="37" t="s">
        <v>856</v>
      </c>
      <c r="AF40" s="37"/>
      <c r="AG4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" s="37" t="s">
        <v>856</v>
      </c>
      <c r="AI40" s="37"/>
      <c r="AJ4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" s="37" t="s">
        <v>856</v>
      </c>
      <c r="AL40" s="38"/>
      <c r="AM4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" s="37" t="s">
        <v>856</v>
      </c>
      <c r="AO40" s="41"/>
      <c r="AP4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" s="37" t="s">
        <v>856</v>
      </c>
      <c r="AR40" s="37"/>
      <c r="AS4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" s="41" cm="1">
        <f t="array" aca="1" ref="AT40" ca="1">INDEX('SAP Customer Data'!A:Z,MATCH(بيانات_العملاء[[#This Row],[رمز شريك الأعمال]],'SAP Customer Data'!B:B,0),CELL("col",Table_Customer_Data[[#Headers],[CreateDate]]))</f>
        <v>44475</v>
      </c>
      <c r="AU40" s="37"/>
      <c r="AV40" s="41" t="s">
        <v>1586</v>
      </c>
      <c r="AW40" s="37" t="s">
        <v>2097</v>
      </c>
      <c r="AX40" s="37"/>
    </row>
    <row r="41" spans="1:50" x14ac:dyDescent="0.25">
      <c r="A41" s="36" t="str" cm="1">
        <f t="array" aca="1" ref="A41" ca="1">INDEX('SAP Customer Data'!$A:$AC,MATCH(بيانات_العملاء[[#This Row],[رمز شريك الأعمال]],'SAP Customer Data'!$B:$B,0),CELL("col",Table_Customer_Data[[#Headers],[GroupName]]))</f>
        <v>CS01</v>
      </c>
      <c r="B41" s="78" t="s">
        <v>516</v>
      </c>
      <c r="C41" s="37" t="str" cm="1">
        <f t="array" aca="1" ref="C41" ca="1">INDEX('SAP Customer Data'!$A:$AC,MATCH(بيانات_العملاء[[#This Row],[رمز شريك الأعمال]],'SAP Customer Data'!$B:$B,0),CELL("col",Table_Customer_Data[[#Headers],[CardName]]))</f>
        <v>مؤسسة عبدالعزيز حسن المقبل التجارية - المذنب</v>
      </c>
      <c r="D41" s="37" t="str">
        <f ca="1">IF(بيانات_العملاء[[#This Row],[حد الائتمان على SAP]]&gt;0,"آجل","نقدى")</f>
        <v>آجل</v>
      </c>
      <c r="E41" s="37" t="s">
        <v>883</v>
      </c>
      <c r="F41" s="37" t="s">
        <v>1081</v>
      </c>
      <c r="G41" s="37" t="s">
        <v>856</v>
      </c>
      <c r="H4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" s="37" t="s">
        <v>854</v>
      </c>
      <c r="J41" s="38">
        <v>45633</v>
      </c>
      <c r="K41" s="37" t="s">
        <v>855</v>
      </c>
      <c r="L41" s="37" t="str">
        <f ca="1">IF(AND(بيانات_العملاء[[#This Row],[السجل التجارى]]="موجود",TODAY()+'Other Data'!$B$23&lt;J41,بيانات_العملاء[[#This Row],[مطابقة اسم العميل بالاسم بالسجل التجارى]]="مطابق"), "سارى", "يجب اعادة طلبه")</f>
        <v>سارى</v>
      </c>
      <c r="M41" s="37" t="s">
        <v>854</v>
      </c>
      <c r="N41" s="39" t="str" cm="1">
        <f t="array" aca="1" ref="N41" ca="1">INDEX('SAP Customer Data'!$A:$AC,MATCH(بيانات_العملاء[[#This Row],[رمز شريك الأعمال]],'SAP Customer Data'!$B:$B,0),CELL("col",Table_Customer_Data[[#Headers],[LicTradNum]]))</f>
        <v>300580958400003</v>
      </c>
      <c r="O4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" s="37" t="s">
        <v>854</v>
      </c>
      <c r="Q41" s="38">
        <v>46291</v>
      </c>
      <c r="R4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1" s="37" t="s">
        <v>854</v>
      </c>
      <c r="T41" s="40">
        <v>50000</v>
      </c>
      <c r="U41" s="41"/>
      <c r="V4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1" s="37" cm="1">
        <f t="array" aca="1" ref="X41" ca="1">INDEX('SAP Customer Data'!$A:$AC,MATCH(بيانات_العملاء[[#This Row],[رمز شريك الأعمال]],'SAP Customer Data'!$B:$B,0),CELL("col",Table_Customer_Data[[#Headers],[CreditLine]]))</f>
        <v>40000</v>
      </c>
      <c r="Y4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" s="37" t="s">
        <v>855</v>
      </c>
      <c r="AA4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1" s="37" t="s">
        <v>854</v>
      </c>
      <c r="AC41" s="41">
        <v>50498</v>
      </c>
      <c r="AD4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41" s="37" t="s">
        <v>856</v>
      </c>
      <c r="AF41" s="37"/>
      <c r="AG4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" s="37" t="s">
        <v>856</v>
      </c>
      <c r="AI41" s="37"/>
      <c r="AJ4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" s="37" t="s">
        <v>856</v>
      </c>
      <c r="AL41" s="38"/>
      <c r="AM4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" s="37" t="s">
        <v>854</v>
      </c>
      <c r="AO41" s="41"/>
      <c r="AP4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" s="37" t="s">
        <v>856</v>
      </c>
      <c r="AR41" s="37"/>
      <c r="AS4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" s="41" cm="1">
        <f t="array" aca="1" ref="AT41" ca="1">INDEX('SAP Customer Data'!A:Z,MATCH(بيانات_العملاء[[#This Row],[رمز شريك الأعمال]],'SAP Customer Data'!B:B,0),CELL("col",Table_Customer_Data[[#Headers],[CreateDate]]))</f>
        <v>43589</v>
      </c>
      <c r="AU41" s="37"/>
      <c r="AV41" s="41" t="s">
        <v>1519</v>
      </c>
      <c r="AW41" s="37" t="s">
        <v>2097</v>
      </c>
      <c r="AX41" s="37"/>
    </row>
    <row r="42" spans="1:50" x14ac:dyDescent="0.25">
      <c r="A42" s="36" t="str" cm="1">
        <f t="array" aca="1" ref="A42" ca="1">INDEX('SAP Customer Data'!$A:$AC,MATCH(بيانات_العملاء[[#This Row],[رمز شريك الأعمال]],'SAP Customer Data'!$B:$B,0),CELL("col",Table_Customer_Data[[#Headers],[GroupName]]))</f>
        <v>CS01</v>
      </c>
      <c r="B42" s="35" t="s">
        <v>212</v>
      </c>
      <c r="C42" s="37" t="str" cm="1">
        <f t="array" aca="1" ref="C42" ca="1">INDEX('SAP Customer Data'!$A:$AC,MATCH(بيانات_العملاء[[#This Row],[رمز شريك الأعمال]],'SAP Customer Data'!$B:$B,0),CELL("col",Table_Customer_Data[[#Headers],[CardName]]))</f>
        <v>مؤسسة كهرباء الجمش التجارية</v>
      </c>
      <c r="D42" s="37" t="str">
        <f ca="1">IF(بيانات_العملاء[[#This Row],[حد الائتمان على SAP]]&gt;0,"آجل","نقدى")</f>
        <v>آجل</v>
      </c>
      <c r="E42" s="37" t="s">
        <v>902</v>
      </c>
      <c r="F42" s="37" t="s">
        <v>1081</v>
      </c>
      <c r="G42" s="37" t="s">
        <v>854</v>
      </c>
      <c r="H4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2" s="37" t="s">
        <v>854</v>
      </c>
      <c r="J42" s="38">
        <v>44468</v>
      </c>
      <c r="K42" s="37" t="s">
        <v>855</v>
      </c>
      <c r="L42" s="37" t="str">
        <f ca="1">IF(AND(بيانات_العملاء[[#This Row],[السجل التجارى]]="موجود",TODAY()+'Other Data'!$B$23&lt;J42,بيانات_العملاء[[#This Row],[مطابقة اسم العميل بالاسم بالسجل التجارى]]="مطابق"), "سارى", "يجب اعادة طلبه")</f>
        <v>يجب اعادة طلبه</v>
      </c>
      <c r="M42" s="37" t="s">
        <v>856</v>
      </c>
      <c r="N42" s="39" t="str" cm="1">
        <f t="array" aca="1" ref="N42" ca="1">INDEX('SAP Customer Data'!$A:$AC,MATCH(بيانات_العملاء[[#This Row],[رمز شريك الأعمال]],'SAP Customer Data'!$B:$B,0),CELL("col",Table_Customer_Data[[#Headers],[LicTradNum]]))</f>
        <v>300709279400003</v>
      </c>
      <c r="O4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2" s="37" t="s">
        <v>856</v>
      </c>
      <c r="Q42" s="38"/>
      <c r="R4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" s="37" t="s">
        <v>1075</v>
      </c>
      <c r="T42" s="40">
        <v>30000</v>
      </c>
      <c r="U42" s="41">
        <v>43701</v>
      </c>
      <c r="V42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4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30000</v>
      </c>
      <c r="X42" s="37" cm="1">
        <f t="array" aca="1" ref="X42" ca="1">INDEX('SAP Customer Data'!$A:$AC,MATCH(بيانات_العملاء[[#This Row],[رمز شريك الأعمال]],'SAP Customer Data'!$B:$B,0),CELL("col",Table_Customer_Data[[#Headers],[CreditLine]]))</f>
        <v>30000</v>
      </c>
      <c r="Y4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" s="37"/>
      <c r="AA4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2" s="37" t="s">
        <v>856</v>
      </c>
      <c r="AC42" s="37"/>
      <c r="AD4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" s="37" t="s">
        <v>856</v>
      </c>
      <c r="AF42" s="37"/>
      <c r="AG4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" s="37" t="s">
        <v>856</v>
      </c>
      <c r="AI42" s="37"/>
      <c r="AJ4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" s="37"/>
      <c r="AL42" s="38"/>
      <c r="AM4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" s="37" t="s">
        <v>856</v>
      </c>
      <c r="AO42" s="41"/>
      <c r="AP4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" s="37" t="s">
        <v>856</v>
      </c>
      <c r="AR42" s="37"/>
      <c r="AS4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" s="41" cm="1">
        <f t="array" aca="1" ref="AT42" ca="1">INDEX('SAP Customer Data'!A:Z,MATCH(بيانات_العملاء[[#This Row],[رمز شريك الأعمال]],'SAP Customer Data'!B:B,0),CELL("col",Table_Customer_Data[[#Headers],[CreateDate]]))</f>
        <v>43911</v>
      </c>
      <c r="AU42" s="37"/>
      <c r="AV42" s="41"/>
      <c r="AW42" s="37" t="s">
        <v>2097</v>
      </c>
      <c r="AX42" s="37"/>
    </row>
    <row r="43" spans="1:50" x14ac:dyDescent="0.25">
      <c r="A43" s="36" t="str" cm="1">
        <f t="array" aca="1" ref="A43" ca="1">INDEX('SAP Customer Data'!$A:$AC,MATCH(بيانات_العملاء[[#This Row],[رمز شريك الأعمال]],'SAP Customer Data'!$B:$B,0),CELL("col",Table_Customer_Data[[#Headers],[GroupName]]))</f>
        <v>CS01</v>
      </c>
      <c r="B43" s="78" t="s">
        <v>420</v>
      </c>
      <c r="C43" s="37" t="str" cm="1">
        <f t="array" aca="1" ref="C43" ca="1">INDEX('SAP Customer Data'!$A:$AC,MATCH(بيانات_العملاء[[#This Row],[رمز شريك الأعمال]],'SAP Customer Data'!$B:$B,0),CELL("col",Table_Customer_Data[[#Headers],[CardName]]))</f>
        <v>مؤسسة محيط المنزل التجارية</v>
      </c>
      <c r="D43" s="37" t="str">
        <f ca="1">IF(بيانات_العملاء[[#This Row],[حد الائتمان على SAP]]&gt;0,"آجل","نقدى")</f>
        <v>آجل</v>
      </c>
      <c r="E43" s="37" t="s">
        <v>1517</v>
      </c>
      <c r="F43" s="37" t="s">
        <v>1081</v>
      </c>
      <c r="G43" s="37" t="s">
        <v>854</v>
      </c>
      <c r="H4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3" s="37" t="s">
        <v>854</v>
      </c>
      <c r="J43" s="38">
        <v>44437</v>
      </c>
      <c r="K43" s="37" t="s">
        <v>855</v>
      </c>
      <c r="L43" s="37" t="str">
        <f ca="1">IF(AND(بيانات_العملاء[[#This Row],[السجل التجارى]]="موجود",TODAY()+'Other Data'!$B$23&lt;J43,بيانات_العملاء[[#This Row],[مطابقة اسم العميل بالاسم بالسجل التجارى]]="مطابق"), "سارى", "يجب اعادة طلبه")</f>
        <v>يجب اعادة طلبه</v>
      </c>
      <c r="M43" s="37" t="s">
        <v>854</v>
      </c>
      <c r="N43" s="39" t="str" cm="1">
        <f t="array" aca="1" ref="N43" ca="1">INDEX('SAP Customer Data'!$A:$AC,MATCH(بيانات_العملاء[[#This Row],[رمز شريك الأعمال]],'SAP Customer Data'!$B:$B,0),CELL("col",Table_Customer_Data[[#Headers],[LicTradNum]]))</f>
        <v>300757877200003</v>
      </c>
      <c r="O4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" s="37" t="s">
        <v>856</v>
      </c>
      <c r="Q43" s="38"/>
      <c r="R4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" s="37" t="s">
        <v>854</v>
      </c>
      <c r="T43" s="40">
        <v>20000</v>
      </c>
      <c r="U43" s="41"/>
      <c r="V4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43" s="37" cm="1">
        <f t="array" aca="1" ref="X43" ca="1">INDEX('SAP Customer Data'!$A:$AC,MATCH(بيانات_العملاء[[#This Row],[رمز شريك الأعمال]],'SAP Customer Data'!$B:$B,0),CELL("col",Table_Customer_Data[[#Headers],[CreditLine]]))</f>
        <v>16000</v>
      </c>
      <c r="Y4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" s="37" t="s">
        <v>855</v>
      </c>
      <c r="AA4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3" s="37" t="s">
        <v>856</v>
      </c>
      <c r="AC43" s="37"/>
      <c r="AD4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" s="37" t="s">
        <v>856</v>
      </c>
      <c r="AF43" s="37"/>
      <c r="AG4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" s="37" t="s">
        <v>856</v>
      </c>
      <c r="AI43" s="37"/>
      <c r="AJ4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" s="37" t="s">
        <v>856</v>
      </c>
      <c r="AL43" s="38"/>
      <c r="AM4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" s="37" t="s">
        <v>856</v>
      </c>
      <c r="AO43" s="41"/>
      <c r="AP4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" s="37" t="s">
        <v>856</v>
      </c>
      <c r="AR43" s="37"/>
      <c r="AS4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" s="41" cm="1">
        <f t="array" aca="1" ref="AT43" ca="1">INDEX('SAP Customer Data'!A:Z,MATCH(بيانات_العملاء[[#This Row],[رمز شريك الأعمال]],'SAP Customer Data'!B:B,0),CELL("col",Table_Customer_Data[[#Headers],[CreateDate]]))</f>
        <v>44263</v>
      </c>
      <c r="AU43" s="37"/>
      <c r="AV43" s="41"/>
      <c r="AW43" s="37" t="s">
        <v>2097</v>
      </c>
      <c r="AX43" s="37"/>
    </row>
    <row r="44" spans="1:50" x14ac:dyDescent="0.25">
      <c r="A44" s="36" t="str" cm="1">
        <f t="array" aca="1" ref="A44" ca="1">INDEX('SAP Customer Data'!$A:$AC,MATCH(بيانات_العملاء[[#This Row],[رمز شريك الأعمال]],'SAP Customer Data'!$B:$B,0),CELL("col",Table_Customer_Data[[#Headers],[GroupName]]))</f>
        <v>CS01</v>
      </c>
      <c r="B44" s="35" t="s">
        <v>568</v>
      </c>
      <c r="C44" s="37" t="str" cm="1">
        <f t="array" aca="1" ref="C44" ca="1">INDEX('SAP Customer Data'!$A:$AC,MATCH(بيانات_العملاء[[#This Row],[رمز شريك الأعمال]],'SAP Customer Data'!$B:$B,0),CELL("col",Table_Customer_Data[[#Headers],[CardName]]))</f>
        <v>مؤسسة مملكة الكهرباء للتجارة</v>
      </c>
      <c r="D44" s="37" t="str">
        <f ca="1">IF(بيانات_العملاء[[#This Row],[حد الائتمان على SAP]]&gt;0,"آجل","نقدى")</f>
        <v>آجل</v>
      </c>
      <c r="E44" s="37" t="s">
        <v>1583</v>
      </c>
      <c r="F44" s="37" t="s">
        <v>1081</v>
      </c>
      <c r="G44" s="37" t="s">
        <v>854</v>
      </c>
      <c r="H4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" s="37" t="s">
        <v>854</v>
      </c>
      <c r="J44" s="38">
        <v>44745</v>
      </c>
      <c r="K44" s="37" t="s">
        <v>855</v>
      </c>
      <c r="L44" s="37" t="str">
        <f ca="1">IF(AND(بيانات_العملاء[[#This Row],[السجل التجارى]]="موجود",TODAY()+'Other Data'!$B$23&lt;J44,بيانات_العملاء[[#This Row],[مطابقة اسم العميل بالاسم بالسجل التجارى]]="مطابق"), "سارى", "يجب اعادة طلبه")</f>
        <v>يجب اعادة طلبه</v>
      </c>
      <c r="M44" s="37" t="s">
        <v>856</v>
      </c>
      <c r="N44" s="39" t="str" cm="1">
        <f t="array" aca="1" ref="N44" ca="1">INDEX('SAP Customer Data'!$A:$AC,MATCH(بيانات_العملاء[[#This Row],[رمز شريك الأعمال]],'SAP Customer Data'!$B:$B,0),CELL("col",Table_Customer_Data[[#Headers],[LicTradNum]]))</f>
        <v>300813308200003</v>
      </c>
      <c r="O4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4" s="37" t="s">
        <v>856</v>
      </c>
      <c r="Q44" s="38"/>
      <c r="R4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" s="37" t="s">
        <v>854</v>
      </c>
      <c r="T44" s="40">
        <v>10000</v>
      </c>
      <c r="U44" s="41"/>
      <c r="V4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</v>
      </c>
      <c r="X44" s="37" cm="1">
        <f t="array" aca="1" ref="X44" ca="1">INDEX('SAP Customer Data'!$A:$AC,MATCH(بيانات_العملاء[[#This Row],[رمز شريك الأعمال]],'SAP Customer Data'!$B:$B,0),CELL("col",Table_Customer_Data[[#Headers],[CreditLine]]))</f>
        <v>8000</v>
      </c>
      <c r="Y4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" s="37" t="s">
        <v>855</v>
      </c>
      <c r="AA4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4" s="37" t="s">
        <v>856</v>
      </c>
      <c r="AC44" s="37"/>
      <c r="AD4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" s="37" t="s">
        <v>856</v>
      </c>
      <c r="AF44" s="37"/>
      <c r="AG4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" s="37" t="s">
        <v>856</v>
      </c>
      <c r="AI44" s="37"/>
      <c r="AJ4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" s="37" t="s">
        <v>856</v>
      </c>
      <c r="AL44" s="38"/>
      <c r="AM4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" s="37" t="s">
        <v>856</v>
      </c>
      <c r="AO44" s="41"/>
      <c r="AP4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" s="37" t="s">
        <v>856</v>
      </c>
      <c r="AR44" s="37"/>
      <c r="AS4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" s="41" cm="1">
        <f t="array" aca="1" ref="AT44" ca="1">INDEX('SAP Customer Data'!A:Z,MATCH(بيانات_العملاء[[#This Row],[رمز شريك الأعمال]],'SAP Customer Data'!B:B,0),CELL("col",Table_Customer_Data[[#Headers],[CreateDate]]))</f>
        <v>44156</v>
      </c>
      <c r="AU44" s="37"/>
      <c r="AV44" s="41"/>
      <c r="AW44" s="37" t="s">
        <v>2097</v>
      </c>
      <c r="AX44" s="37"/>
    </row>
    <row r="45" spans="1:50" x14ac:dyDescent="0.25">
      <c r="A45" s="48" t="str" cm="1">
        <f t="array" aca="1" ref="A45" ca="1">INDEX('SAP Customer Data'!$A:$AC,MATCH(بيانات_العملاء[[#This Row],[رمز شريك الأعمال]],'SAP Customer Data'!$B:$B,0),CELL("col",Table_Customer_Data[[#Headers],[GroupName]]))</f>
        <v>CS01</v>
      </c>
      <c r="B45" s="29" t="s">
        <v>551</v>
      </c>
      <c r="C45" s="30" t="str" cm="1">
        <f t="array" aca="1" ref="C45" ca="1">INDEX('SAP Customer Data'!$A:$AC,MATCH(بيانات_العملاء[[#This Row],[رمز شريك الأعمال]],'SAP Customer Data'!$B:$B,0),CELL("col",Table_Customer_Data[[#Headers],[CardName]]))</f>
        <v>مؤسسة اضواء العيد للتجارة والمقاولات</v>
      </c>
      <c r="D45" s="30" t="str">
        <f ca="1">IF(بيانات_العملاء[[#This Row],[حد الائتمان على SAP]]&gt;0,"آجل","نقدى")</f>
        <v>آجل</v>
      </c>
      <c r="E45" s="30" t="s">
        <v>1581</v>
      </c>
      <c r="F45" s="30" t="s">
        <v>1081</v>
      </c>
      <c r="G45" s="30" t="s">
        <v>854</v>
      </c>
      <c r="H45" s="30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5" s="30" t="s">
        <v>854</v>
      </c>
      <c r="J45" s="31">
        <v>43949</v>
      </c>
      <c r="K45" s="30" t="s">
        <v>855</v>
      </c>
      <c r="L45" s="30" t="str">
        <f ca="1">IF(AND(بيانات_العملاء[[#This Row],[السجل التجارى]]="موجود",TODAY()+'Other Data'!$B$23&lt;J45,بيانات_العملاء[[#This Row],[مطابقة اسم العميل بالاسم بالسجل التجارى]]="مطابق"), "سارى", "يجب اعادة طلبه")</f>
        <v>يجب اعادة طلبه</v>
      </c>
      <c r="M45" s="30" t="s">
        <v>854</v>
      </c>
      <c r="N45" s="49" t="str" cm="1">
        <f t="array" aca="1" ref="N45" ca="1">INDEX('SAP Customer Data'!$A:$AC,MATCH(بيانات_العملاء[[#This Row],[رمز شريك الأعمال]],'SAP Customer Data'!$B:$B,0),CELL("col",Table_Customer_Data[[#Headers],[LicTradNum]]))</f>
        <v>300816192400003</v>
      </c>
      <c r="O45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" s="30" t="s">
        <v>856</v>
      </c>
      <c r="Q45" s="31"/>
      <c r="R45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5" s="30" t="s">
        <v>854</v>
      </c>
      <c r="T45" s="32">
        <v>20000</v>
      </c>
      <c r="U45" s="33"/>
      <c r="V45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45" s="30" cm="1">
        <f t="array" aca="1" ref="X45" ca="1">INDEX('SAP Customer Data'!$A:$AC,MATCH(بيانات_العملاء[[#This Row],[رمز شريك الأعمال]],'SAP Customer Data'!$B:$B,0),CELL("col",Table_Customer_Data[[#Headers],[CreditLine]]))</f>
        <v>18000</v>
      </c>
      <c r="Y4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45" s="30" t="s">
        <v>855</v>
      </c>
      <c r="AA4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5" s="30" t="s">
        <v>856</v>
      </c>
      <c r="AC45" s="30"/>
      <c r="AD45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" s="30" t="s">
        <v>856</v>
      </c>
      <c r="AF45" s="30"/>
      <c r="AG45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" s="30" t="s">
        <v>856</v>
      </c>
      <c r="AI45" s="30"/>
      <c r="AJ45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" s="30" t="s">
        <v>856</v>
      </c>
      <c r="AL45" s="31"/>
      <c r="AM45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" s="30" t="s">
        <v>856</v>
      </c>
      <c r="AO45" s="33"/>
      <c r="AP45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" s="30" t="s">
        <v>856</v>
      </c>
      <c r="AR45" s="30"/>
      <c r="AS45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" s="33" cm="1">
        <f t="array" aca="1" ref="AT45" ca="1">INDEX('SAP Customer Data'!A:Z,MATCH(بيانات_العملاء[[#This Row],[رمز شريك الأعمال]],'SAP Customer Data'!B:B,0),CELL("col",Table_Customer_Data[[#Headers],[CreateDate]]))</f>
        <v>43853</v>
      </c>
      <c r="AU45" s="30"/>
      <c r="AV45" s="33" t="s">
        <v>2195</v>
      </c>
      <c r="AW45" s="30" t="s">
        <v>2097</v>
      </c>
      <c r="AX45" s="30"/>
    </row>
    <row r="46" spans="1:50" x14ac:dyDescent="0.25">
      <c r="A46" s="36" t="str" cm="1">
        <f t="array" aca="1" ref="A46" ca="1">INDEX('SAP Customer Data'!$A:$AC,MATCH(بيانات_العملاء[[#This Row],[رمز شريك الأعمال]],'SAP Customer Data'!$B:$B,0),CELL("col",Table_Customer_Data[[#Headers],[GroupName]]))</f>
        <v>CS01</v>
      </c>
      <c r="B46" s="35" t="s">
        <v>537</v>
      </c>
      <c r="C46" s="37" t="str" cm="1">
        <f t="array" aca="1" ref="C46" ca="1">INDEX('SAP Customer Data'!$A:$AC,MATCH(بيانات_العملاء[[#This Row],[رمز شريك الأعمال]],'SAP Customer Data'!$B:$B,0),CELL("col",Table_Customer_Data[[#Headers],[CardName]]))</f>
        <v>مؤسسة عبدالله ابراهيم الشويمان التجارية</v>
      </c>
      <c r="D46" s="37" t="str">
        <f ca="1">IF(بيانات_العملاء[[#This Row],[حد الائتمان على SAP]]&gt;0,"آجل","نقدى")</f>
        <v>آجل</v>
      </c>
      <c r="E46" s="37" t="s">
        <v>886</v>
      </c>
      <c r="F46" s="37" t="s">
        <v>1081</v>
      </c>
      <c r="G46" s="37" t="s">
        <v>854</v>
      </c>
      <c r="H4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6" s="37" t="s">
        <v>854</v>
      </c>
      <c r="J46" s="38">
        <v>44769</v>
      </c>
      <c r="K46" s="37" t="s">
        <v>855</v>
      </c>
      <c r="L46" s="37" t="str">
        <f ca="1">IF(AND(بيانات_العملاء[[#This Row],[السجل التجارى]]="موجود",TODAY()+'Other Data'!$B$23&lt;J46,بيانات_العملاء[[#This Row],[مطابقة اسم العميل بالاسم بالسجل التجارى]]="مطابق"), "سارى", "يجب اعادة طلبه")</f>
        <v>يجب اعادة طلبه</v>
      </c>
      <c r="M46" s="37" t="s">
        <v>854</v>
      </c>
      <c r="N46" s="39" t="str" cm="1">
        <f t="array" aca="1" ref="N46" ca="1">INDEX('SAP Customer Data'!$A:$AC,MATCH(بيانات_العملاء[[#This Row],[رمز شريك الأعمال]],'SAP Customer Data'!$B:$B,0),CELL("col",Table_Customer_Data[[#Headers],[LicTradNum]]))</f>
        <v>300841688700003</v>
      </c>
      <c r="O4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" s="37" t="s">
        <v>856</v>
      </c>
      <c r="Q46" s="38"/>
      <c r="R4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6" s="37" t="s">
        <v>854</v>
      </c>
      <c r="T46" s="40">
        <v>50000</v>
      </c>
      <c r="U46" s="41"/>
      <c r="V4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6" s="37" cm="1">
        <f t="array" aca="1" ref="X46" ca="1">INDEX('SAP Customer Data'!$A:$AC,MATCH(بيانات_العملاء[[#This Row],[رمز شريك الأعمال]],'SAP Customer Data'!$B:$B,0),CELL("col",Table_Customer_Data[[#Headers],[CreditLine]]))</f>
        <v>40000</v>
      </c>
      <c r="Y4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" s="37" t="s">
        <v>855</v>
      </c>
      <c r="AA4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6" s="37" t="s">
        <v>856</v>
      </c>
      <c r="AC46" s="37"/>
      <c r="AD4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" s="37" t="s">
        <v>856</v>
      </c>
      <c r="AF46" s="37"/>
      <c r="AG4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6" s="37" t="s">
        <v>856</v>
      </c>
      <c r="AI46" s="37"/>
      <c r="AJ4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6" s="37" t="s">
        <v>856</v>
      </c>
      <c r="AL46" s="38"/>
      <c r="AM4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" s="37" t="s">
        <v>856</v>
      </c>
      <c r="AO46" s="41"/>
      <c r="AP4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" s="37" t="s">
        <v>856</v>
      </c>
      <c r="AR46" s="37"/>
      <c r="AS4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6" s="41" cm="1">
        <f t="array" aca="1" ref="AT46" ca="1">INDEX('SAP Customer Data'!A:Z,MATCH(بيانات_العملاء[[#This Row],[رمز شريك الأعمال]],'SAP Customer Data'!B:B,0),CELL("col",Table_Customer_Data[[#Headers],[CreateDate]]))</f>
        <v>44536</v>
      </c>
      <c r="AU46" s="37"/>
      <c r="AV46" s="41" t="s">
        <v>2196</v>
      </c>
      <c r="AW46" s="37" t="s">
        <v>2097</v>
      </c>
      <c r="AX46" s="37"/>
    </row>
    <row r="47" spans="1:50" x14ac:dyDescent="0.25">
      <c r="A47" s="36" t="str" cm="1">
        <f t="array" aca="1" ref="A47" ca="1">INDEX('SAP Customer Data'!$A:$AC,MATCH(بيانات_العملاء[[#This Row],[رمز شريك الأعمال]],'SAP Customer Data'!$B:$B,0),CELL("col",Table_Customer_Data[[#Headers],[GroupName]]))</f>
        <v>CS01</v>
      </c>
      <c r="B47" s="35" t="s">
        <v>435</v>
      </c>
      <c r="C47" s="37" t="str" cm="1">
        <f t="array" aca="1" ref="C47" ca="1">INDEX('SAP Customer Data'!$A:$AC,MATCH(بيانات_العملاء[[#This Row],[رمز شريك الأعمال]],'SAP Customer Data'!$B:$B,0),CELL("col",Table_Customer_Data[[#Headers],[CardName]]))</f>
        <v>مؤسسة خالد محمد الخليفي التجارية</v>
      </c>
      <c r="D47" s="37" t="str">
        <f ca="1">IF(بيانات_العملاء[[#This Row],[حد الائتمان على SAP]]&gt;0,"آجل","نقدى")</f>
        <v>آجل</v>
      </c>
      <c r="E47" s="37" t="s">
        <v>916</v>
      </c>
      <c r="F47" s="37" t="s">
        <v>1081</v>
      </c>
      <c r="G47" s="37" t="s">
        <v>854</v>
      </c>
      <c r="H4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7" s="37" t="s">
        <v>854</v>
      </c>
      <c r="J47" s="38">
        <v>44590</v>
      </c>
      <c r="K47" s="37" t="s">
        <v>855</v>
      </c>
      <c r="L47" s="37" t="str">
        <f ca="1">IF(AND(بيانات_العملاء[[#This Row],[السجل التجارى]]="موجود",TODAY()+'Other Data'!$B$23&lt;J47,بيانات_العملاء[[#This Row],[مطابقة اسم العميل بالاسم بالسجل التجارى]]="مطابق"), "سارى", "يجب اعادة طلبه")</f>
        <v>يجب اعادة طلبه</v>
      </c>
      <c r="M47" s="37" t="s">
        <v>854</v>
      </c>
      <c r="N47" s="39" t="str" cm="1">
        <f t="array" aca="1" ref="N47" ca="1">INDEX('SAP Customer Data'!$A:$AC,MATCH(بيانات_العملاء[[#This Row],[رمز شريك الأعمال]],'SAP Customer Data'!$B:$B,0),CELL("col",Table_Customer_Data[[#Headers],[LicTradNum]]))</f>
        <v>300916381500003</v>
      </c>
      <c r="O4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7" s="37" t="s">
        <v>856</v>
      </c>
      <c r="Q47" s="38"/>
      <c r="R4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7" s="37" t="s">
        <v>1075</v>
      </c>
      <c r="T47" s="40">
        <v>75000</v>
      </c>
      <c r="U47" s="41">
        <v>43701</v>
      </c>
      <c r="V47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4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75000</v>
      </c>
      <c r="X47" s="37" cm="1">
        <f t="array" aca="1" ref="X47" ca="1">INDEX('SAP Customer Data'!$A:$AC,MATCH(بيانات_العملاء[[#This Row],[رمز شريك الأعمال]],'SAP Customer Data'!$B:$B,0),CELL("col",Table_Customer_Data[[#Headers],[CreditLine]]))</f>
        <v>75000</v>
      </c>
      <c r="Y4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" s="37"/>
      <c r="AA4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7" s="37" t="s">
        <v>856</v>
      </c>
      <c r="AC47" s="37"/>
      <c r="AD4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" s="37" t="s">
        <v>856</v>
      </c>
      <c r="AF47" s="37"/>
      <c r="AG4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" s="37" t="s">
        <v>856</v>
      </c>
      <c r="AI47" s="37"/>
      <c r="AJ4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" s="37" t="s">
        <v>856</v>
      </c>
      <c r="AL47" s="38"/>
      <c r="AM4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" s="37" t="s">
        <v>856</v>
      </c>
      <c r="AO47" s="41"/>
      <c r="AP4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" s="37" t="s">
        <v>856</v>
      </c>
      <c r="AR47" s="37"/>
      <c r="AS4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" s="41" cm="1">
        <f t="array" aca="1" ref="AT47" ca="1">INDEX('SAP Customer Data'!A:Z,MATCH(بيانات_العملاء[[#This Row],[رمز شريك الأعمال]],'SAP Customer Data'!B:B,0),CELL("col",Table_Customer_Data[[#Headers],[CreateDate]]))</f>
        <v>44088</v>
      </c>
      <c r="AU47" s="37"/>
      <c r="AV47" s="41"/>
      <c r="AW47" s="37" t="s">
        <v>2097</v>
      </c>
      <c r="AX47" s="37"/>
    </row>
    <row r="48" spans="1:50" x14ac:dyDescent="0.25">
      <c r="A48" s="36" t="str" cm="1">
        <f t="array" aca="1" ref="A48" ca="1">INDEX('SAP Customer Data'!$A:$AC,MATCH(بيانات_العملاء[[#This Row],[رمز شريك الأعمال]],'SAP Customer Data'!$B:$B,0),CELL("col",Table_Customer_Data[[#Headers],[GroupName]]))</f>
        <v>CS01</v>
      </c>
      <c r="B48" s="42" t="s">
        <v>310</v>
      </c>
      <c r="C48" s="37" t="str" cm="1">
        <f t="array" aca="1" ref="C48" ca="1">INDEX('SAP Customer Data'!$A:$AC,MATCH(بيانات_العملاء[[#This Row],[رمز شريك الأعمال]],'SAP Customer Data'!$B:$B,0),CELL("col",Table_Customer_Data[[#Headers],[CardName]]))</f>
        <v>مؤسسة انوار الملكة التجارية - نقدى</v>
      </c>
      <c r="D48" s="37" t="str">
        <f ca="1">IF(بيانات_العملاء[[#This Row],[حد الائتمان على SAP]]&gt;0,"آجل","نقدى")</f>
        <v>نقدى</v>
      </c>
      <c r="E48" s="37"/>
      <c r="F48" s="37" t="s">
        <v>1082</v>
      </c>
      <c r="G48" s="37" t="s">
        <v>856</v>
      </c>
      <c r="H4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8" s="37" t="s">
        <v>856</v>
      </c>
      <c r="J48" s="38"/>
      <c r="K48" s="37"/>
      <c r="L48" s="37" t="str">
        <f ca="1">IF(AND(بيانات_العملاء[[#This Row],[السجل التجارى]]="موجود",TODAY()+'Other Data'!$B$23&lt;J48,بيانات_العملاء[[#This Row],[مطابقة اسم العميل بالاسم بالسجل التجارى]]="مطابق"), "سارى", "يجب اعادة طلبه")</f>
        <v>يجب اعادة طلبه</v>
      </c>
      <c r="M48" s="37" t="s">
        <v>854</v>
      </c>
      <c r="N48" s="39" t="str" cm="1">
        <f t="array" aca="1" ref="N48" ca="1">INDEX('SAP Customer Data'!$A:$AC,MATCH(بيانات_العملاء[[#This Row],[رمز شريك الأعمال]],'SAP Customer Data'!$B:$B,0),CELL("col",Table_Customer_Data[[#Headers],[LicTradNum]]))</f>
        <v>300927566200003</v>
      </c>
      <c r="O4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" s="37" t="s">
        <v>856</v>
      </c>
      <c r="Q48" s="38"/>
      <c r="R4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8" s="37" t="s">
        <v>1080</v>
      </c>
      <c r="T48" s="40"/>
      <c r="U48" s="41"/>
      <c r="V4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8" s="37" cm="1">
        <f t="array" aca="1" ref="X48" ca="1">INDEX('SAP Customer Data'!$A:$AC,MATCH(بيانات_العملاء[[#This Row],[رمز شريك الأعمال]],'SAP Customer Data'!$B:$B,0),CELL("col",Table_Customer_Data[[#Headers],[CreditLine]]))</f>
        <v>0</v>
      </c>
      <c r="Y4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" s="37"/>
      <c r="AA4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" s="37" t="s">
        <v>856</v>
      </c>
      <c r="AC48" s="37"/>
      <c r="AD4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" s="37" t="s">
        <v>856</v>
      </c>
      <c r="AF48" s="37"/>
      <c r="AG4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" s="37" t="s">
        <v>856</v>
      </c>
      <c r="AI48" s="37"/>
      <c r="AJ4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" s="37"/>
      <c r="AL48" s="38"/>
      <c r="AM4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" s="37" t="s">
        <v>856</v>
      </c>
      <c r="AO48" s="41"/>
      <c r="AP4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" s="37" t="s">
        <v>856</v>
      </c>
      <c r="AR48" s="37"/>
      <c r="AS4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" s="41" cm="1">
        <f t="array" aca="1" ref="AT48" ca="1">INDEX('SAP Customer Data'!A:Z,MATCH(بيانات_العملاء[[#This Row],[رمز شريك الأعمال]],'SAP Customer Data'!B:B,0),CELL("col",Table_Customer_Data[[#Headers],[CreateDate]]))</f>
        <v>43634</v>
      </c>
      <c r="AU48" s="37"/>
      <c r="AV48" s="41"/>
      <c r="AW48" s="37" t="s">
        <v>2096</v>
      </c>
      <c r="AX48" s="37"/>
    </row>
    <row r="49" spans="1:50" x14ac:dyDescent="0.25">
      <c r="A49" s="36" t="str" cm="1">
        <f t="array" aca="1" ref="A49" ca="1">INDEX('SAP Customer Data'!$A:$AC,MATCH(بيانات_العملاء[[#This Row],[رمز شريك الأعمال]],'SAP Customer Data'!$B:$B,0),CELL("col",Table_Customer_Data[[#Headers],[GroupName]]))</f>
        <v>CS01</v>
      </c>
      <c r="B49" s="35" t="s">
        <v>497</v>
      </c>
      <c r="C49" s="37" t="str" cm="1">
        <f t="array" aca="1" ref="C49" ca="1">INDEX('SAP Customer Data'!$A:$AC,MATCH(بيانات_العملاء[[#This Row],[رمز شريك الأعمال]],'SAP Customer Data'!$B:$B,0),CELL("col",Table_Customer_Data[[#Headers],[CardName]]))</f>
        <v>مؤسسة بيت الضاحي</v>
      </c>
      <c r="D49" s="37" t="str">
        <f ca="1">IF(بيانات_العملاء[[#This Row],[حد الائتمان على SAP]]&gt;0,"آجل","نقدى")</f>
        <v>آجل</v>
      </c>
      <c r="E49" s="37"/>
      <c r="F49" s="37" t="s">
        <v>1082</v>
      </c>
      <c r="G49" s="37" t="s">
        <v>854</v>
      </c>
      <c r="H4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9" s="37" t="s">
        <v>856</v>
      </c>
      <c r="J49" s="38"/>
      <c r="K49" s="37"/>
      <c r="L49" s="37" t="str">
        <f ca="1">IF(AND(بيانات_العملاء[[#This Row],[السجل التجارى]]="موجود",TODAY()+'Other Data'!$B$23&lt;J49,بيانات_العملاء[[#This Row],[مطابقة اسم العميل بالاسم بالسجل التجارى]]="مطابق"), "سارى", "يجب اعادة طلبه")</f>
        <v>يجب اعادة طلبه</v>
      </c>
      <c r="M49" s="37" t="s">
        <v>856</v>
      </c>
      <c r="N49" s="39" t="str" cm="1">
        <f t="array" aca="1" ref="N49" ca="1">INDEX('SAP Customer Data'!$A:$AC,MATCH(بيانات_العملاء[[#This Row],[رمز شريك الأعمال]],'SAP Customer Data'!$B:$B,0),CELL("col",Table_Customer_Data[[#Headers],[LicTradNum]]))</f>
        <v>300919886800003</v>
      </c>
      <c r="O4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9" s="37" t="s">
        <v>856</v>
      </c>
      <c r="Q49" s="38"/>
      <c r="R4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9" s="37" t="s">
        <v>854</v>
      </c>
      <c r="T49" s="40">
        <v>15000</v>
      </c>
      <c r="U49" s="41">
        <v>43752</v>
      </c>
      <c r="V49" s="41">
        <f>IF(بيانات_العملاء[[#This Row],[تاريخ انشاء سند الامر او الاستثناء]]="",0,بيانات_العملاء[[#This Row],[تاريخ انشاء سند الامر او الاستثناء]]+365*3)</f>
        <v>44847</v>
      </c>
      <c r="W4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</v>
      </c>
      <c r="X49" s="37" cm="1">
        <f t="array" aca="1" ref="X49" ca="1">INDEX('SAP Customer Data'!$A:$AC,MATCH(بيانات_العملاء[[#This Row],[رمز شريك الأعمال]],'SAP Customer Data'!$B:$B,0),CELL("col",Table_Customer_Data[[#Headers],[CreditLine]]))</f>
        <v>12000</v>
      </c>
      <c r="Y4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" s="37" t="s">
        <v>859</v>
      </c>
      <c r="AA4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9" s="37" t="s">
        <v>856</v>
      </c>
      <c r="AC49" s="37"/>
      <c r="AD4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" s="37" t="s">
        <v>856</v>
      </c>
      <c r="AF49" s="37"/>
      <c r="AG4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9" s="37" t="s">
        <v>856</v>
      </c>
      <c r="AI49" s="37"/>
      <c r="AJ4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9" s="37" t="s">
        <v>856</v>
      </c>
      <c r="AL49" s="38"/>
      <c r="AM4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" s="37" t="s">
        <v>856</v>
      </c>
      <c r="AO49" s="41"/>
      <c r="AP4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" s="37" t="s">
        <v>856</v>
      </c>
      <c r="AR49" s="37"/>
      <c r="AS4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9" s="41" cm="1">
        <f t="array" aca="1" ref="AT49" ca="1">INDEX('SAP Customer Data'!A:Z,MATCH(بيانات_العملاء[[#This Row],[رمز شريك الأعمال]],'SAP Customer Data'!B:B,0),CELL("col",Table_Customer_Data[[#Headers],[CreateDate]]))</f>
        <v>43581</v>
      </c>
      <c r="AU49" s="37"/>
      <c r="AV49" s="41"/>
      <c r="AW49" s="37" t="s">
        <v>2097</v>
      </c>
      <c r="AX49" s="37"/>
    </row>
    <row r="50" spans="1:50" x14ac:dyDescent="0.25">
      <c r="A50" s="36" t="str" cm="1">
        <f t="array" aca="1" ref="A50" ca="1">INDEX('SAP Customer Data'!$A:$AC,MATCH(بيانات_العملاء[[#This Row],[رمز شريك الأعمال]],'SAP Customer Data'!$B:$B,0),CELL("col",Table_Customer_Data[[#Headers],[GroupName]]))</f>
        <v>CS01</v>
      </c>
      <c r="B50" s="35" t="s">
        <v>528</v>
      </c>
      <c r="C50" s="37" t="str" cm="1">
        <f t="array" aca="1" ref="C50" ca="1">INDEX('SAP Customer Data'!$A:$AC,MATCH(بيانات_العملاء[[#This Row],[رمز شريك الأعمال]],'SAP Customer Data'!$B:$B,0),CELL("col",Table_Customer_Data[[#Headers],[CardName]]))</f>
        <v>مؤسسة متعب محمد الحسيني للمقاولات</v>
      </c>
      <c r="D50" s="37" t="str">
        <f ca="1">IF(بيانات_العملاء[[#This Row],[حد الائتمان على SAP]]&gt;0,"آجل","نقدى")</f>
        <v>آجل</v>
      </c>
      <c r="E50" s="37" t="s">
        <v>884</v>
      </c>
      <c r="F50" s="37" t="s">
        <v>1081</v>
      </c>
      <c r="G50" s="37" t="s">
        <v>854</v>
      </c>
      <c r="H5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0" s="37" t="s">
        <v>854</v>
      </c>
      <c r="J50" s="38">
        <v>45431</v>
      </c>
      <c r="K50" s="37" t="s">
        <v>855</v>
      </c>
      <c r="L50" s="37" t="str">
        <f ca="1">IF(AND(بيانات_العملاء[[#This Row],[السجل التجارى]]="موجود",TODAY()+'Other Data'!$B$23&lt;J50,بيانات_العملاء[[#This Row],[مطابقة اسم العميل بالاسم بالسجل التجارى]]="مطابق"), "سارى", "يجب اعادة طلبه")</f>
        <v>سارى</v>
      </c>
      <c r="M50" s="37" t="s">
        <v>854</v>
      </c>
      <c r="N50" s="39" t="str" cm="1">
        <f t="array" aca="1" ref="N50" ca="1">INDEX('SAP Customer Data'!$A:$AC,MATCH(بيانات_العملاء[[#This Row],[رمز شريك الأعمال]],'SAP Customer Data'!$B:$B,0),CELL("col",Table_Customer_Data[[#Headers],[LicTradNum]]))</f>
        <v>300970392100003</v>
      </c>
      <c r="O5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" s="37" t="s">
        <v>854</v>
      </c>
      <c r="Q50" s="38">
        <v>45578</v>
      </c>
      <c r="R5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50" s="37" t="s">
        <v>854</v>
      </c>
      <c r="T50" s="40">
        <v>200000</v>
      </c>
      <c r="U50" s="41"/>
      <c r="V5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160000</v>
      </c>
      <c r="X50" s="37" cm="1">
        <f t="array" aca="1" ref="X50" ca="1">INDEX('SAP Customer Data'!$A:$AC,MATCH(بيانات_العملاء[[#This Row],[رمز شريك الأعمال]],'SAP Customer Data'!$B:$B,0),CELL("col",Table_Customer_Data[[#Headers],[CreditLine]]))</f>
        <v>160000</v>
      </c>
      <c r="Y5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" s="37" t="s">
        <v>855</v>
      </c>
      <c r="AA5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0" s="37" t="s">
        <v>856</v>
      </c>
      <c r="AC50" s="37"/>
      <c r="AD5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" s="37" t="s">
        <v>856</v>
      </c>
      <c r="AF50" s="37"/>
      <c r="AG5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0" s="37" t="s">
        <v>856</v>
      </c>
      <c r="AI50" s="37"/>
      <c r="AJ5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0" s="37" t="s">
        <v>856</v>
      </c>
      <c r="AL50" s="38"/>
      <c r="AM5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" s="37" t="s">
        <v>854</v>
      </c>
      <c r="AO50" s="41">
        <v>44766</v>
      </c>
      <c r="AP5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" s="37" t="s">
        <v>856</v>
      </c>
      <c r="AR50" s="37"/>
      <c r="AS5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0" s="41" cm="1">
        <f t="array" aca="1" ref="AT50" ca="1">INDEX('SAP Customer Data'!A:Z,MATCH(بيانات_العملاء[[#This Row],[رمز شريك الأعمال]],'SAP Customer Data'!B:B,0),CELL("col",Table_Customer_Data[[#Headers],[CreateDate]]))</f>
        <v>43589</v>
      </c>
      <c r="AU50" s="37"/>
      <c r="AV50" s="41" t="s">
        <v>897</v>
      </c>
      <c r="AW50" s="37" t="s">
        <v>2097</v>
      </c>
      <c r="AX50" s="37"/>
    </row>
    <row r="51" spans="1:50" x14ac:dyDescent="0.25">
      <c r="A51" s="36" t="str" cm="1">
        <f t="array" aca="1" ref="A51" ca="1">INDEX('SAP Customer Data'!$A:$AC,MATCH(بيانات_العملاء[[#This Row],[رمز شريك الأعمال]],'SAP Customer Data'!$B:$B,0),CELL("col",Table_Customer_Data[[#Headers],[GroupName]]))</f>
        <v>CS01</v>
      </c>
      <c r="B51" s="42" t="s">
        <v>290</v>
      </c>
      <c r="C51" s="37" t="str" cm="1">
        <f t="array" aca="1" ref="C51" ca="1">INDEX('SAP Customer Data'!$A:$AC,MATCH(بيانات_العملاء[[#This Row],[رمز شريك الأعمال]],'SAP Customer Data'!$B:$B,0),CELL("col",Table_Customer_Data[[#Headers],[CardName]]))</f>
        <v>مؤسسة المنهل-نقدى</v>
      </c>
      <c r="D51" s="37" t="str">
        <f ca="1">IF(بيانات_العملاء[[#This Row],[حد الائتمان على SAP]]&gt;0,"آجل","نقدى")</f>
        <v>نقدى</v>
      </c>
      <c r="E51" s="37"/>
      <c r="F51" s="37" t="s">
        <v>1082</v>
      </c>
      <c r="G51" s="37" t="s">
        <v>856</v>
      </c>
      <c r="H5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" s="37" t="s">
        <v>856</v>
      </c>
      <c r="J51" s="38"/>
      <c r="K51" s="37"/>
      <c r="L51" s="37" t="str">
        <f ca="1">IF(AND(بيانات_العملاء[[#This Row],[السجل التجارى]]="موجود",TODAY()+'Other Data'!$B$23&lt;J51,بيانات_العملاء[[#This Row],[مطابقة اسم العميل بالاسم بالسجل التجارى]]="مطابق"), "سارى", "يجب اعادة طلبه")</f>
        <v>يجب اعادة طلبه</v>
      </c>
      <c r="M51" s="37" t="s">
        <v>854</v>
      </c>
      <c r="N51" s="39" t="str" cm="1">
        <f t="array" aca="1" ref="N51" ca="1">INDEX('SAP Customer Data'!$A:$AC,MATCH(بيانات_العملاء[[#This Row],[رمز شريك الأعمال]],'SAP Customer Data'!$B:$B,0),CELL("col",Table_Customer_Data[[#Headers],[LicTradNum]]))</f>
        <v>301041157700003</v>
      </c>
      <c r="O5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" s="37" t="s">
        <v>856</v>
      </c>
      <c r="Q51" s="38"/>
      <c r="R5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" s="37" t="s">
        <v>1080</v>
      </c>
      <c r="T51" s="40"/>
      <c r="U51" s="41"/>
      <c r="V5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1" s="37" cm="1">
        <f t="array" aca="1" ref="X51" ca="1">INDEX('SAP Customer Data'!$A:$AC,MATCH(بيانات_العملاء[[#This Row],[رمز شريك الأعمال]],'SAP Customer Data'!$B:$B,0),CELL("col",Table_Customer_Data[[#Headers],[CreditLine]]))</f>
        <v>0</v>
      </c>
      <c r="Y5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" s="37"/>
      <c r="AA5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" s="37" t="s">
        <v>856</v>
      </c>
      <c r="AC51" s="37"/>
      <c r="AD5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1" s="37" t="s">
        <v>856</v>
      </c>
      <c r="AF51" s="37"/>
      <c r="AG5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" s="37" t="s">
        <v>856</v>
      </c>
      <c r="AI51" s="37"/>
      <c r="AJ5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" s="37"/>
      <c r="AL51" s="38"/>
      <c r="AM5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" s="37" t="s">
        <v>856</v>
      </c>
      <c r="AO51" s="41"/>
      <c r="AP5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" s="37" t="s">
        <v>856</v>
      </c>
      <c r="AR51" s="37"/>
      <c r="AS5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" s="41" cm="1">
        <f t="array" aca="1" ref="AT51" ca="1">INDEX('SAP Customer Data'!A:Z,MATCH(بيانات_العملاء[[#This Row],[رمز شريك الأعمال]],'SAP Customer Data'!B:B,0),CELL("col",Table_Customer_Data[[#Headers],[CreateDate]]))</f>
        <v>43581</v>
      </c>
      <c r="AU51" s="37"/>
      <c r="AV51" s="41"/>
      <c r="AW51" s="37" t="s">
        <v>2096</v>
      </c>
      <c r="AX51" s="37"/>
    </row>
    <row r="52" spans="1:50" s="72" customFormat="1" x14ac:dyDescent="0.25">
      <c r="A52" s="16" t="str" cm="1">
        <f t="array" aca="1" ref="A52" ca="1">INDEX('SAP Customer Data'!$A:$AC,MATCH(بيانات_العملاء[[#This Row],[رمز شريك الأعمال]],'SAP Customer Data'!$B:$B,0),CELL("col",Table_Customer_Data[[#Headers],[GroupName]]))</f>
        <v>CS01</v>
      </c>
      <c r="B52" s="17" t="s">
        <v>453</v>
      </c>
      <c r="C52" s="15" t="str" cm="1">
        <f t="array" aca="1" ref="C52" ca="1">INDEX('SAP Customer Data'!$A:$AC,MATCH(بيانات_العملاء[[#This Row],[رمز شريك الأعمال]],'SAP Customer Data'!$B:$B,0),CELL("col",Table_Customer_Data[[#Headers],[CardName]]))</f>
        <v>محل ثريات الاصالة للتجارة</v>
      </c>
      <c r="D52" s="15" t="str">
        <f ca="1">IF(بيانات_العملاء[[#This Row],[حد الائتمان على SAP]]&gt;0,"آجل","نقدى")</f>
        <v>آجل</v>
      </c>
      <c r="E52" s="15" t="s">
        <v>917</v>
      </c>
      <c r="F52" s="15" t="s">
        <v>1081</v>
      </c>
      <c r="G52" s="15" t="s">
        <v>854</v>
      </c>
      <c r="H52" s="15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2" s="15" t="s">
        <v>854</v>
      </c>
      <c r="J52" s="18">
        <v>44504</v>
      </c>
      <c r="K52" s="15" t="s">
        <v>855</v>
      </c>
      <c r="L52" s="15" t="str">
        <f ca="1">IF(AND(بيانات_العملاء[[#This Row],[السجل التجارى]]="موجود",TODAY()+'Other Data'!$B$23&lt;J52,بيانات_العملاء[[#This Row],[مطابقة اسم العميل بالاسم بالسجل التجارى]]="مطابق"), "سارى", "يجب اعادة طلبه")</f>
        <v>يجب اعادة طلبه</v>
      </c>
      <c r="M52" s="15" t="s">
        <v>856</v>
      </c>
      <c r="N52" s="19" t="str" cm="1">
        <f t="array" aca="1" ref="N52" ca="1">INDEX('SAP Customer Data'!$A:$AC,MATCH(بيانات_العملاء[[#This Row],[رمز شريك الأعمال]],'SAP Customer Data'!$B:$B,0),CELL("col",Table_Customer_Data[[#Headers],[LicTradNum]]))</f>
        <v>300979768200003</v>
      </c>
      <c r="O52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2" s="15" t="s">
        <v>856</v>
      </c>
      <c r="Q52" s="18"/>
      <c r="R52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2" s="15" t="s">
        <v>854</v>
      </c>
      <c r="T52" s="20">
        <v>20000</v>
      </c>
      <c r="U52" s="8">
        <v>44189</v>
      </c>
      <c r="V52" s="8">
        <f>IF(بيانات_العملاء[[#This Row],[تاريخ انشاء سند الامر او الاستثناء]]="",0,بيانات_العملاء[[#This Row],[تاريخ انشاء سند الامر او الاستثناء]]+365*3)</f>
        <v>45284</v>
      </c>
      <c r="W5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52" s="15" cm="1">
        <f t="array" aca="1" ref="X52" ca="1">INDEX('SAP Customer Data'!$A:$AC,MATCH(بيانات_العملاء[[#This Row],[رمز شريك الأعمال]],'SAP Customer Data'!$B:$B,0),CELL("col",Table_Customer_Data[[#Headers],[CreditLine]]))</f>
        <v>18000</v>
      </c>
      <c r="Y5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52" s="15" t="s">
        <v>855</v>
      </c>
      <c r="AA5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2" s="15" t="s">
        <v>856</v>
      </c>
      <c r="AC52" s="15"/>
      <c r="AD52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" s="15" t="s">
        <v>856</v>
      </c>
      <c r="AF52" s="15"/>
      <c r="AG52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2" s="15" t="s">
        <v>856</v>
      </c>
      <c r="AI52" s="15"/>
      <c r="AJ52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2" s="15" t="s">
        <v>856</v>
      </c>
      <c r="AL52" s="18"/>
      <c r="AM52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" s="15" t="s">
        <v>856</v>
      </c>
      <c r="AO52" s="8"/>
      <c r="AP52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" s="15" t="s">
        <v>856</v>
      </c>
      <c r="AR52" s="15"/>
      <c r="AS52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2" s="8" cm="1">
        <f t="array" aca="1" ref="AT52" ca="1">INDEX('SAP Customer Data'!A:Z,MATCH(بيانات_العملاء[[#This Row],[رمز شريك الأعمال]],'SAP Customer Data'!B:B,0),CELL("col",Table_Customer_Data[[#Headers],[CreateDate]]))</f>
        <v>44195</v>
      </c>
      <c r="AU52" s="15"/>
      <c r="AV52" s="8" t="s">
        <v>2046</v>
      </c>
      <c r="AW52" s="15" t="s">
        <v>2097</v>
      </c>
      <c r="AX52" s="15"/>
    </row>
    <row r="53" spans="1:50" s="71" customFormat="1" x14ac:dyDescent="0.25">
      <c r="A53" s="36" t="str" cm="1">
        <f t="array" aca="1" ref="A53" ca="1">INDEX('SAP Customer Data'!$A:$AC,MATCH(بيانات_العملاء[[#This Row],[رمز شريك الأعمال]],'SAP Customer Data'!$B:$B,0),CELL("col",Table_Customer_Data[[#Headers],[GroupName]]))</f>
        <v>CS01</v>
      </c>
      <c r="B53" s="35" t="s">
        <v>929</v>
      </c>
      <c r="C53" s="37" t="str" cm="1">
        <f t="array" aca="1" ref="C53" ca="1">INDEX('SAP Customer Data'!$A:$AC,MATCH(بيانات_العملاء[[#This Row],[رمز شريك الأعمال]],'SAP Customer Data'!$B:$B,0),CELL("col",Table_Customer_Data[[#Headers],[CardName]]))</f>
        <v>مؤسسة عبد الرحمن محمد المقحم التجارية -نقدي</v>
      </c>
      <c r="D53" s="37" t="str">
        <f ca="1">IF(بيانات_العملاء[[#This Row],[حد الائتمان على SAP]]&gt;0,"آجل","نقدى")</f>
        <v>نقدى</v>
      </c>
      <c r="E53" s="37"/>
      <c r="F53" s="37"/>
      <c r="G53" s="37" t="s">
        <v>856</v>
      </c>
      <c r="H5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3" s="37" t="s">
        <v>856</v>
      </c>
      <c r="J53" s="38"/>
      <c r="K53" s="37"/>
      <c r="L53" s="37" t="str">
        <f ca="1">IF(AND(بيانات_العملاء[[#This Row],[السجل التجارى]]="موجود",TODAY()+'Other Data'!$B$23&lt;J53,بيانات_العملاء[[#This Row],[مطابقة اسم العميل بالاسم بالسجل التجارى]]="مطابق"), "سارى", "يجب اعادة طلبه")</f>
        <v>يجب اعادة طلبه</v>
      </c>
      <c r="M53" s="37" t="s">
        <v>854</v>
      </c>
      <c r="N53" s="39" t="str" cm="1">
        <f t="array" aca="1" ref="N53" ca="1">INDEX('SAP Customer Data'!$A:$AC,MATCH(بيانات_العملاء[[#This Row],[رمز شريك الأعمال]],'SAP Customer Data'!$B:$B,0),CELL("col",Table_Customer_Data[[#Headers],[LicTradNum]]))</f>
        <v>300986868800003</v>
      </c>
      <c r="O5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3" s="37" t="s">
        <v>856</v>
      </c>
      <c r="Q53" s="38"/>
      <c r="R5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3" s="37" t="s">
        <v>1080</v>
      </c>
      <c r="T53" s="40"/>
      <c r="U53" s="41"/>
      <c r="V5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" s="37" cm="1">
        <f t="array" aca="1" ref="X53" ca="1">INDEX('SAP Customer Data'!$A:$AC,MATCH(بيانات_العملاء[[#This Row],[رمز شريك الأعمال]],'SAP Customer Data'!$B:$B,0),CELL("col",Table_Customer_Data[[#Headers],[CreditLine]]))</f>
        <v>0</v>
      </c>
      <c r="Y5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3" s="37"/>
      <c r="AA5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" s="37" t="s">
        <v>856</v>
      </c>
      <c r="AC53" s="37"/>
      <c r="AD5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" s="37" t="s">
        <v>856</v>
      </c>
      <c r="AF53" s="37"/>
      <c r="AG5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3" s="37" t="s">
        <v>856</v>
      </c>
      <c r="AI53" s="37"/>
      <c r="AJ5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3" s="37"/>
      <c r="AL53" s="38"/>
      <c r="AM5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" s="37" t="s">
        <v>856</v>
      </c>
      <c r="AO53" s="41"/>
      <c r="AP5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" s="37" t="s">
        <v>856</v>
      </c>
      <c r="AR53" s="37"/>
      <c r="AS5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3" s="41" cm="1">
        <f t="array" aca="1" ref="AT53" ca="1">INDEX('SAP Customer Data'!A:Z,MATCH(بيانات_العملاء[[#This Row],[رمز شريك الأعمال]],'SAP Customer Data'!B:B,0),CELL("col",Table_Customer_Data[[#Headers],[CreateDate]]))</f>
        <v>44989</v>
      </c>
      <c r="AU53" s="37"/>
      <c r="AV53" s="41" t="s">
        <v>2386</v>
      </c>
      <c r="AW53" s="37" t="s">
        <v>2097</v>
      </c>
      <c r="AX53" s="37"/>
    </row>
    <row r="54" spans="1:50" x14ac:dyDescent="0.25">
      <c r="A54" s="36" t="str" cm="1">
        <f t="array" aca="1" ref="A54" ca="1">INDEX('SAP Customer Data'!$A:$AC,MATCH(بيانات_العملاء[[#This Row],[رمز شريك الأعمال]],'SAP Customer Data'!$B:$B,0),CELL("col",Table_Customer_Data[[#Headers],[GroupName]]))</f>
        <v>CS01</v>
      </c>
      <c r="B54" s="35" t="s">
        <v>288</v>
      </c>
      <c r="C54" s="37" t="str" cm="1">
        <f t="array" aca="1" ref="C54" ca="1">INDEX('SAP Customer Data'!$A:$AC,MATCH(بيانات_العملاء[[#This Row],[رمز شريك الأعمال]],'SAP Customer Data'!$B:$B,0),CELL("col",Table_Customer_Data[[#Headers],[CardName]]))</f>
        <v>مؤسسة عبدالعزيز عبدالله صالح العبيد</v>
      </c>
      <c r="D54" s="37" t="str">
        <f ca="1">IF(بيانات_العملاء[[#This Row],[حد الائتمان على SAP]]&gt;0,"آجل","نقدى")</f>
        <v>آجل</v>
      </c>
      <c r="E54" s="37" t="s">
        <v>910</v>
      </c>
      <c r="F54" s="37" t="s">
        <v>1081</v>
      </c>
      <c r="G54" s="37" t="s">
        <v>854</v>
      </c>
      <c r="H5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4" s="37" t="s">
        <v>854</v>
      </c>
      <c r="J54" s="38">
        <v>44215</v>
      </c>
      <c r="K54" s="37" t="s">
        <v>859</v>
      </c>
      <c r="L54" s="37" t="str">
        <f ca="1">IF(AND(بيانات_العملاء[[#This Row],[السجل التجارى]]="موجود",TODAY()+'Other Data'!$B$23&lt;J54,بيانات_العملاء[[#This Row],[مطابقة اسم العميل بالاسم بالسجل التجارى]]="مطابق"), "سارى", "يجب اعادة طلبه")</f>
        <v>يجب اعادة طلبه</v>
      </c>
      <c r="M54" s="37" t="s">
        <v>856</v>
      </c>
      <c r="N54" s="39" t="str" cm="1">
        <f t="array" aca="1" ref="N54" ca="1">INDEX('SAP Customer Data'!$A:$AC,MATCH(بيانات_العملاء[[#This Row],[رمز شريك الأعمال]],'SAP Customer Data'!$B:$B,0),CELL("col",Table_Customer_Data[[#Headers],[LicTradNum]]))</f>
        <v>300995077900003</v>
      </c>
      <c r="O5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4" s="37" t="s">
        <v>856</v>
      </c>
      <c r="Q54" s="38"/>
      <c r="R5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4" s="37" t="s">
        <v>854</v>
      </c>
      <c r="T54" s="40">
        <v>80000</v>
      </c>
      <c r="U54" s="41">
        <v>43663</v>
      </c>
      <c r="V54" s="41">
        <f>IF(بيانات_العملاء[[#This Row],[تاريخ انشاء سند الامر او الاستثناء]]="",0,بيانات_العملاء[[#This Row],[تاريخ انشاء سند الامر او الاستثناء]]+365*3)</f>
        <v>44758</v>
      </c>
      <c r="W5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64000</v>
      </c>
      <c r="X54" s="37" cm="1">
        <f t="array" aca="1" ref="X54" ca="1">INDEX('SAP Customer Data'!$A:$AC,MATCH(بيانات_العملاء[[#This Row],[رمز شريك الأعمال]],'SAP Customer Data'!$B:$B,0),CELL("col",Table_Customer_Data[[#Headers],[CreditLine]]))</f>
        <v>64000</v>
      </c>
      <c r="Y5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4" s="37" t="s">
        <v>859</v>
      </c>
      <c r="AA5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4" s="37" t="s">
        <v>856</v>
      </c>
      <c r="AC54" s="37"/>
      <c r="AD5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4" s="37" t="s">
        <v>856</v>
      </c>
      <c r="AF54" s="37"/>
      <c r="AG5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4" s="37" t="s">
        <v>856</v>
      </c>
      <c r="AI54" s="37"/>
      <c r="AJ5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4" s="37" t="s">
        <v>856</v>
      </c>
      <c r="AL54" s="38"/>
      <c r="AM5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4" s="37" t="s">
        <v>856</v>
      </c>
      <c r="AO54" s="41"/>
      <c r="AP5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4" s="37" t="s">
        <v>856</v>
      </c>
      <c r="AR54" s="37"/>
      <c r="AS5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4" s="41" cm="1">
        <f t="array" aca="1" ref="AT54" ca="1">INDEX('SAP Customer Data'!A:Z,MATCH(بيانات_العملاء[[#This Row],[رمز شريك الأعمال]],'SAP Customer Data'!B:B,0),CELL("col",Table_Customer_Data[[#Headers],[CreateDate]]))</f>
        <v>43666</v>
      </c>
      <c r="AU54" s="37"/>
      <c r="AV54" s="41" t="s">
        <v>2197</v>
      </c>
      <c r="AW54" s="37" t="s">
        <v>2097</v>
      </c>
      <c r="AX54" s="37"/>
    </row>
    <row r="55" spans="1:50" x14ac:dyDescent="0.25">
      <c r="A55" s="36" t="str" cm="1">
        <f t="array" aca="1" ref="A55" ca="1">INDEX('SAP Customer Data'!$A:$AC,MATCH(بيانات_العملاء[[#This Row],[رمز شريك الأعمال]],'SAP Customer Data'!$B:$B,0),CELL("col",Table_Customer_Data[[#Headers],[GroupName]]))</f>
        <v>CS01</v>
      </c>
      <c r="B55" s="35" t="s">
        <v>530</v>
      </c>
      <c r="C55" s="37" t="str" cm="1">
        <f t="array" aca="1" ref="C55" ca="1">INDEX('SAP Customer Data'!$A:$AC,MATCH(بيانات_العملاء[[#This Row],[رمز شريك الأعمال]],'SAP Customer Data'!$B:$B,0),CELL("col",Table_Customer_Data[[#Headers],[CardName]]))</f>
        <v>مؤسسة مملكة الانوار - الزلفي</v>
      </c>
      <c r="D55" s="37" t="str">
        <f ca="1">IF(بيانات_العملاء[[#This Row],[حد الائتمان على SAP]]&gt;0,"آجل","نقدى")</f>
        <v>آجل</v>
      </c>
      <c r="E55" s="37" t="s">
        <v>885</v>
      </c>
      <c r="F55" s="37" t="s">
        <v>1081</v>
      </c>
      <c r="G55" s="37" t="s">
        <v>854</v>
      </c>
      <c r="H5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5" s="37" t="s">
        <v>854</v>
      </c>
      <c r="J55" s="38">
        <v>45046</v>
      </c>
      <c r="K55" s="37" t="s">
        <v>855</v>
      </c>
      <c r="L55" s="37" t="str">
        <f ca="1">IF(AND(بيانات_العملاء[[#This Row],[السجل التجارى]]="موجود",TODAY()+'Other Data'!$B$23&lt;J55,بيانات_العملاء[[#This Row],[مطابقة اسم العميل بالاسم بالسجل التجارى]]="مطابق"), "سارى", "يجب اعادة طلبه")</f>
        <v>يجب اعادة طلبه</v>
      </c>
      <c r="M55" s="37" t="s">
        <v>854</v>
      </c>
      <c r="N55" s="39" t="str" cm="1">
        <f t="array" aca="1" ref="N55" ca="1">INDEX('SAP Customer Data'!$A:$AC,MATCH(بيانات_العملاء[[#This Row],[رمز شريك الأعمال]],'SAP Customer Data'!$B:$B,0),CELL("col",Table_Customer_Data[[#Headers],[LicTradNum]]))</f>
        <v>301003771500003</v>
      </c>
      <c r="O5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5" s="37" t="s">
        <v>856</v>
      </c>
      <c r="Q55" s="38"/>
      <c r="R5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5" s="37" t="s">
        <v>1075</v>
      </c>
      <c r="T55" s="40">
        <v>30000</v>
      </c>
      <c r="U55" s="41">
        <v>43701</v>
      </c>
      <c r="V55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5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30000</v>
      </c>
      <c r="X55" s="37" cm="1">
        <f t="array" aca="1" ref="X55" ca="1">INDEX('SAP Customer Data'!$A:$AC,MATCH(بيانات_العملاء[[#This Row],[رمز شريك الأعمال]],'SAP Customer Data'!$B:$B,0),CELL("col",Table_Customer_Data[[#Headers],[CreditLine]]))</f>
        <v>20000</v>
      </c>
      <c r="Y5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55" s="37"/>
      <c r="AA5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5" s="37" t="s">
        <v>856</v>
      </c>
      <c r="AC55" s="37"/>
      <c r="AD5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5" s="37" t="s">
        <v>856</v>
      </c>
      <c r="AF55" s="37"/>
      <c r="AG5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5" s="37" t="s">
        <v>856</v>
      </c>
      <c r="AI55" s="37"/>
      <c r="AJ5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5" s="37" t="s">
        <v>856</v>
      </c>
      <c r="AL55" s="38"/>
      <c r="AM5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5" s="37" t="s">
        <v>856</v>
      </c>
      <c r="AO55" s="41"/>
      <c r="AP5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5" s="37" t="s">
        <v>856</v>
      </c>
      <c r="AR55" s="37"/>
      <c r="AS5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5" s="41" cm="1">
        <f t="array" aca="1" ref="AT55" ca="1">INDEX('SAP Customer Data'!A:Z,MATCH(بيانات_العملاء[[#This Row],[رمز شريك الأعمال]],'SAP Customer Data'!B:B,0),CELL("col",Table_Customer_Data[[#Headers],[CreateDate]]))</f>
        <v>43589</v>
      </c>
      <c r="AU55" s="37"/>
      <c r="AV55" s="41"/>
      <c r="AW55" s="37" t="s">
        <v>2097</v>
      </c>
      <c r="AX55" s="37"/>
    </row>
    <row r="56" spans="1:50" x14ac:dyDescent="0.25">
      <c r="A56" s="36" t="str" cm="1">
        <f t="array" aca="1" ref="A56" ca="1">INDEX('SAP Customer Data'!$A:$AC,MATCH(بيانات_العملاء[[#This Row],[رمز شريك الأعمال]],'SAP Customer Data'!$B:$B,0),CELL("col",Table_Customer_Data[[#Headers],[GroupName]]))</f>
        <v>CS01</v>
      </c>
      <c r="B56" s="42" t="s">
        <v>197</v>
      </c>
      <c r="C56" s="37" t="str" cm="1">
        <f t="array" aca="1" ref="C56" ca="1">INDEX('SAP Customer Data'!$A:$AC,MATCH(بيانات_العملاء[[#This Row],[رمز شريك الأعمال]],'SAP Customer Data'!$B:$B,0),CELL("col",Table_Customer_Data[[#Headers],[CardName]]))</f>
        <v>مؤسسة الشرق شاه-نقدي</v>
      </c>
      <c r="D56" s="37" t="str">
        <f ca="1">IF(بيانات_العملاء[[#This Row],[حد الائتمان على SAP]]&gt;0,"آجل","نقدى")</f>
        <v>نقدى</v>
      </c>
      <c r="E56" s="37"/>
      <c r="F56" s="37" t="s">
        <v>1082</v>
      </c>
      <c r="G56" s="37" t="s">
        <v>856</v>
      </c>
      <c r="H5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6" s="37" t="s">
        <v>856</v>
      </c>
      <c r="J56" s="38"/>
      <c r="K56" s="37"/>
      <c r="L56" s="37" t="str">
        <f ca="1">IF(AND(بيانات_العملاء[[#This Row],[السجل التجارى]]="موجود",TODAY()+'Other Data'!$B$23&lt;J56,بيانات_العملاء[[#This Row],[مطابقة اسم العميل بالاسم بالسجل التجارى]]="مطابق"), "سارى", "يجب اعادة طلبه")</f>
        <v>يجب اعادة طلبه</v>
      </c>
      <c r="M56" s="37" t="s">
        <v>854</v>
      </c>
      <c r="N56" s="39" t="str" cm="1">
        <f t="array" aca="1" ref="N56" ca="1">INDEX('SAP Customer Data'!$A:$AC,MATCH(بيانات_العملاء[[#This Row],[رمز شريك الأعمال]],'SAP Customer Data'!$B:$B,0),CELL("col",Table_Customer_Data[[#Headers],[LicTradNum]]))</f>
        <v>301231966300003</v>
      </c>
      <c r="O5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6" s="37" t="s">
        <v>856</v>
      </c>
      <c r="Q56" s="38"/>
      <c r="R5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6" s="37" t="s">
        <v>1080</v>
      </c>
      <c r="T56" s="40"/>
      <c r="U56" s="41"/>
      <c r="V5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6" s="37" cm="1">
        <f t="array" aca="1" ref="X56" ca="1">INDEX('SAP Customer Data'!$A:$AC,MATCH(بيانات_العملاء[[#This Row],[رمز شريك الأعمال]],'SAP Customer Data'!$B:$B,0),CELL("col",Table_Customer_Data[[#Headers],[CreditLine]]))</f>
        <v>0</v>
      </c>
      <c r="Y5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6" s="37"/>
      <c r="AA5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6" s="37" t="s">
        <v>856</v>
      </c>
      <c r="AC56" s="37"/>
      <c r="AD5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6" s="37" t="s">
        <v>856</v>
      </c>
      <c r="AF56" s="37"/>
      <c r="AG5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6" s="37" t="s">
        <v>856</v>
      </c>
      <c r="AI56" s="37"/>
      <c r="AJ5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6" s="37"/>
      <c r="AL56" s="38"/>
      <c r="AM5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6" s="37" t="s">
        <v>856</v>
      </c>
      <c r="AO56" s="41"/>
      <c r="AP5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6" s="37" t="s">
        <v>856</v>
      </c>
      <c r="AR56" s="37"/>
      <c r="AS5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6" s="41" cm="1">
        <f t="array" aca="1" ref="AT56" ca="1">INDEX('SAP Customer Data'!A:Z,MATCH(بيانات_العملاء[[#This Row],[رمز شريك الأعمال]],'SAP Customer Data'!B:B,0),CELL("col",Table_Customer_Data[[#Headers],[CreateDate]]))</f>
        <v>43589</v>
      </c>
      <c r="AU56" s="37"/>
      <c r="AV56" s="41"/>
      <c r="AW56" s="37" t="s">
        <v>2096</v>
      </c>
      <c r="AX56" s="37"/>
    </row>
    <row r="57" spans="1:50" x14ac:dyDescent="0.25">
      <c r="A57" s="36" t="str" cm="1">
        <f t="array" aca="1" ref="A57" ca="1">INDEX('SAP Customer Data'!$A:$AC,MATCH(بيانات_العملاء[[#This Row],[رمز شريك الأعمال]],'SAP Customer Data'!$B:$B,0),CELL("col",Table_Customer_Data[[#Headers],[GroupName]]))</f>
        <v>CS01</v>
      </c>
      <c r="B57" s="35" t="s">
        <v>225</v>
      </c>
      <c r="C57" s="37" t="str" cm="1">
        <f t="array" aca="1" ref="C57" ca="1">INDEX('SAP Customer Data'!$A:$AC,MATCH(بيانات_العملاء[[#This Row],[رمز شريك الأعمال]],'SAP Customer Data'!$B:$B,0),CELL("col",Table_Customer_Data[[#Headers],[CardName]]))</f>
        <v>مؤسسة المشعان التجارية</v>
      </c>
      <c r="D57" s="37" t="str">
        <f ca="1">IF(بيانات_العملاء[[#This Row],[حد الائتمان على SAP]]&gt;0,"آجل","نقدى")</f>
        <v>آجل</v>
      </c>
      <c r="E57" s="37" t="s">
        <v>906</v>
      </c>
      <c r="F57" s="37" t="s">
        <v>1081</v>
      </c>
      <c r="G57" s="37" t="s">
        <v>854</v>
      </c>
      <c r="H5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7" s="37" t="s">
        <v>854</v>
      </c>
      <c r="J57" s="38">
        <v>45940</v>
      </c>
      <c r="K57" s="37" t="s">
        <v>855</v>
      </c>
      <c r="L57" s="37" t="str">
        <f ca="1">IF(AND(بيانات_العملاء[[#This Row],[السجل التجارى]]="موجود",TODAY()+'Other Data'!$B$23&lt;J57,بيانات_العملاء[[#This Row],[مطابقة اسم العميل بالاسم بالسجل التجارى]]="مطابق"), "سارى", "يجب اعادة طلبه")</f>
        <v>سارى</v>
      </c>
      <c r="M57" s="37" t="s">
        <v>854</v>
      </c>
      <c r="N57" s="39" t="str" cm="1">
        <f t="array" aca="1" ref="N57" ca="1">INDEX('SAP Customer Data'!$A:$AC,MATCH(بيانات_العملاء[[#This Row],[رمز شريك الأعمال]],'SAP Customer Data'!$B:$B,0),CELL("col",Table_Customer_Data[[#Headers],[LicTradNum]]))</f>
        <v>301009371500003</v>
      </c>
      <c r="O5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7" s="37" t="s">
        <v>856</v>
      </c>
      <c r="Q57" s="38"/>
      <c r="R5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7" s="37" t="s">
        <v>854</v>
      </c>
      <c r="T57" s="40">
        <v>50000</v>
      </c>
      <c r="U57" s="41"/>
      <c r="V5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57" s="37" cm="1">
        <f t="array" aca="1" ref="X57" ca="1">INDEX('SAP Customer Data'!$A:$AC,MATCH(بيانات_العملاء[[#This Row],[رمز شريك الأعمال]],'SAP Customer Data'!$B:$B,0),CELL("col",Table_Customer_Data[[#Headers],[CreditLine]]))</f>
        <v>40000</v>
      </c>
      <c r="Y5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7" s="37" t="s">
        <v>855</v>
      </c>
      <c r="AA5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7" s="37" t="s">
        <v>854</v>
      </c>
      <c r="AC57" s="41">
        <v>50864</v>
      </c>
      <c r="AD5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7" s="37" t="s">
        <v>856</v>
      </c>
      <c r="AF57" s="37"/>
      <c r="AG5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7" s="37" t="s">
        <v>856</v>
      </c>
      <c r="AI57" s="37"/>
      <c r="AJ5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7" s="37"/>
      <c r="AL57" s="38"/>
      <c r="AM5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7" s="37" t="s">
        <v>856</v>
      </c>
      <c r="AO57" s="41"/>
      <c r="AP5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7" s="37" t="s">
        <v>856</v>
      </c>
      <c r="AR57" s="37"/>
      <c r="AS5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7" s="41" cm="1">
        <f t="array" aca="1" ref="AT57" ca="1">INDEX('SAP Customer Data'!A:Z,MATCH(بيانات_العملاء[[#This Row],[رمز شريك الأعمال]],'SAP Customer Data'!B:B,0),CELL("col",Table_Customer_Data[[#Headers],[CreateDate]]))</f>
        <v>44272</v>
      </c>
      <c r="AU57" s="37"/>
      <c r="AV57" s="41"/>
      <c r="AW57" s="37" t="s">
        <v>2097</v>
      </c>
      <c r="AX57" s="37"/>
    </row>
    <row r="58" spans="1:50" x14ac:dyDescent="0.25">
      <c r="A58" s="36" t="str" cm="1">
        <f t="array" aca="1" ref="A58" ca="1">INDEX('SAP Customer Data'!$A:$AC,MATCH(بيانات_العملاء[[#This Row],[رمز شريك الأعمال]],'SAP Customer Data'!$B:$B,0),CELL("col",Table_Customer_Data[[#Headers],[GroupName]]))</f>
        <v>CS01</v>
      </c>
      <c r="B58" s="35" t="s">
        <v>562</v>
      </c>
      <c r="C58" s="37" t="str" cm="1">
        <f t="array" aca="1" ref="C58" ca="1">INDEX('SAP Customer Data'!$A:$AC,MATCH(بيانات_العملاء[[#This Row],[رمز شريك الأعمال]],'SAP Customer Data'!$B:$B,0),CELL("col",Table_Customer_Data[[#Headers],[CardName]]))</f>
        <v>مؤسسة حماد العمري للتجارة</v>
      </c>
      <c r="D58" s="37" t="str">
        <f ca="1">IF(بيانات_العملاء[[#This Row],[حد الائتمان على SAP]]&gt;0,"آجل","نقدى")</f>
        <v>آجل</v>
      </c>
      <c r="E58" s="37" t="s">
        <v>891</v>
      </c>
      <c r="F58" s="37" t="s">
        <v>1081</v>
      </c>
      <c r="G58" s="37" t="s">
        <v>854</v>
      </c>
      <c r="H5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8" s="37" t="s">
        <v>854</v>
      </c>
      <c r="J58" s="38">
        <v>44269</v>
      </c>
      <c r="K58" s="37" t="s">
        <v>855</v>
      </c>
      <c r="L58" s="37" t="str">
        <f ca="1">IF(AND(بيانات_العملاء[[#This Row],[السجل التجارى]]="موجود",TODAY()+'Other Data'!$B$23&lt;J58,بيانات_العملاء[[#This Row],[مطابقة اسم العميل بالاسم بالسجل التجارى]]="مطابق"), "سارى", "يجب اعادة طلبه")</f>
        <v>يجب اعادة طلبه</v>
      </c>
      <c r="M58" s="37" t="s">
        <v>854</v>
      </c>
      <c r="N58" s="39" t="str" cm="1">
        <f t="array" aca="1" ref="N58" ca="1">INDEX('SAP Customer Data'!$A:$AC,MATCH(بيانات_العملاء[[#This Row],[رمز شريك الأعمال]],'SAP Customer Data'!$B:$B,0),CELL("col",Table_Customer_Data[[#Headers],[LicTradNum]]))</f>
        <v>301022477500003</v>
      </c>
      <c r="O5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8" s="37" t="s">
        <v>856</v>
      </c>
      <c r="Q58" s="38"/>
      <c r="R5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8" s="37" t="s">
        <v>854</v>
      </c>
      <c r="T58" s="40">
        <v>30000</v>
      </c>
      <c r="U58" s="41"/>
      <c r="V5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58" s="37" cm="1">
        <f t="array" aca="1" ref="X58" ca="1">INDEX('SAP Customer Data'!$A:$AC,MATCH(بيانات_العملاء[[#This Row],[رمز شريك الأعمال]],'SAP Customer Data'!$B:$B,0),CELL("col",Table_Customer_Data[[#Headers],[CreditLine]]))</f>
        <v>24000</v>
      </c>
      <c r="Y5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8" s="37" t="s">
        <v>855</v>
      </c>
      <c r="AA5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8" s="37" t="s">
        <v>856</v>
      </c>
      <c r="AC58" s="37"/>
      <c r="AD5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8" s="37" t="s">
        <v>856</v>
      </c>
      <c r="AF58" s="37"/>
      <c r="AG5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8" s="37" t="s">
        <v>856</v>
      </c>
      <c r="AI58" s="37"/>
      <c r="AJ5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8" s="37" t="s">
        <v>856</v>
      </c>
      <c r="AL58" s="38"/>
      <c r="AM5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8" s="37" t="s">
        <v>856</v>
      </c>
      <c r="AO58" s="41"/>
      <c r="AP5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8" s="37" t="s">
        <v>856</v>
      </c>
      <c r="AR58" s="37"/>
      <c r="AS5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8" s="41" cm="1">
        <f t="array" aca="1" ref="AT58" ca="1">INDEX('SAP Customer Data'!A:Z,MATCH(بيانات_العملاء[[#This Row],[رمز شريك الأعمال]],'SAP Customer Data'!B:B,0),CELL("col",Table_Customer_Data[[#Headers],[CreateDate]]))</f>
        <v>44143</v>
      </c>
      <c r="AU58" s="37"/>
      <c r="AV58" s="41"/>
      <c r="AW58" s="37" t="s">
        <v>2097</v>
      </c>
      <c r="AX58" s="37"/>
    </row>
    <row r="59" spans="1:50" x14ac:dyDescent="0.25">
      <c r="A59" s="36" t="str" cm="1">
        <f t="array" aca="1" ref="A59" ca="1">INDEX('SAP Customer Data'!$A:$AC,MATCH(بيانات_العملاء[[#This Row],[رمز شريك الأعمال]],'SAP Customer Data'!$B:$B,0),CELL("col",Table_Customer_Data[[#Headers],[GroupName]]))</f>
        <v>CS01</v>
      </c>
      <c r="B59" s="35" t="s">
        <v>451</v>
      </c>
      <c r="C59" s="37" t="str" cm="1">
        <f t="array" aca="1" ref="C59" ca="1">INDEX('SAP Customer Data'!$A:$AC,MATCH(بيانات_العملاء[[#This Row],[رمز شريك الأعمال]],'SAP Customer Data'!$B:$B,0),CELL("col",Table_Customer_Data[[#Headers],[CardName]]))</f>
        <v>محل النهضة العمرانية لمواد البناء</v>
      </c>
      <c r="D59" s="37" t="str">
        <f ca="1">IF(بيانات_العملاء[[#This Row],[حد الائتمان على SAP]]&gt;0,"آجل","نقدى")</f>
        <v>آجل</v>
      </c>
      <c r="E59" s="37"/>
      <c r="F59" s="37" t="s">
        <v>1082</v>
      </c>
      <c r="G59" s="37" t="s">
        <v>854</v>
      </c>
      <c r="H5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9" s="37" t="s">
        <v>856</v>
      </c>
      <c r="J59" s="38"/>
      <c r="K59" s="37"/>
      <c r="L59" s="37" t="str">
        <f ca="1">IF(AND(بيانات_العملاء[[#This Row],[السجل التجارى]]="موجود",TODAY()+'Other Data'!$B$23&lt;J59,بيانات_العملاء[[#This Row],[مطابقة اسم العميل بالاسم بالسجل التجارى]]="مطابق"), "سارى", "يجب اعادة طلبه")</f>
        <v>يجب اعادة طلبه</v>
      </c>
      <c r="M59" s="37" t="s">
        <v>856</v>
      </c>
      <c r="N59" s="39" t="str" cm="1">
        <f t="array" aca="1" ref="N59" ca="1">INDEX('SAP Customer Data'!$A:$AC,MATCH(بيانات_العملاء[[#This Row],[رمز شريك الأعمال]],'SAP Customer Data'!$B:$B,0),CELL("col",Table_Customer_Data[[#Headers],[LicTradNum]]))</f>
        <v>301025573500003</v>
      </c>
      <c r="O5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9" s="37" t="s">
        <v>856</v>
      </c>
      <c r="Q59" s="38"/>
      <c r="R5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9" s="37" t="s">
        <v>854</v>
      </c>
      <c r="T59" s="40">
        <v>50000</v>
      </c>
      <c r="U59" s="41"/>
      <c r="V5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59" s="37" cm="1">
        <f t="array" aca="1" ref="X59" ca="1">INDEX('SAP Customer Data'!$A:$AC,MATCH(بيانات_العملاء[[#This Row],[رمز شريك الأعمال]],'SAP Customer Data'!$B:$B,0),CELL("col",Table_Customer_Data[[#Headers],[CreditLine]]))</f>
        <v>40000</v>
      </c>
      <c r="Y5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9" s="37" t="s">
        <v>859</v>
      </c>
      <c r="AA5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9" s="37" t="s">
        <v>856</v>
      </c>
      <c r="AC59" s="37"/>
      <c r="AD5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9" s="37" t="s">
        <v>856</v>
      </c>
      <c r="AF59" s="37"/>
      <c r="AG5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9" s="37" t="s">
        <v>856</v>
      </c>
      <c r="AI59" s="37"/>
      <c r="AJ5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9" s="37"/>
      <c r="AL59" s="38"/>
      <c r="AM5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9" s="37" t="s">
        <v>856</v>
      </c>
      <c r="AO59" s="41"/>
      <c r="AP5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9" s="37" t="s">
        <v>856</v>
      </c>
      <c r="AR59" s="37"/>
      <c r="AS5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9" s="41" cm="1">
        <f t="array" aca="1" ref="AT59" ca="1">INDEX('SAP Customer Data'!A:Z,MATCH(بيانات_العملاء[[#This Row],[رمز شريك الأعمال]],'SAP Customer Data'!B:B,0),CELL("col",Table_Customer_Data[[#Headers],[CreateDate]]))</f>
        <v>44518</v>
      </c>
      <c r="AU59" s="37"/>
      <c r="AV59" s="41"/>
      <c r="AW59" s="37" t="s">
        <v>2097</v>
      </c>
      <c r="AX59" s="37"/>
    </row>
    <row r="60" spans="1:50" x14ac:dyDescent="0.25">
      <c r="A60" s="36" t="str" cm="1">
        <f t="array" aca="1" ref="A60" ca="1">INDEX('SAP Customer Data'!$A:$AC,MATCH(بيانات_العملاء[[#This Row],[رمز شريك الأعمال]],'SAP Customer Data'!$B:$B,0),CELL("col",Table_Customer_Data[[#Headers],[GroupName]]))</f>
        <v>CS01</v>
      </c>
      <c r="B60" s="35" t="s">
        <v>195</v>
      </c>
      <c r="C60" s="37" t="str" cm="1">
        <f t="array" aca="1" ref="C60" ca="1">INDEX('SAP Customer Data'!$A:$AC,MATCH(بيانات_العملاء[[#This Row],[رمز شريك الأعمال]],'SAP Customer Data'!$B:$B,0),CELL("col",Table_Customer_Data[[#Headers],[CardName]]))</f>
        <v>مؤسسة البليهي</v>
      </c>
      <c r="D60" s="37" t="str">
        <f ca="1">IF(بيانات_العملاء[[#This Row],[حد الائتمان على SAP]]&gt;0,"آجل","نقدى")</f>
        <v>آجل</v>
      </c>
      <c r="E60" s="37"/>
      <c r="F60" s="37" t="s">
        <v>1082</v>
      </c>
      <c r="G60" s="37" t="s">
        <v>854</v>
      </c>
      <c r="H6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60" s="37" t="s">
        <v>856</v>
      </c>
      <c r="J60" s="38"/>
      <c r="K60" s="37"/>
      <c r="L60" s="37" t="str">
        <f ca="1">IF(AND(بيانات_العملاء[[#This Row],[السجل التجارى]]="موجود",TODAY()+'Other Data'!$B$23&lt;J60,بيانات_العملاء[[#This Row],[مطابقة اسم العميل بالاسم بالسجل التجارى]]="مطابق"), "سارى", "يجب اعادة طلبه")</f>
        <v>يجب اعادة طلبه</v>
      </c>
      <c r="M60" s="37" t="s">
        <v>856</v>
      </c>
      <c r="N60" s="39" t="str" cm="1">
        <f t="array" aca="1" ref="N60" ca="1">INDEX('SAP Customer Data'!$A:$AC,MATCH(بيانات_العملاء[[#This Row],[رمز شريك الأعمال]],'SAP Customer Data'!$B:$B,0),CELL("col",Table_Customer_Data[[#Headers],[LicTradNum]]))</f>
        <v>301029683900003</v>
      </c>
      <c r="O6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60" s="37" t="s">
        <v>856</v>
      </c>
      <c r="Q60" s="38"/>
      <c r="R6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0" s="37" t="s">
        <v>854</v>
      </c>
      <c r="T60" s="40">
        <v>50000</v>
      </c>
      <c r="U60" s="41"/>
      <c r="V6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6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60" s="37" cm="1">
        <f t="array" aca="1" ref="X60" ca="1">INDEX('SAP Customer Data'!$A:$AC,MATCH(بيانات_العملاء[[#This Row],[رمز شريك الأعمال]],'SAP Customer Data'!$B:$B,0),CELL("col",Table_Customer_Data[[#Headers],[CreditLine]]))</f>
        <v>40000</v>
      </c>
      <c r="Y6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0" s="37" t="s">
        <v>859</v>
      </c>
      <c r="AA6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60" s="37" t="s">
        <v>856</v>
      </c>
      <c r="AC60" s="37"/>
      <c r="AD6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0" s="37" t="s">
        <v>856</v>
      </c>
      <c r="AF60" s="37"/>
      <c r="AG6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0" s="37" t="s">
        <v>856</v>
      </c>
      <c r="AI60" s="37"/>
      <c r="AJ6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0" s="37"/>
      <c r="AL60" s="38"/>
      <c r="AM6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0" s="37" t="s">
        <v>856</v>
      </c>
      <c r="AO60" s="41"/>
      <c r="AP6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0" s="37" t="s">
        <v>856</v>
      </c>
      <c r="AR60" s="37"/>
      <c r="AS6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0" s="41" cm="1">
        <f t="array" aca="1" ref="AT60" ca="1">INDEX('SAP Customer Data'!A:Z,MATCH(بيانات_العملاء[[#This Row],[رمز شريك الأعمال]],'SAP Customer Data'!B:B,0),CELL("col",Table_Customer_Data[[#Headers],[CreateDate]]))</f>
        <v>43581</v>
      </c>
      <c r="AU60" s="37"/>
      <c r="AV60" s="41"/>
      <c r="AW60" s="37" t="s">
        <v>2097</v>
      </c>
      <c r="AX60" s="37"/>
    </row>
    <row r="61" spans="1:50" x14ac:dyDescent="0.25">
      <c r="A61" s="36" t="str" cm="1">
        <f t="array" aca="1" ref="A61" ca="1">INDEX('SAP Customer Data'!$A:$AC,MATCH(بيانات_العملاء[[#This Row],[رمز شريك الأعمال]],'SAP Customer Data'!$B:$B,0),CELL("col",Table_Customer_Data[[#Headers],[GroupName]]))</f>
        <v>CS01</v>
      </c>
      <c r="B61" s="35" t="s">
        <v>504</v>
      </c>
      <c r="C61" s="37" t="str" cm="1">
        <f t="array" aca="1" ref="C61" ca="1">INDEX('SAP Customer Data'!$A:$AC,MATCH(بيانات_العملاء[[#This Row],[رمز شريك الأعمال]],'SAP Customer Data'!$B:$B,0),CELL("col",Table_Customer_Data[[#Headers],[CardName]]))</f>
        <v>محل العجلان</v>
      </c>
      <c r="D61" s="37" t="str">
        <f ca="1">IF(بيانات_العملاء[[#This Row],[حد الائتمان على SAP]]&gt;0,"آجل","نقدى")</f>
        <v>آجل</v>
      </c>
      <c r="E61" s="37"/>
      <c r="F61" s="37" t="s">
        <v>1082</v>
      </c>
      <c r="G61" s="37" t="s">
        <v>854</v>
      </c>
      <c r="H6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61" s="37" t="s">
        <v>856</v>
      </c>
      <c r="J61" s="38"/>
      <c r="K61" s="37"/>
      <c r="L61" s="37" t="str">
        <f ca="1">IF(AND(بيانات_العملاء[[#This Row],[السجل التجارى]]="موجود",TODAY()+'Other Data'!$B$23&lt;J61,بيانات_العملاء[[#This Row],[مطابقة اسم العميل بالاسم بالسجل التجارى]]="مطابق"), "سارى", "يجب اعادة طلبه")</f>
        <v>يجب اعادة طلبه</v>
      </c>
      <c r="M61" s="37" t="s">
        <v>856</v>
      </c>
      <c r="N61" s="39" t="str" cm="1">
        <f t="array" aca="1" ref="N61" ca="1">INDEX('SAP Customer Data'!$A:$AC,MATCH(بيانات_العملاء[[#This Row],[رمز شريك الأعمال]],'SAP Customer Data'!$B:$B,0),CELL("col",Table_Customer_Data[[#Headers],[LicTradNum]]))</f>
        <v>301065568900003</v>
      </c>
      <c r="O6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61" s="37" t="s">
        <v>856</v>
      </c>
      <c r="Q61" s="38"/>
      <c r="R6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1" s="37" t="s">
        <v>854</v>
      </c>
      <c r="T61" s="40">
        <v>30000</v>
      </c>
      <c r="U61" s="41"/>
      <c r="V6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6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61" s="37" cm="1">
        <f t="array" aca="1" ref="X61" ca="1">INDEX('SAP Customer Data'!$A:$AC,MATCH(بيانات_العملاء[[#This Row],[رمز شريك الأعمال]],'SAP Customer Data'!$B:$B,0),CELL("col",Table_Customer_Data[[#Headers],[CreditLine]]))</f>
        <v>24000</v>
      </c>
      <c r="Y6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1" s="37" t="s">
        <v>859</v>
      </c>
      <c r="AA6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61" s="37" t="s">
        <v>856</v>
      </c>
      <c r="AC61" s="37"/>
      <c r="AD6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1" s="37" t="s">
        <v>856</v>
      </c>
      <c r="AF61" s="37"/>
      <c r="AG6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1" s="37" t="s">
        <v>856</v>
      </c>
      <c r="AI61" s="37"/>
      <c r="AJ6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1" s="37" t="s">
        <v>856</v>
      </c>
      <c r="AL61" s="38"/>
      <c r="AM6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1" s="37" t="s">
        <v>856</v>
      </c>
      <c r="AO61" s="41"/>
      <c r="AP6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1" s="37" t="s">
        <v>856</v>
      </c>
      <c r="AR61" s="37"/>
      <c r="AS6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1" s="41" cm="1">
        <f t="array" aca="1" ref="AT61" ca="1">INDEX('SAP Customer Data'!A:Z,MATCH(بيانات_العملاء[[#This Row],[رمز شريك الأعمال]],'SAP Customer Data'!B:B,0),CELL("col",Table_Customer_Data[[#Headers],[CreateDate]]))</f>
        <v>43581</v>
      </c>
      <c r="AU61" s="37"/>
      <c r="AV61" s="41"/>
      <c r="AW61" s="37" t="s">
        <v>2097</v>
      </c>
      <c r="AX61" s="37"/>
    </row>
    <row r="62" spans="1:50" x14ac:dyDescent="0.25">
      <c r="A62" s="36" t="str" cm="1">
        <f t="array" aca="1" ref="A62" ca="1">INDEX('SAP Customer Data'!$A:$AC,MATCH(بيانات_العملاء[[#This Row],[رمز شريك الأعمال]],'SAP Customer Data'!$B:$B,0),CELL("col",Table_Customer_Data[[#Headers],[GroupName]]))</f>
        <v>CS01</v>
      </c>
      <c r="B62" s="35" t="s">
        <v>545</v>
      </c>
      <c r="C62" s="37" t="str" cm="1">
        <f t="array" aca="1" ref="C62" ca="1">INDEX('SAP Customer Data'!$A:$AC,MATCH(بيانات_العملاء[[#This Row],[رمز شريك الأعمال]],'SAP Customer Data'!$B:$B,0),CELL("col",Table_Customer_Data[[#Headers],[CardName]]))</f>
        <v>مؤسسة عمر مرزوق الحارثي للمقاولات</v>
      </c>
      <c r="D62" s="37" t="str">
        <f ca="1">IF(بيانات_العملاء[[#This Row],[حد الائتمان على SAP]]&gt;0,"آجل","نقدى")</f>
        <v>آجل</v>
      </c>
      <c r="E62" s="37" t="s">
        <v>888</v>
      </c>
      <c r="F62" s="37" t="s">
        <v>1081</v>
      </c>
      <c r="G62" s="37" t="s">
        <v>854</v>
      </c>
      <c r="H6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62" s="37" t="s">
        <v>854</v>
      </c>
      <c r="J62" s="38">
        <v>44278</v>
      </c>
      <c r="K62" s="37" t="s">
        <v>855</v>
      </c>
      <c r="L62" s="37" t="str">
        <f ca="1">IF(AND(بيانات_العملاء[[#This Row],[السجل التجارى]]="موجود",TODAY()+'Other Data'!$B$23&lt;J62,بيانات_العملاء[[#This Row],[مطابقة اسم العميل بالاسم بالسجل التجارى]]="مطابق"), "سارى", "يجب اعادة طلبه")</f>
        <v>يجب اعادة طلبه</v>
      </c>
      <c r="M62" s="37" t="s">
        <v>856</v>
      </c>
      <c r="N62" s="39" t="str" cm="1">
        <f t="array" aca="1" ref="N62" ca="1">INDEX('SAP Customer Data'!$A:$AC,MATCH(بيانات_العملاء[[#This Row],[رمز شريك الأعمال]],'SAP Customer Data'!$B:$B,0),CELL("col",Table_Customer_Data[[#Headers],[LicTradNum]]))</f>
        <v>301118976900003</v>
      </c>
      <c r="O6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62" s="37" t="s">
        <v>856</v>
      </c>
      <c r="Q62" s="38"/>
      <c r="R6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2" s="37" t="s">
        <v>1075</v>
      </c>
      <c r="T62" s="40">
        <v>40000</v>
      </c>
      <c r="U62" s="41">
        <v>43701</v>
      </c>
      <c r="V62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6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62" s="37" cm="1">
        <f t="array" aca="1" ref="X62" ca="1">INDEX('SAP Customer Data'!$A:$AC,MATCH(بيانات_العملاء[[#This Row],[رمز شريك الأعمال]],'SAP Customer Data'!$B:$B,0),CELL("col",Table_Customer_Data[[#Headers],[CreditLine]]))</f>
        <v>40000</v>
      </c>
      <c r="Y6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2" s="37"/>
      <c r="AA6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62" s="37" t="s">
        <v>856</v>
      </c>
      <c r="AC62" s="37"/>
      <c r="AD6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2" s="37" t="s">
        <v>856</v>
      </c>
      <c r="AF62" s="37"/>
      <c r="AG6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2" s="37" t="s">
        <v>856</v>
      </c>
      <c r="AI62" s="37"/>
      <c r="AJ6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2" s="37" t="s">
        <v>856</v>
      </c>
      <c r="AL62" s="38"/>
      <c r="AM6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2" s="37" t="s">
        <v>856</v>
      </c>
      <c r="AO62" s="41"/>
      <c r="AP6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2" s="37" t="s">
        <v>856</v>
      </c>
      <c r="AR62" s="37"/>
      <c r="AS6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2" s="41" cm="1">
        <f t="array" aca="1" ref="AT62" ca="1">INDEX('SAP Customer Data'!A:Z,MATCH(بيانات_العملاء[[#This Row],[رمز شريك الأعمال]],'SAP Customer Data'!B:B,0),CELL("col",Table_Customer_Data[[#Headers],[CreateDate]]))</f>
        <v>43750</v>
      </c>
      <c r="AU62" s="37"/>
      <c r="AV62" s="41"/>
      <c r="AW62" s="37" t="s">
        <v>2097</v>
      </c>
      <c r="AX62" s="37"/>
    </row>
    <row r="63" spans="1:50" x14ac:dyDescent="0.25">
      <c r="A63" s="16" t="str" cm="1">
        <f t="array" aca="1" ref="A63" ca="1">INDEX('SAP Customer Data'!$A:$AC,MATCH(بيانات_العملاء[[#This Row],[رمز شريك الأعمال]],'SAP Customer Data'!$B:$B,0),CELL("col",Table_Customer_Data[[#Headers],[GroupName]]))</f>
        <v>CS01</v>
      </c>
      <c r="B63" s="17" t="s">
        <v>555</v>
      </c>
      <c r="C63" s="15" t="str" cm="1">
        <f t="array" aca="1" ref="C63" ca="1">INDEX('SAP Customer Data'!$A:$AC,MATCH(بيانات_العملاء[[#This Row],[رمز شريك الأعمال]],'SAP Customer Data'!$B:$B,0),CELL("col",Table_Customer_Data[[#Headers],[CardName]]))</f>
        <v>تطوير البناء لمواد البناء</v>
      </c>
      <c r="D63" s="15" t="str">
        <f ca="1">IF(بيانات_العملاء[[#This Row],[حد الائتمان على SAP]]&gt;0,"آجل","نقدى")</f>
        <v>آجل</v>
      </c>
      <c r="E63" s="15"/>
      <c r="F63" s="15" t="s">
        <v>1082</v>
      </c>
      <c r="G63" s="15" t="s">
        <v>856</v>
      </c>
      <c r="H63" s="15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63" s="15" t="s">
        <v>856</v>
      </c>
      <c r="J63" s="18"/>
      <c r="K63" s="15"/>
      <c r="L63" s="15" t="str">
        <f ca="1">IF(AND(بيانات_العملاء[[#This Row],[السجل التجارى]]="موجود",TODAY()+'Other Data'!$B$23&lt;J63,بيانات_العملاء[[#This Row],[مطابقة اسم العميل بالاسم بالسجل التجارى]]="مطابق"), "سارى", "يجب اعادة طلبه")</f>
        <v>يجب اعادة طلبه</v>
      </c>
      <c r="M63" s="15" t="s">
        <v>854</v>
      </c>
      <c r="N63" s="19" t="str" cm="1">
        <f t="array" aca="1" ref="N63" ca="1">INDEX('SAP Customer Data'!$A:$AC,MATCH(بيانات_العملاء[[#This Row],[رمز شريك الأعمال]],'SAP Customer Data'!$B:$B,0),CELL("col",Table_Customer_Data[[#Headers],[LicTradNum]]))</f>
        <v>301119776300003</v>
      </c>
      <c r="O63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63" s="15" t="s">
        <v>856</v>
      </c>
      <c r="Q63" s="18"/>
      <c r="R63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3" s="15" t="s">
        <v>856</v>
      </c>
      <c r="T63" s="20"/>
      <c r="U63" s="8"/>
      <c r="V63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6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63" s="15" cm="1">
        <f t="array" aca="1" ref="X63" ca="1">INDEX('SAP Customer Data'!$A:$AC,MATCH(بيانات_العملاء[[#This Row],[رمز شريك الأعمال]],'SAP Customer Data'!$B:$B,0),CELL("col",Table_Customer_Data[[#Headers],[CreditLine]]))</f>
        <v>40000</v>
      </c>
      <c r="Y6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63" s="37"/>
      <c r="AA6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63" s="15" t="s">
        <v>856</v>
      </c>
      <c r="AC63" s="15"/>
      <c r="AD63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3" s="15" t="s">
        <v>856</v>
      </c>
      <c r="AF63" s="15"/>
      <c r="AG63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3" s="15" t="s">
        <v>856</v>
      </c>
      <c r="AI63" s="15"/>
      <c r="AJ63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3" s="15"/>
      <c r="AL63" s="18"/>
      <c r="AM63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3" s="15" t="s">
        <v>856</v>
      </c>
      <c r="AO63" s="8"/>
      <c r="AP63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3" s="15" t="s">
        <v>856</v>
      </c>
      <c r="AR63" s="15"/>
      <c r="AS63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3" s="8" cm="1">
        <f t="array" aca="1" ref="AT63" ca="1">INDEX('SAP Customer Data'!A:Z,MATCH(بيانات_العملاء[[#This Row],[رمز شريك الأعمال]],'SAP Customer Data'!B:B,0),CELL("col",Table_Customer_Data[[#Headers],[CreateDate]]))</f>
        <v>43983</v>
      </c>
      <c r="AU63" s="15"/>
      <c r="AV63" s="33" t="s">
        <v>920</v>
      </c>
      <c r="AW63" s="15" t="s">
        <v>2097</v>
      </c>
      <c r="AX63" s="15"/>
    </row>
    <row r="64" spans="1:50" x14ac:dyDescent="0.25">
      <c r="A64" s="36" t="str" cm="1">
        <f t="array" aca="1" ref="A64" ca="1">INDEX('SAP Customer Data'!$A:$AC,MATCH(بيانات_العملاء[[#This Row],[رمز شريك الأعمال]],'SAP Customer Data'!$B:$B,0),CELL("col",Table_Customer_Data[[#Headers],[GroupName]]))</f>
        <v>CS01</v>
      </c>
      <c r="B64" s="42" t="s">
        <v>387</v>
      </c>
      <c r="C64" s="37" t="str" cm="1">
        <f t="array" aca="1" ref="C64" ca="1">INDEX('SAP Customer Data'!$A:$AC,MATCH(بيانات_العملاء[[#This Row],[رمز شريك الأعمال]],'SAP Customer Data'!$B:$B,0),CELL("col",Table_Customer_Data[[#Headers],[CardName]]))</f>
        <v>شركة ربيع عنيزة الهزازي - نقدي</v>
      </c>
      <c r="D64" s="37" t="str">
        <f ca="1">IF(بيانات_العملاء[[#This Row],[حد الائتمان على SAP]]&gt;0,"آجل","نقدى")</f>
        <v>نقدى</v>
      </c>
      <c r="E64" s="37"/>
      <c r="F64" s="37" t="s">
        <v>1082</v>
      </c>
      <c r="G64" s="37" t="s">
        <v>856</v>
      </c>
      <c r="H6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64" s="37" t="s">
        <v>856</v>
      </c>
      <c r="J64" s="38"/>
      <c r="K64" s="37"/>
      <c r="L64" s="37" t="str">
        <f ca="1">IF(AND(بيانات_العملاء[[#This Row],[السجل التجارى]]="موجود",TODAY()+'Other Data'!$B$23&lt;J64,بيانات_العملاء[[#This Row],[مطابقة اسم العميل بالاسم بالسجل التجارى]]="مطابق"), "سارى", "يجب اعادة طلبه")</f>
        <v>يجب اعادة طلبه</v>
      </c>
      <c r="M64" s="37" t="s">
        <v>854</v>
      </c>
      <c r="N64" s="39" t="str" cm="1">
        <f t="array" aca="1" ref="N64" ca="1">INDEX('SAP Customer Data'!$A:$AC,MATCH(بيانات_العملاء[[#This Row],[رمز شريك الأعمال]],'SAP Customer Data'!$B:$B,0),CELL("col",Table_Customer_Data[[#Headers],[LicTradNum]]))</f>
        <v>310141879100003</v>
      </c>
      <c r="O6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64" s="37" t="s">
        <v>856</v>
      </c>
      <c r="Q64" s="38"/>
      <c r="R6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4" s="37" t="s">
        <v>1080</v>
      </c>
      <c r="T64" s="40"/>
      <c r="U64" s="41"/>
      <c r="V6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6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64" s="37" cm="1">
        <f t="array" aca="1" ref="X64" ca="1">INDEX('SAP Customer Data'!$A:$AC,MATCH(بيانات_العملاء[[#This Row],[رمز شريك الأعمال]],'SAP Customer Data'!$B:$B,0),CELL("col",Table_Customer_Data[[#Headers],[CreditLine]]))</f>
        <v>0</v>
      </c>
      <c r="Y6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4" s="37"/>
      <c r="AA6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64" s="37" t="s">
        <v>856</v>
      </c>
      <c r="AC64" s="37"/>
      <c r="AD6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4" s="37" t="s">
        <v>856</v>
      </c>
      <c r="AF64" s="37"/>
      <c r="AG6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4" s="37" t="s">
        <v>856</v>
      </c>
      <c r="AI64" s="37"/>
      <c r="AJ6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4" s="37"/>
      <c r="AL64" s="38"/>
      <c r="AM6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4" s="37" t="s">
        <v>856</v>
      </c>
      <c r="AO64" s="41"/>
      <c r="AP6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4" s="37" t="s">
        <v>856</v>
      </c>
      <c r="AR64" s="37"/>
      <c r="AS6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4" s="41" cm="1">
        <f t="array" aca="1" ref="AT64" ca="1">INDEX('SAP Customer Data'!A:Z,MATCH(بيانات_العملاء[[#This Row],[رمز شريك الأعمال]],'SAP Customer Data'!B:B,0),CELL("col",Table_Customer_Data[[#Headers],[CreateDate]]))</f>
        <v>44016</v>
      </c>
      <c r="AU64" s="37"/>
      <c r="AV64" s="41"/>
      <c r="AW64" s="37" t="s">
        <v>2096</v>
      </c>
      <c r="AX64" s="37"/>
    </row>
    <row r="65" spans="1:50" x14ac:dyDescent="0.25">
      <c r="A65" s="36" t="str" cm="1">
        <f t="array" aca="1" ref="A65" ca="1">INDEX('SAP Customer Data'!$A:$AC,MATCH(بيانات_العملاء[[#This Row],[رمز شريك الأعمال]],'SAP Customer Data'!$B:$B,0),CELL("col",Table_Customer_Data[[#Headers],[GroupName]]))</f>
        <v>CS01</v>
      </c>
      <c r="B65" s="42" t="s">
        <v>592</v>
      </c>
      <c r="C65" s="37" t="str" cm="1">
        <f t="array" aca="1" ref="C65" ca="1">INDEX('SAP Customer Data'!$A:$AC,MATCH(بيانات_العملاء[[#This Row],[رمز شريك الأعمال]],'SAP Customer Data'!$B:$B,0),CELL("col",Table_Customer_Data[[#Headers],[CardName]]))</f>
        <v>مؤسسة تناسق الاضواء التجارية - نقدي</v>
      </c>
      <c r="D65" s="37" t="str">
        <f ca="1">IF(بيانات_العملاء[[#This Row],[حد الائتمان على SAP]]&gt;0,"آجل","نقدى")</f>
        <v>نقدى</v>
      </c>
      <c r="E65" s="37"/>
      <c r="F65" s="37" t="s">
        <v>1082</v>
      </c>
      <c r="G65" s="37" t="s">
        <v>856</v>
      </c>
      <c r="H6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65" s="37" t="s">
        <v>856</v>
      </c>
      <c r="J65" s="38"/>
      <c r="K65" s="37"/>
      <c r="L65" s="37" t="str">
        <f ca="1">IF(AND(بيانات_العملاء[[#This Row],[السجل التجارى]]="موجود",TODAY()+'Other Data'!$B$23&lt;J65,بيانات_العملاء[[#This Row],[مطابقة اسم العميل بالاسم بالسجل التجارى]]="مطابق"), "سارى", "يجب اعادة طلبه")</f>
        <v>يجب اعادة طلبه</v>
      </c>
      <c r="M65" s="37" t="s">
        <v>854</v>
      </c>
      <c r="N65" s="39" t="str" cm="1">
        <f t="array" aca="1" ref="N65" ca="1">INDEX('SAP Customer Data'!$A:$AC,MATCH(بيانات_العملاء[[#This Row],[رمز شريك الأعمال]],'SAP Customer Data'!$B:$B,0),CELL("col",Table_Customer_Data[[#Headers],[LicTradNum]]))</f>
        <v>300838902900003</v>
      </c>
      <c r="O6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65" s="37" t="s">
        <v>856</v>
      </c>
      <c r="Q65" s="38"/>
      <c r="R6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5" s="37" t="s">
        <v>1080</v>
      </c>
      <c r="T65" s="40"/>
      <c r="U65" s="41"/>
      <c r="V6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6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65" s="37" cm="1">
        <f t="array" aca="1" ref="X65" ca="1">INDEX('SAP Customer Data'!$A:$AC,MATCH(بيانات_العملاء[[#This Row],[رمز شريك الأعمال]],'SAP Customer Data'!$B:$B,0),CELL("col",Table_Customer_Data[[#Headers],[CreditLine]]))</f>
        <v>0</v>
      </c>
      <c r="Y6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5" s="37"/>
      <c r="AA6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65" s="37" t="s">
        <v>856</v>
      </c>
      <c r="AC65" s="37"/>
      <c r="AD6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5" s="37" t="s">
        <v>856</v>
      </c>
      <c r="AF65" s="37"/>
      <c r="AG6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5" s="37" t="s">
        <v>856</v>
      </c>
      <c r="AI65" s="37"/>
      <c r="AJ6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5" s="37"/>
      <c r="AL65" s="38"/>
      <c r="AM6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5" s="37" t="s">
        <v>856</v>
      </c>
      <c r="AO65" s="41"/>
      <c r="AP6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5" s="37" t="s">
        <v>856</v>
      </c>
      <c r="AR65" s="37"/>
      <c r="AS6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5" s="41" cm="1">
        <f t="array" aca="1" ref="AT65" ca="1">INDEX('SAP Customer Data'!A:Z,MATCH(بيانات_العملاء[[#This Row],[رمز شريك الأعمال]],'SAP Customer Data'!B:B,0),CELL("col",Table_Customer_Data[[#Headers],[CreateDate]]))</f>
        <v>44562</v>
      </c>
      <c r="AU65" s="37"/>
      <c r="AV65" s="41"/>
      <c r="AW65" s="37" t="s">
        <v>2097</v>
      </c>
      <c r="AX65" s="37"/>
    </row>
    <row r="66" spans="1:50" x14ac:dyDescent="0.25">
      <c r="A66" s="36" t="str" cm="1">
        <f t="array" aca="1" ref="A66" ca="1">INDEX('SAP Customer Data'!$A:$AC,MATCH(بيانات_العملاء[[#This Row],[رمز شريك الأعمال]],'SAP Customer Data'!$B:$B,0),CELL("col",Table_Customer_Data[[#Headers],[GroupName]]))</f>
        <v>CS01</v>
      </c>
      <c r="B66" s="35" t="s">
        <v>542</v>
      </c>
      <c r="C66" s="37" t="str" cm="1">
        <f t="array" aca="1" ref="C66" ca="1">INDEX('SAP Customer Data'!$A:$AC,MATCH(بيانات_العملاء[[#This Row],[رمز شريك الأعمال]],'SAP Customer Data'!$B:$B,0),CELL("col",Table_Customer_Data[[#Headers],[CardName]]))</f>
        <v>العمران والري  شقراء</v>
      </c>
      <c r="D66" s="37" t="str">
        <f ca="1">IF(بيانات_العملاء[[#This Row],[حد الائتمان على SAP]]&gt;0,"آجل","نقدى")</f>
        <v>آجل</v>
      </c>
      <c r="E66" s="37" t="s">
        <v>887</v>
      </c>
      <c r="F66" s="37" t="s">
        <v>1081</v>
      </c>
      <c r="G66" s="37" t="s">
        <v>854</v>
      </c>
      <c r="H6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66" s="37" t="s">
        <v>854</v>
      </c>
      <c r="J66" s="38">
        <v>43661</v>
      </c>
      <c r="K66" s="37" t="s">
        <v>859</v>
      </c>
      <c r="L66" s="37" t="str">
        <f ca="1">IF(AND(بيانات_العملاء[[#This Row],[السجل التجارى]]="موجود",TODAY()+'Other Data'!$B$23&lt;J66,بيانات_العملاء[[#This Row],[مطابقة اسم العميل بالاسم بالسجل التجارى]]="مطابق"), "سارى", "يجب اعادة طلبه")</f>
        <v>يجب اعادة طلبه</v>
      </c>
      <c r="M66" s="37" t="s">
        <v>856</v>
      </c>
      <c r="N66" s="39" t="str" cm="1">
        <f t="array" aca="1" ref="N66" ca="1">INDEX('SAP Customer Data'!$A:$AC,MATCH(بيانات_العملاء[[#This Row],[رمز شريك الأعمال]],'SAP Customer Data'!$B:$B,0),CELL("col",Table_Customer_Data[[#Headers],[LicTradNum]]))</f>
        <v>301129059200003</v>
      </c>
      <c r="O6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66" s="37" t="s">
        <v>856</v>
      </c>
      <c r="Q66" s="38"/>
      <c r="R6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6" s="37" t="s">
        <v>854</v>
      </c>
      <c r="T66" s="40">
        <v>50000</v>
      </c>
      <c r="U66" s="41">
        <v>43627</v>
      </c>
      <c r="V66" s="41">
        <f>IF(بيانات_العملاء[[#This Row],[تاريخ انشاء سند الامر او الاستثناء]]="",0,بيانات_العملاء[[#This Row],[تاريخ انشاء سند الامر او الاستثناء]]+365*3)</f>
        <v>44722</v>
      </c>
      <c r="W6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66" s="37" cm="1">
        <f t="array" aca="1" ref="X66" ca="1">INDEX('SAP Customer Data'!$A:$AC,MATCH(بيانات_العملاء[[#This Row],[رمز شريك الأعمال]],'SAP Customer Data'!$B:$B,0),CELL("col",Table_Customer_Data[[#Headers],[CreditLine]]))</f>
        <v>40000</v>
      </c>
      <c r="Y6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6" s="37" t="s">
        <v>855</v>
      </c>
      <c r="AA6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66" s="37" t="s">
        <v>856</v>
      </c>
      <c r="AC66" s="37"/>
      <c r="AD6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6" s="37" t="s">
        <v>856</v>
      </c>
      <c r="AF66" s="37"/>
      <c r="AG6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6" s="37" t="s">
        <v>856</v>
      </c>
      <c r="AI66" s="37"/>
      <c r="AJ6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6" s="37" t="s">
        <v>856</v>
      </c>
      <c r="AL66" s="38"/>
      <c r="AM6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6" s="37" t="s">
        <v>856</v>
      </c>
      <c r="AO66" s="41"/>
      <c r="AP6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6" s="37" t="s">
        <v>856</v>
      </c>
      <c r="AR66" s="37"/>
      <c r="AS6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6" s="41" cm="1">
        <f t="array" aca="1" ref="AT66" ca="1">INDEX('SAP Customer Data'!A:Z,MATCH(بيانات_العملاء[[#This Row],[رمز شريك الأعمال]],'SAP Customer Data'!B:B,0),CELL("col",Table_Customer_Data[[#Headers],[CreateDate]]))</f>
        <v>43656</v>
      </c>
      <c r="AU66" s="37"/>
      <c r="AV66" s="41" t="s">
        <v>898</v>
      </c>
      <c r="AW66" s="37" t="s">
        <v>2097</v>
      </c>
      <c r="AX66" s="37"/>
    </row>
    <row r="67" spans="1:50" x14ac:dyDescent="0.25">
      <c r="A67" s="36" t="str" cm="1">
        <f t="array" aca="1" ref="A67" ca="1">INDEX('SAP Customer Data'!$A:$AC,MATCH(بيانات_العملاء[[#This Row],[رمز شريك الأعمال]],'SAP Customer Data'!$B:$B,0),CELL("col",Table_Customer_Data[[#Headers],[GroupName]]))</f>
        <v>CS01</v>
      </c>
      <c r="B67" s="35" t="s">
        <v>580</v>
      </c>
      <c r="C67" s="37" t="str" cm="1">
        <f t="array" aca="1" ref="C67" ca="1">INDEX('SAP Customer Data'!$A:$AC,MATCH(بيانات_العملاء[[#This Row],[رمز شريك الأعمال]],'SAP Customer Data'!$B:$B,0),CELL("col",Table_Customer_Data[[#Headers],[CardName]]))</f>
        <v>مؤسسة افاق سدير للتجارة</v>
      </c>
      <c r="D67" s="37" t="str">
        <f ca="1">IF(بيانات_العملاء[[#This Row],[حد الائتمان على SAP]]&gt;0,"آجل","نقدى")</f>
        <v>آجل</v>
      </c>
      <c r="E67" s="37" t="s">
        <v>893</v>
      </c>
      <c r="F67" s="37" t="s">
        <v>1081</v>
      </c>
      <c r="G67" s="37" t="s">
        <v>854</v>
      </c>
      <c r="H6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67" s="37" t="s">
        <v>854</v>
      </c>
      <c r="J67" s="38">
        <v>46149</v>
      </c>
      <c r="K67" s="37" t="s">
        <v>855</v>
      </c>
      <c r="L67" s="37" t="str">
        <f ca="1">IF(AND(بيانات_العملاء[[#This Row],[السجل التجارى]]="موجود",TODAY()+'Other Data'!$B$23&lt;J67,بيانات_العملاء[[#This Row],[مطابقة اسم العميل بالاسم بالسجل التجارى]]="مطابق"), "سارى", "يجب اعادة طلبه")</f>
        <v>سارى</v>
      </c>
      <c r="M67" s="37" t="s">
        <v>854</v>
      </c>
      <c r="N67" s="39" t="str" cm="1">
        <f t="array" aca="1" ref="N67" ca="1">INDEX('SAP Customer Data'!$A:$AC,MATCH(بيانات_العملاء[[#This Row],[رمز شريك الأعمال]],'SAP Customer Data'!$B:$B,0),CELL("col",Table_Customer_Data[[#Headers],[LicTradNum]]))</f>
        <v>301182074900003</v>
      </c>
      <c r="O6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67" s="37" t="s">
        <v>856</v>
      </c>
      <c r="Q67" s="38"/>
      <c r="R6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7" s="37" t="s">
        <v>854</v>
      </c>
      <c r="T67" s="40">
        <v>100000</v>
      </c>
      <c r="U67" s="41"/>
      <c r="V6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6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67" s="37" cm="1">
        <f t="array" aca="1" ref="X67" ca="1">INDEX('SAP Customer Data'!$A:$AC,MATCH(بيانات_العملاء[[#This Row],[رمز شريك الأعمال]],'SAP Customer Data'!$B:$B,0),CELL("col",Table_Customer_Data[[#Headers],[CreditLine]]))</f>
        <v>80000</v>
      </c>
      <c r="Y6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7" s="37" t="s">
        <v>855</v>
      </c>
      <c r="AA6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67" s="37" t="s">
        <v>856</v>
      </c>
      <c r="AC67" s="37"/>
      <c r="AD6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7" s="37" t="s">
        <v>856</v>
      </c>
      <c r="AF67" s="37"/>
      <c r="AG6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7" s="37" t="s">
        <v>856</v>
      </c>
      <c r="AI67" s="37"/>
      <c r="AJ6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7" s="37" t="s">
        <v>856</v>
      </c>
      <c r="AL67" s="38"/>
      <c r="AM6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7" s="37" t="s">
        <v>856</v>
      </c>
      <c r="AO67" s="41"/>
      <c r="AP6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7" s="37" t="s">
        <v>856</v>
      </c>
      <c r="AR67" s="37"/>
      <c r="AS6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7" s="41" cm="1">
        <f t="array" aca="1" ref="AT67" ca="1">INDEX('SAP Customer Data'!A:Z,MATCH(بيانات_العملاء[[#This Row],[رمز شريك الأعمال]],'SAP Customer Data'!B:B,0),CELL("col",Table_Customer_Data[[#Headers],[CreateDate]]))</f>
        <v>44362</v>
      </c>
      <c r="AU67" s="37"/>
      <c r="AV67" s="41"/>
      <c r="AW67" s="37" t="s">
        <v>2097</v>
      </c>
      <c r="AX67" s="37"/>
    </row>
    <row r="68" spans="1:50" x14ac:dyDescent="0.25">
      <c r="A68" s="48" t="str" cm="1">
        <f t="array" aca="1" ref="A68" ca="1">INDEX('SAP Customer Data'!$A:$AC,MATCH(بيانات_العملاء[[#This Row],[رمز شريك الأعمال]],'SAP Customer Data'!$B:$B,0),CELL("col",Table_Customer_Data[[#Headers],[GroupName]]))</f>
        <v>CS01</v>
      </c>
      <c r="B68" s="29" t="s">
        <v>383</v>
      </c>
      <c r="C68" s="30" t="str" cm="1">
        <f t="array" aca="1" ref="C68" ca="1">INDEX('SAP Customer Data'!$A:$AC,MATCH(بيانات_العملاء[[#This Row],[رمز شريك الأعمال]],'SAP Customer Data'!$B:$B,0),CELL("col",Table_Customer_Data[[#Headers],[CardName]]))</f>
        <v>مؤسسة فهد محمد المدوخ(البنيه)</v>
      </c>
      <c r="D68" s="30" t="str">
        <f ca="1">IF(بيانات_العملاء[[#This Row],[حد الائتمان على SAP]]&gt;0,"آجل","نقدى")</f>
        <v>آجل</v>
      </c>
      <c r="E68" s="30"/>
      <c r="F68" s="30" t="s">
        <v>1082</v>
      </c>
      <c r="G68" s="30" t="s">
        <v>854</v>
      </c>
      <c r="H68" s="30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68" s="30" t="s">
        <v>856</v>
      </c>
      <c r="J68" s="31"/>
      <c r="K68" s="30"/>
      <c r="L68" s="30" t="str">
        <f ca="1">IF(AND(بيانات_العملاء[[#This Row],[السجل التجارى]]="موجود",TODAY()+'Other Data'!$B$23&lt;J68,بيانات_العملاء[[#This Row],[مطابقة اسم العميل بالاسم بالسجل التجارى]]="مطابق"), "سارى", "يجب اعادة طلبه")</f>
        <v>يجب اعادة طلبه</v>
      </c>
      <c r="M68" s="30" t="s">
        <v>856</v>
      </c>
      <c r="N68" s="49" t="str" cm="1">
        <f t="array" aca="1" ref="N68" ca="1">INDEX('SAP Customer Data'!$A:$AC,MATCH(بيانات_العملاء[[#This Row],[رمز شريك الأعمال]],'SAP Customer Data'!$B:$B,0),CELL("col",Table_Customer_Data[[#Headers],[LicTradNum]]))</f>
        <v>301200964300003</v>
      </c>
      <c r="O68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68" s="30" t="s">
        <v>856</v>
      </c>
      <c r="Q68" s="31"/>
      <c r="R68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8" s="30" t="s">
        <v>856</v>
      </c>
      <c r="T68" s="32"/>
      <c r="U68" s="33"/>
      <c r="V68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6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68" s="30" cm="1">
        <f t="array" aca="1" ref="X68" ca="1">INDEX('SAP Customer Data'!$A:$AC,MATCH(بيانات_العملاء[[#This Row],[رمز شريك الأعمال]],'SAP Customer Data'!$B:$B,0),CELL("col",Table_Customer_Data[[#Headers],[CreditLine]]))</f>
        <v>30000</v>
      </c>
      <c r="Y6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68" s="37"/>
      <c r="AA6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68" s="30" t="s">
        <v>856</v>
      </c>
      <c r="AC68" s="30"/>
      <c r="AD68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8" s="30" t="s">
        <v>856</v>
      </c>
      <c r="AF68" s="30"/>
      <c r="AG68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8" s="30" t="s">
        <v>856</v>
      </c>
      <c r="AI68" s="30"/>
      <c r="AJ68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8" s="30" t="s">
        <v>856</v>
      </c>
      <c r="AL68" s="31"/>
      <c r="AM68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8" s="30" t="s">
        <v>856</v>
      </c>
      <c r="AO68" s="33"/>
      <c r="AP68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8" s="30" t="s">
        <v>856</v>
      </c>
      <c r="AR68" s="30"/>
      <c r="AS68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8" s="33" cm="1">
        <f t="array" aca="1" ref="AT68" ca="1">INDEX('SAP Customer Data'!A:Z,MATCH(بيانات_العملاء[[#This Row],[رمز شريك الأعمال]],'SAP Customer Data'!B:B,0),CELL("col",Table_Customer_Data[[#Headers],[CreateDate]]))</f>
        <v>43821</v>
      </c>
      <c r="AU68" s="30"/>
      <c r="AV68" s="33" t="s">
        <v>920</v>
      </c>
      <c r="AW68" s="30" t="s">
        <v>2097</v>
      </c>
      <c r="AX68" s="30"/>
    </row>
    <row r="69" spans="1:50" x14ac:dyDescent="0.25">
      <c r="A69" s="36" t="str" cm="1">
        <f t="array" aca="1" ref="A69" ca="1">INDEX('SAP Customer Data'!$A:$AC,MATCH(بيانات_العملاء[[#This Row],[رمز شريك الأعمال]],'SAP Customer Data'!$B:$B,0),CELL("col",Table_Customer_Data[[#Headers],[GroupName]]))</f>
        <v>CS01</v>
      </c>
      <c r="B69" s="35" t="s">
        <v>219</v>
      </c>
      <c r="C69" s="37" t="str" cm="1">
        <f t="array" aca="1" ref="C69" ca="1">INDEX('SAP Customer Data'!$A:$AC,MATCH(بيانات_العملاء[[#This Row],[رمز شريك الأعمال]],'SAP Customer Data'!$B:$B,0),CELL("col",Table_Customer_Data[[#Headers],[CardName]]))</f>
        <v>مؤسسة دنيا السباكة -العمري سابقا</v>
      </c>
      <c r="D69" s="37" t="str">
        <f ca="1">IF(بيانات_العملاء[[#This Row],[حد الائتمان على SAP]]&gt;0,"آجل","نقدى")</f>
        <v>آجل</v>
      </c>
      <c r="E69" s="37" t="s">
        <v>904</v>
      </c>
      <c r="F69" s="37" t="s">
        <v>1081</v>
      </c>
      <c r="G69" s="37" t="s">
        <v>854</v>
      </c>
      <c r="H6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69" s="37" t="s">
        <v>854</v>
      </c>
      <c r="J69" s="38">
        <v>43489</v>
      </c>
      <c r="K69" s="37" t="s">
        <v>855</v>
      </c>
      <c r="L69" s="37" t="str">
        <f ca="1">IF(AND(بيانات_العملاء[[#This Row],[السجل التجارى]]="موجود",TODAY()+'Other Data'!$B$23&lt;J69,بيانات_العملاء[[#This Row],[مطابقة اسم العميل بالاسم بالسجل التجارى]]="مطابق"), "سارى", "يجب اعادة طلبه")</f>
        <v>يجب اعادة طلبه</v>
      </c>
      <c r="M69" s="37" t="s">
        <v>856</v>
      </c>
      <c r="N69" s="39" t="str" cm="1">
        <f t="array" aca="1" ref="N69" ca="1">INDEX('SAP Customer Data'!$A:$AC,MATCH(بيانات_العملاء[[#This Row],[رمز شريك الأعمال]],'SAP Customer Data'!$B:$B,0),CELL("col",Table_Customer_Data[[#Headers],[LicTradNum]]))</f>
        <v>301235474900003</v>
      </c>
      <c r="O6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69" s="37" t="s">
        <v>856</v>
      </c>
      <c r="Q69" s="38"/>
      <c r="R6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69" s="37" t="s">
        <v>854</v>
      </c>
      <c r="T69" s="40">
        <v>50000</v>
      </c>
      <c r="U69" s="41"/>
      <c r="V6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6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69" s="37" cm="1">
        <f t="array" aca="1" ref="X69" ca="1">INDEX('SAP Customer Data'!$A:$AC,MATCH(بيانات_العملاء[[#This Row],[رمز شريك الأعمال]],'SAP Customer Data'!$B:$B,0),CELL("col",Table_Customer_Data[[#Headers],[CreditLine]]))</f>
        <v>40000</v>
      </c>
      <c r="Y6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69" s="37" t="s">
        <v>855</v>
      </c>
      <c r="AA6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69" s="37" t="s">
        <v>856</v>
      </c>
      <c r="AC69" s="37"/>
      <c r="AD6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69" s="37" t="s">
        <v>856</v>
      </c>
      <c r="AF69" s="37"/>
      <c r="AG6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69" s="37" t="s">
        <v>856</v>
      </c>
      <c r="AI69" s="37"/>
      <c r="AJ6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69" s="37"/>
      <c r="AL69" s="38"/>
      <c r="AM6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69" s="37" t="s">
        <v>856</v>
      </c>
      <c r="AO69" s="41"/>
      <c r="AP6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69" s="37" t="s">
        <v>856</v>
      </c>
      <c r="AR69" s="37"/>
      <c r="AS6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69" s="41" cm="1">
        <f t="array" aca="1" ref="AT69" ca="1">INDEX('SAP Customer Data'!A:Z,MATCH(بيانات_العملاء[[#This Row],[رمز شريك الأعمال]],'SAP Customer Data'!B:B,0),CELL("col",Table_Customer_Data[[#Headers],[CreateDate]]))</f>
        <v>43581</v>
      </c>
      <c r="AU69" s="37"/>
      <c r="AV69" s="41" t="s">
        <v>919</v>
      </c>
      <c r="AW69" s="37" t="s">
        <v>2097</v>
      </c>
      <c r="AX69" s="37"/>
    </row>
    <row r="70" spans="1:50" x14ac:dyDescent="0.25">
      <c r="A70" s="36" t="str" cm="1">
        <f t="array" aca="1" ref="A70" ca="1">INDEX('SAP Customer Data'!$A:$AC,MATCH(بيانات_العملاء[[#This Row],[رمز شريك الأعمال]],'SAP Customer Data'!$B:$B,0),CELL("col",Table_Customer_Data[[#Headers],[GroupName]]))</f>
        <v>CS01</v>
      </c>
      <c r="B70" s="42" t="s">
        <v>202</v>
      </c>
      <c r="C70" s="37" t="str" cm="1">
        <f t="array" aca="1" ref="C70" ca="1">INDEX('SAP Customer Data'!$A:$AC,MATCH(بيانات_العملاء[[#This Row],[رمز شريك الأعمال]],'SAP Customer Data'!$B:$B,0),CELL("col",Table_Customer_Data[[#Headers],[CardName]]))</f>
        <v>فانوس عنيزة-نقدي</v>
      </c>
      <c r="D70" s="37" t="str">
        <f ca="1">IF(بيانات_العملاء[[#This Row],[حد الائتمان على SAP]]&gt;0,"آجل","نقدى")</f>
        <v>نقدى</v>
      </c>
      <c r="E70" s="37"/>
      <c r="F70" s="37" t="s">
        <v>1082</v>
      </c>
      <c r="G70" s="37" t="s">
        <v>856</v>
      </c>
      <c r="H7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70" s="37" t="s">
        <v>856</v>
      </c>
      <c r="J70" s="38"/>
      <c r="K70" s="37"/>
      <c r="L70" s="37" t="str">
        <f ca="1">IF(AND(بيانات_العملاء[[#This Row],[السجل التجارى]]="موجود",TODAY()+'Other Data'!$B$23&lt;J70,بيانات_العملاء[[#This Row],[مطابقة اسم العميل بالاسم بالسجل التجارى]]="مطابق"), "سارى", "يجب اعادة طلبه")</f>
        <v>يجب اعادة طلبه</v>
      </c>
      <c r="M70" s="37" t="s">
        <v>854</v>
      </c>
      <c r="N70" s="39" t="str" cm="1">
        <f t="array" aca="1" ref="N70" ca="1">INDEX('SAP Customer Data'!$A:$AC,MATCH(بيانات_العملاء[[#This Row],[رمز شريك الأعمال]],'SAP Customer Data'!$B:$B,0),CELL("col",Table_Customer_Data[[#Headers],[LicTradNum]]))</f>
        <v>310538648800003</v>
      </c>
      <c r="O7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70" s="37" t="s">
        <v>856</v>
      </c>
      <c r="Q70" s="38"/>
      <c r="R7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0" s="37" t="s">
        <v>1080</v>
      </c>
      <c r="T70" s="40"/>
      <c r="U70" s="41"/>
      <c r="V7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70" s="37" cm="1">
        <f t="array" aca="1" ref="X70" ca="1">INDEX('SAP Customer Data'!$A:$AC,MATCH(بيانات_العملاء[[#This Row],[رمز شريك الأعمال]],'SAP Customer Data'!$B:$B,0),CELL("col",Table_Customer_Data[[#Headers],[CreditLine]]))</f>
        <v>0</v>
      </c>
      <c r="Y7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70" s="37"/>
      <c r="AA7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70" s="37" t="s">
        <v>856</v>
      </c>
      <c r="AC70" s="37"/>
      <c r="AD7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0" s="37" t="s">
        <v>856</v>
      </c>
      <c r="AF70" s="37"/>
      <c r="AG7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0" s="37" t="s">
        <v>856</v>
      </c>
      <c r="AI70" s="37"/>
      <c r="AJ7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0" s="37"/>
      <c r="AL70" s="38"/>
      <c r="AM7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0" s="37" t="s">
        <v>856</v>
      </c>
      <c r="AO70" s="41"/>
      <c r="AP7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0" s="37" t="s">
        <v>856</v>
      </c>
      <c r="AR70" s="37"/>
      <c r="AS7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0" s="41" cm="1">
        <f t="array" aca="1" ref="AT70" ca="1">INDEX('SAP Customer Data'!A:Z,MATCH(بيانات_العملاء[[#This Row],[رمز شريك الأعمال]],'SAP Customer Data'!B:B,0),CELL("col",Table_Customer_Data[[#Headers],[CreateDate]]))</f>
        <v>43581</v>
      </c>
      <c r="AU70" s="37"/>
      <c r="AV70" s="41"/>
      <c r="AW70" s="37" t="s">
        <v>2096</v>
      </c>
      <c r="AX70" s="37"/>
    </row>
    <row r="71" spans="1:50" x14ac:dyDescent="0.25">
      <c r="A71" s="36" t="str" cm="1">
        <f t="array" aca="1" ref="A71" ca="1">INDEX('SAP Customer Data'!$A:$AC,MATCH(بيانات_العملاء[[#This Row],[رمز شريك الأعمال]],'SAP Customer Data'!$B:$B,0),CELL("col",Table_Customer_Data[[#Headers],[GroupName]]))</f>
        <v>CS01</v>
      </c>
      <c r="B71" s="35" t="s">
        <v>199</v>
      </c>
      <c r="C71" s="37" t="str" cm="1">
        <f t="array" aca="1" ref="C71" ca="1">INDEX('SAP Customer Data'!$A:$AC,MATCH(بيانات_العملاء[[#This Row],[رمز شريك الأعمال]],'SAP Customer Data'!$B:$B,0),CELL("col",Table_Customer_Data[[#Headers],[CardName]]))</f>
        <v>مؤسسة العجيمي</v>
      </c>
      <c r="D71" s="37" t="str">
        <f ca="1">IF(بيانات_العملاء[[#This Row],[حد الائتمان على SAP]]&gt;0,"آجل","نقدى")</f>
        <v>آجل</v>
      </c>
      <c r="E71" s="37" t="s">
        <v>901</v>
      </c>
      <c r="F71" s="37" t="s">
        <v>1081</v>
      </c>
      <c r="G71" s="37" t="s">
        <v>854</v>
      </c>
      <c r="H7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71" s="37" t="s">
        <v>854</v>
      </c>
      <c r="J71" s="38">
        <v>44982</v>
      </c>
      <c r="K71" s="37" t="s">
        <v>855</v>
      </c>
      <c r="L71" s="37" t="str">
        <f ca="1">IF(AND(بيانات_العملاء[[#This Row],[السجل التجارى]]="موجود",TODAY()+'Other Data'!$B$23&lt;J71,بيانات_العملاء[[#This Row],[مطابقة اسم العميل بالاسم بالسجل التجارى]]="مطابق"), "سارى", "يجب اعادة طلبه")</f>
        <v>يجب اعادة طلبه</v>
      </c>
      <c r="M71" s="37" t="s">
        <v>854</v>
      </c>
      <c r="N71" s="39" t="str" cm="1">
        <f t="array" aca="1" ref="N71" ca="1">INDEX('SAP Customer Data'!$A:$AC,MATCH(بيانات_العملاء[[#This Row],[رمز شريك الأعمال]],'SAP Customer Data'!$B:$B,0),CELL("col",Table_Customer_Data[[#Headers],[LicTradNum]]))</f>
        <v>301251666500003</v>
      </c>
      <c r="O7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71" s="37" t="s">
        <v>856</v>
      </c>
      <c r="Q71" s="38"/>
      <c r="R7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1" s="37" t="s">
        <v>854</v>
      </c>
      <c r="T71" s="40">
        <v>50000</v>
      </c>
      <c r="U71" s="41">
        <v>43652</v>
      </c>
      <c r="V71" s="41">
        <f>IF(بيانات_العملاء[[#This Row],[تاريخ انشاء سند الامر او الاستثناء]]="",0,بيانات_العملاء[[#This Row],[تاريخ انشاء سند الامر او الاستثناء]]+365*3)</f>
        <v>44747</v>
      </c>
      <c r="W7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71" s="37" cm="1">
        <f t="array" aca="1" ref="X71" ca="1">INDEX('SAP Customer Data'!$A:$AC,MATCH(بيانات_العملاء[[#This Row],[رمز شريك الأعمال]],'SAP Customer Data'!$B:$B,0),CELL("col",Table_Customer_Data[[#Headers],[CreditLine]]))</f>
        <v>40000</v>
      </c>
      <c r="Y7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71" s="37" t="s">
        <v>855</v>
      </c>
      <c r="AA7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71" s="37" t="s">
        <v>856</v>
      </c>
      <c r="AC71" s="37"/>
      <c r="AD7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1" s="37" t="s">
        <v>856</v>
      </c>
      <c r="AF71" s="37"/>
      <c r="AG7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1" s="37" t="s">
        <v>856</v>
      </c>
      <c r="AI71" s="37"/>
      <c r="AJ7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1" s="37"/>
      <c r="AL71" s="38"/>
      <c r="AM7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1" s="37" t="s">
        <v>856</v>
      </c>
      <c r="AO71" s="41"/>
      <c r="AP7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1" s="37" t="s">
        <v>856</v>
      </c>
      <c r="AR71" s="37"/>
      <c r="AS7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1" s="41" cm="1">
        <f t="array" aca="1" ref="AT71" ca="1">INDEX('SAP Customer Data'!A:Z,MATCH(بيانات_العملاء[[#This Row],[رمز شريك الأعمال]],'SAP Customer Data'!B:B,0),CELL("col",Table_Customer_Data[[#Headers],[CreateDate]]))</f>
        <v>43581</v>
      </c>
      <c r="AU71" s="37"/>
      <c r="AV71" s="41" t="s">
        <v>919</v>
      </c>
      <c r="AW71" s="37" t="s">
        <v>2097</v>
      </c>
      <c r="AX71" s="37"/>
    </row>
    <row r="72" spans="1:50" x14ac:dyDescent="0.25">
      <c r="A72" s="48" t="str" cm="1">
        <f t="array" aca="1" ref="A72" ca="1">INDEX('SAP Customer Data'!$A:$AC,MATCH(بيانات_العملاء[[#This Row],[رمز شريك الأعمال]],'SAP Customer Data'!$B:$B,0),CELL("col",Table_Customer_Data[[#Headers],[GroupName]]))</f>
        <v>CS01</v>
      </c>
      <c r="B72" s="29" t="s">
        <v>426</v>
      </c>
      <c r="C72" s="30" t="str" cm="1">
        <f t="array" aca="1" ref="C72" ca="1">INDEX('SAP Customer Data'!$A:$AC,MATCH(بيانات_العملاء[[#This Row],[رمز شريك الأعمال]],'SAP Customer Data'!$B:$B,0),CELL("col",Table_Customer_Data[[#Headers],[CardName]]))</f>
        <v>مؤسسة جود البناء للمقاولات المعمارية</v>
      </c>
      <c r="D72" s="30" t="str">
        <f ca="1">IF(بيانات_العملاء[[#This Row],[حد الائتمان على SAP]]&gt;0,"آجل","نقدى")</f>
        <v>آجل</v>
      </c>
      <c r="E72" s="30" t="s">
        <v>915</v>
      </c>
      <c r="F72" s="30" t="s">
        <v>1081</v>
      </c>
      <c r="G72" s="30" t="s">
        <v>854</v>
      </c>
      <c r="H72" s="30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72" s="30" t="s">
        <v>854</v>
      </c>
      <c r="J72" s="31">
        <v>44065</v>
      </c>
      <c r="K72" s="30" t="s">
        <v>855</v>
      </c>
      <c r="L72" s="30" t="str">
        <f ca="1">IF(AND(بيانات_العملاء[[#This Row],[السجل التجارى]]="موجود",TODAY()+'Other Data'!$B$23&lt;J72,بيانات_العملاء[[#This Row],[مطابقة اسم العميل بالاسم بالسجل التجارى]]="مطابق"), "سارى", "يجب اعادة طلبه")</f>
        <v>يجب اعادة طلبه</v>
      </c>
      <c r="M72" s="30" t="s">
        <v>856</v>
      </c>
      <c r="N72" s="49" t="str" cm="1">
        <f t="array" aca="1" ref="N72" ca="1">INDEX('SAP Customer Data'!$A:$AC,MATCH(بيانات_العملاء[[#This Row],[رمز شريك الأعمال]],'SAP Customer Data'!$B:$B,0),CELL("col",Table_Customer_Data[[#Headers],[LicTradNum]]))</f>
        <v>301305968200003</v>
      </c>
      <c r="O72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72" s="30" t="s">
        <v>856</v>
      </c>
      <c r="Q72" s="31"/>
      <c r="R72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2" s="30" t="s">
        <v>854</v>
      </c>
      <c r="T72" s="32">
        <v>10000</v>
      </c>
      <c r="U72" s="33"/>
      <c r="V72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</v>
      </c>
      <c r="X72" s="30" cm="1">
        <f t="array" aca="1" ref="X72" ca="1">INDEX('SAP Customer Data'!$A:$AC,MATCH(بيانات_العملاء[[#This Row],[رمز شريك الأعمال]],'SAP Customer Data'!$B:$B,0),CELL("col",Table_Customer_Data[[#Headers],[CreditLine]]))</f>
        <v>10000</v>
      </c>
      <c r="Y7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72" s="30" t="s">
        <v>855</v>
      </c>
      <c r="AA7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72" s="30" t="s">
        <v>856</v>
      </c>
      <c r="AC72" s="30"/>
      <c r="AD72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2" s="30" t="s">
        <v>856</v>
      </c>
      <c r="AF72" s="30"/>
      <c r="AG72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2" s="30" t="s">
        <v>856</v>
      </c>
      <c r="AI72" s="30"/>
      <c r="AJ72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2" s="30" t="s">
        <v>856</v>
      </c>
      <c r="AL72" s="31"/>
      <c r="AM72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2" s="30" t="s">
        <v>856</v>
      </c>
      <c r="AO72" s="33"/>
      <c r="AP72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2" s="30" t="s">
        <v>856</v>
      </c>
      <c r="AR72" s="30"/>
      <c r="AS72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2" s="33" cm="1">
        <f t="array" aca="1" ref="AT72" ca="1">INDEX('SAP Customer Data'!A:Z,MATCH(بيانات_العملاء[[#This Row],[رمز شريك الأعمال]],'SAP Customer Data'!B:B,0),CELL("col",Table_Customer_Data[[#Headers],[CreateDate]]))</f>
        <v>44208</v>
      </c>
      <c r="AU72" s="30"/>
      <c r="AV72" s="8" t="s">
        <v>2046</v>
      </c>
      <c r="AW72" s="30" t="s">
        <v>2097</v>
      </c>
      <c r="AX72" s="30"/>
    </row>
    <row r="73" spans="1:50" x14ac:dyDescent="0.25">
      <c r="A73" s="36" t="str" cm="1">
        <f t="array" aca="1" ref="A73" ca="1">INDEX('SAP Customer Data'!$A:$AC,MATCH(بيانات_العملاء[[#This Row],[رمز شريك الأعمال]],'SAP Customer Data'!$B:$B,0),CELL("col",Table_Customer_Data[[#Headers],[GroupName]]))</f>
        <v>CS01</v>
      </c>
      <c r="B73" s="35" t="s">
        <v>570</v>
      </c>
      <c r="C73" s="37" t="str" cm="1">
        <f t="array" aca="1" ref="C73" ca="1">INDEX('SAP Customer Data'!$A:$AC,MATCH(بيانات_العملاء[[#This Row],[رمز شريك الأعمال]],'SAP Customer Data'!$B:$B,0),CELL("col",Table_Customer_Data[[#Headers],[CardName]]))</f>
        <v>محل مدينة السراب للتجارة</v>
      </c>
      <c r="D73" s="37" t="str">
        <f ca="1">IF(بيانات_العملاء[[#This Row],[حد الائتمان على SAP]]&gt;0,"آجل","نقدى")</f>
        <v>آجل</v>
      </c>
      <c r="E73" s="37" t="s">
        <v>1584</v>
      </c>
      <c r="F73" s="37" t="s">
        <v>1081</v>
      </c>
      <c r="G73" s="37" t="s">
        <v>854</v>
      </c>
      <c r="H7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73" s="37" t="s">
        <v>854</v>
      </c>
      <c r="J73" s="38">
        <v>44187</v>
      </c>
      <c r="K73" s="37" t="s">
        <v>855</v>
      </c>
      <c r="L73" s="37" t="str">
        <f ca="1">IF(AND(بيانات_العملاء[[#This Row],[السجل التجارى]]="موجود",TODAY()+'Other Data'!$B$23&lt;J73,بيانات_العملاء[[#This Row],[مطابقة اسم العميل بالاسم بالسجل التجارى]]="مطابق"), "سارى", "يجب اعادة طلبه")</f>
        <v>يجب اعادة طلبه</v>
      </c>
      <c r="M73" s="37" t="s">
        <v>854</v>
      </c>
      <c r="N73" s="39" t="str" cm="1">
        <f t="array" aca="1" ref="N73" ca="1">INDEX('SAP Customer Data'!$A:$AC,MATCH(بيانات_العملاء[[#This Row],[رمز شريك الأعمال]],'SAP Customer Data'!$B:$B,0),CELL("col",Table_Customer_Data[[#Headers],[LicTradNum]]))</f>
        <v>301313389600003</v>
      </c>
      <c r="O7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73" s="37" t="s">
        <v>856</v>
      </c>
      <c r="Q73" s="38"/>
      <c r="R7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3" s="37" t="s">
        <v>854</v>
      </c>
      <c r="T73" s="40">
        <v>15000</v>
      </c>
      <c r="U73" s="41"/>
      <c r="V7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</v>
      </c>
      <c r="X73" s="37" cm="1">
        <f t="array" aca="1" ref="X73" ca="1">INDEX('SAP Customer Data'!$A:$AC,MATCH(بيانات_العملاء[[#This Row],[رمز شريك الأعمال]],'SAP Customer Data'!$B:$B,0),CELL("col",Table_Customer_Data[[#Headers],[CreditLine]]))</f>
        <v>12000</v>
      </c>
      <c r="Y7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73" s="37" t="s">
        <v>855</v>
      </c>
      <c r="AA7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73" s="37" t="s">
        <v>856</v>
      </c>
      <c r="AC73" s="37"/>
      <c r="AD7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3" s="37" t="s">
        <v>856</v>
      </c>
      <c r="AF73" s="37"/>
      <c r="AG7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3" s="37" t="s">
        <v>856</v>
      </c>
      <c r="AI73" s="37"/>
      <c r="AJ7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3" s="37" t="s">
        <v>856</v>
      </c>
      <c r="AL73" s="38"/>
      <c r="AM7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3" s="37" t="s">
        <v>856</v>
      </c>
      <c r="AO73" s="41"/>
      <c r="AP7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3" s="37" t="s">
        <v>856</v>
      </c>
      <c r="AR73" s="37"/>
      <c r="AS7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3" s="41" cm="1">
        <f t="array" aca="1" ref="AT73" ca="1">INDEX('SAP Customer Data'!A:Z,MATCH(بيانات_العملاء[[#This Row],[رمز شريك الأعمال]],'SAP Customer Data'!B:B,0),CELL("col",Table_Customer_Data[[#Headers],[CreateDate]]))</f>
        <v>44156</v>
      </c>
      <c r="AU73" s="37"/>
      <c r="AV73" s="41"/>
      <c r="AW73" s="37" t="s">
        <v>2097</v>
      </c>
      <c r="AX73" s="37"/>
    </row>
    <row r="74" spans="1:50" x14ac:dyDescent="0.25">
      <c r="A74" s="36" t="str" cm="1">
        <f t="array" aca="1" ref="A74" ca="1">INDEX('SAP Customer Data'!$A:$AC,MATCH(بيانات_العملاء[[#This Row],[رمز شريك الأعمال]],'SAP Customer Data'!$B:$B,0),CELL("col",Table_Customer_Data[[#Headers],[GroupName]]))</f>
        <v>CS01</v>
      </c>
      <c r="B74" s="35" t="s">
        <v>547</v>
      </c>
      <c r="C74" s="37" t="str" cm="1">
        <f t="array" aca="1" ref="C74" ca="1">INDEX('SAP Customer Data'!$A:$AC,MATCH(بيانات_العملاء[[#This Row],[رمز شريك الأعمال]],'SAP Customer Data'!$B:$B,0),CELL("col",Table_Customer_Data[[#Headers],[CardName]]))</f>
        <v>محل سعد ابراهيم محمد العبود للتجارة</v>
      </c>
      <c r="D74" s="37" t="str">
        <f ca="1">IF(بيانات_العملاء[[#This Row],[حد الائتمان على SAP]]&gt;0,"آجل","نقدى")</f>
        <v>آجل</v>
      </c>
      <c r="E74" s="37" t="s">
        <v>889</v>
      </c>
      <c r="F74" s="37" t="s">
        <v>1081</v>
      </c>
      <c r="G74" s="37" t="s">
        <v>854</v>
      </c>
      <c r="H7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74" s="37" t="s">
        <v>854</v>
      </c>
      <c r="J74" s="38">
        <v>43472</v>
      </c>
      <c r="K74" s="37" t="s">
        <v>859</v>
      </c>
      <c r="L74" s="37" t="str">
        <f ca="1">IF(AND(بيانات_العملاء[[#This Row],[السجل التجارى]]="موجود",TODAY()+'Other Data'!$B$23&lt;J74,بيانات_العملاء[[#This Row],[مطابقة اسم العميل بالاسم بالسجل التجارى]]="مطابق"), "سارى", "يجب اعادة طلبه")</f>
        <v>يجب اعادة طلبه</v>
      </c>
      <c r="M74" s="37" t="s">
        <v>856</v>
      </c>
      <c r="N74" s="39" t="str" cm="1">
        <f t="array" aca="1" ref="N74" ca="1">INDEX('SAP Customer Data'!$A:$AC,MATCH(بيانات_العملاء[[#This Row],[رمز شريك الأعمال]],'SAP Customer Data'!$B:$B,0),CELL("col",Table_Customer_Data[[#Headers],[LicTradNum]]))</f>
        <v>301316959800003</v>
      </c>
      <c r="O7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74" s="37" t="s">
        <v>856</v>
      </c>
      <c r="Q74" s="38"/>
      <c r="R7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4" s="37" t="s">
        <v>854</v>
      </c>
      <c r="T74" s="40">
        <v>30000</v>
      </c>
      <c r="U74" s="41"/>
      <c r="V7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74" s="37" cm="1">
        <f t="array" aca="1" ref="X74" ca="1">INDEX('SAP Customer Data'!$A:$AC,MATCH(بيانات_العملاء[[#This Row],[رمز شريك الأعمال]],'SAP Customer Data'!$B:$B,0),CELL("col",Table_Customer_Data[[#Headers],[CreditLine]]))</f>
        <v>24000</v>
      </c>
      <c r="Y7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74" s="37" t="s">
        <v>855</v>
      </c>
      <c r="AA7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74" s="37" t="s">
        <v>856</v>
      </c>
      <c r="AC74" s="37"/>
      <c r="AD7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4" s="37" t="s">
        <v>856</v>
      </c>
      <c r="AF74" s="37"/>
      <c r="AG7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4" s="37" t="s">
        <v>856</v>
      </c>
      <c r="AI74" s="37"/>
      <c r="AJ7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4" s="37" t="s">
        <v>856</v>
      </c>
      <c r="AL74" s="38"/>
      <c r="AM7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4" s="37" t="s">
        <v>856</v>
      </c>
      <c r="AO74" s="41"/>
      <c r="AP7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4" s="37" t="s">
        <v>856</v>
      </c>
      <c r="AR74" s="37"/>
      <c r="AS7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4" s="41" cm="1">
        <f t="array" aca="1" ref="AT74" ca="1">INDEX('SAP Customer Data'!A:Z,MATCH(بيانات_العملاء[[#This Row],[رمز شريك الأعمال]],'SAP Customer Data'!B:B,0),CELL("col",Table_Customer_Data[[#Headers],[CreateDate]]))</f>
        <v>43765</v>
      </c>
      <c r="AU74" s="37"/>
      <c r="AV74" s="41" t="s">
        <v>2270</v>
      </c>
      <c r="AW74" s="37" t="s">
        <v>2097</v>
      </c>
      <c r="AX74" s="37"/>
    </row>
    <row r="75" spans="1:50" x14ac:dyDescent="0.25">
      <c r="A75" s="36" t="str" cm="1">
        <f t="array" aca="1" ref="A75" ca="1">INDEX('SAP Customer Data'!$A:$AC,MATCH(بيانات_العملاء[[#This Row],[رمز شريك الأعمال]],'SAP Customer Data'!$B:$B,0),CELL("col",Table_Customer_Data[[#Headers],[GroupName]]))</f>
        <v>CS01</v>
      </c>
      <c r="B75" s="35" t="s">
        <v>506</v>
      </c>
      <c r="C75" s="37" t="str" cm="1">
        <f t="array" aca="1" ref="C75" ca="1">INDEX('SAP Customer Data'!$A:$AC,MATCH(بيانات_العملاء[[#This Row],[رمز شريك الأعمال]],'SAP Customer Data'!$B:$B,0),CELL("col",Table_Customer_Data[[#Headers],[CardName]]))</f>
        <v>محل فيصل فهد المشعلي للادوات الكهربائية</v>
      </c>
      <c r="D75" s="37" t="str">
        <f ca="1">IF(بيانات_العملاء[[#This Row],[حد الائتمان على SAP]]&gt;0,"آجل","نقدى")</f>
        <v>آجل</v>
      </c>
      <c r="E75" s="37"/>
      <c r="F75" s="37" t="s">
        <v>1082</v>
      </c>
      <c r="G75" s="37" t="s">
        <v>854</v>
      </c>
      <c r="H7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75" s="37" t="s">
        <v>856</v>
      </c>
      <c r="J75" s="38"/>
      <c r="K75" s="37"/>
      <c r="L75" s="37" t="str">
        <f ca="1">IF(AND(بيانات_العملاء[[#This Row],[السجل التجارى]]="موجود",TODAY()+'Other Data'!$B$23&lt;J75,بيانات_العملاء[[#This Row],[مطابقة اسم العميل بالاسم بالسجل التجارى]]="مطابق"), "سارى", "يجب اعادة طلبه")</f>
        <v>يجب اعادة طلبه</v>
      </c>
      <c r="M75" s="37" t="s">
        <v>856</v>
      </c>
      <c r="N75" s="39" t="str" cm="1">
        <f t="array" aca="1" ref="N75" ca="1">INDEX('SAP Customer Data'!$A:$AC,MATCH(بيانات_العملاء[[#This Row],[رمز شريك الأعمال]],'SAP Customer Data'!$B:$B,0),CELL("col",Table_Customer_Data[[#Headers],[LicTradNum]]))</f>
        <v>302203820400003</v>
      </c>
      <c r="O7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75" s="37" t="s">
        <v>856</v>
      </c>
      <c r="Q75" s="38"/>
      <c r="R7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5" s="37" t="s">
        <v>854</v>
      </c>
      <c r="T75" s="40">
        <v>50000</v>
      </c>
      <c r="U75" s="41"/>
      <c r="V7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75" s="37" cm="1">
        <f t="array" aca="1" ref="X75" ca="1">INDEX('SAP Customer Data'!$A:$AC,MATCH(بيانات_العملاء[[#This Row],[رمز شريك الأعمال]],'SAP Customer Data'!$B:$B,0),CELL("col",Table_Customer_Data[[#Headers],[CreditLine]]))</f>
        <v>40000</v>
      </c>
      <c r="Y7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75" s="37" t="s">
        <v>859</v>
      </c>
      <c r="AA7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75" s="37" t="s">
        <v>856</v>
      </c>
      <c r="AC75" s="37"/>
      <c r="AD7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5" s="37" t="s">
        <v>856</v>
      </c>
      <c r="AF75" s="37"/>
      <c r="AG7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5" s="37" t="s">
        <v>856</v>
      </c>
      <c r="AI75" s="37"/>
      <c r="AJ7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5" s="37" t="s">
        <v>856</v>
      </c>
      <c r="AL75" s="38"/>
      <c r="AM7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5" s="37" t="s">
        <v>856</v>
      </c>
      <c r="AO75" s="41"/>
      <c r="AP7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5" s="37" t="s">
        <v>856</v>
      </c>
      <c r="AR75" s="37"/>
      <c r="AS7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5" s="41" cm="1">
        <f t="array" aca="1" ref="AT75" ca="1">INDEX('SAP Customer Data'!A:Z,MATCH(بيانات_العملاء[[#This Row],[رمز شريك الأعمال]],'SAP Customer Data'!B:B,0),CELL("col",Table_Customer_Data[[#Headers],[CreateDate]]))</f>
        <v>43698</v>
      </c>
      <c r="AU75" s="37"/>
      <c r="AV75" s="41"/>
      <c r="AW75" s="37" t="s">
        <v>2097</v>
      </c>
      <c r="AX75" s="37"/>
    </row>
    <row r="76" spans="1:50" x14ac:dyDescent="0.25">
      <c r="A76" s="36" t="str" cm="1">
        <f t="array" aca="1" ref="A76" ca="1">INDEX('SAP Customer Data'!$A:$AC,MATCH(بيانات_العملاء[[#This Row],[رمز شريك الأعمال]],'SAP Customer Data'!$B:$B,0),CELL("col",Table_Customer_Data[[#Headers],[GroupName]]))</f>
        <v>CS01</v>
      </c>
      <c r="B76" s="35" t="s">
        <v>468</v>
      </c>
      <c r="C76" s="37" t="str" cm="1">
        <f t="array" aca="1" ref="C76" ca="1">INDEX('SAP Customer Data'!$A:$AC,MATCH(بيانات_العملاء[[#This Row],[رمز شريك الأعمال]],'SAP Customer Data'!$B:$B,0),CELL("col",Table_Customer_Data[[#Headers],[CardName]]))</f>
        <v>مؤسسة رسمة طيبة التجارية-النقدي</v>
      </c>
      <c r="D76" s="37" t="str">
        <f ca="1">IF(بيانات_العملاء[[#This Row],[حد الائتمان على SAP]]&gt;0,"آجل","نقدى")</f>
        <v>نقدى</v>
      </c>
      <c r="E76" s="37"/>
      <c r="F76" s="37" t="s">
        <v>1082</v>
      </c>
      <c r="G76" s="37" t="s">
        <v>856</v>
      </c>
      <c r="H7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76" s="37" t="s">
        <v>856</v>
      </c>
      <c r="J76" s="38"/>
      <c r="K76" s="37"/>
      <c r="L76" s="37" t="str">
        <f ca="1">IF(AND(بيانات_العملاء[[#This Row],[السجل التجارى]]="موجود",TODAY()+'Other Data'!$B$23&lt;J76,بيانات_العملاء[[#This Row],[مطابقة اسم العميل بالاسم بالسجل التجارى]]="مطابق"), "سارى", "يجب اعادة طلبه")</f>
        <v>يجب اعادة طلبه</v>
      </c>
      <c r="M76" s="37" t="s">
        <v>854</v>
      </c>
      <c r="N76" s="39" t="str" cm="1">
        <f t="array" aca="1" ref="N76" ca="1">INDEX('SAP Customer Data'!$A:$AC,MATCH(بيانات_العملاء[[#This Row],[رمز شريك الأعمال]],'SAP Customer Data'!$B:$B,0),CELL("col",Table_Customer_Data[[#Headers],[LicTradNum]]))</f>
        <v>302206839200003</v>
      </c>
      <c r="O7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76" s="37" t="s">
        <v>856</v>
      </c>
      <c r="Q76" s="38"/>
      <c r="R7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6" s="37" t="s">
        <v>1080</v>
      </c>
      <c r="T76" s="40"/>
      <c r="U76" s="41"/>
      <c r="V7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76" s="37" cm="1">
        <f t="array" aca="1" ref="X76" ca="1">INDEX('SAP Customer Data'!$A:$AC,MATCH(بيانات_العملاء[[#This Row],[رمز شريك الأعمال]],'SAP Customer Data'!$B:$B,0),CELL("col",Table_Customer_Data[[#Headers],[CreditLine]]))</f>
        <v>0</v>
      </c>
      <c r="Y7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76" s="37"/>
      <c r="AA7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76" s="37" t="s">
        <v>856</v>
      </c>
      <c r="AC76" s="37"/>
      <c r="AD7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6" s="37" t="s">
        <v>856</v>
      </c>
      <c r="AF76" s="37"/>
      <c r="AG7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6" s="37" t="s">
        <v>856</v>
      </c>
      <c r="AI76" s="37"/>
      <c r="AJ7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6" s="37" t="s">
        <v>856</v>
      </c>
      <c r="AL76" s="38"/>
      <c r="AM7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6" s="37" t="s">
        <v>856</v>
      </c>
      <c r="AO76" s="41"/>
      <c r="AP7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6" s="37" t="s">
        <v>856</v>
      </c>
      <c r="AR76" s="37"/>
      <c r="AS7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6" s="41" cm="1">
        <f t="array" aca="1" ref="AT76" ca="1">INDEX('SAP Customer Data'!A:Z,MATCH(بيانات_العملاء[[#This Row],[رمز شريك الأعمال]],'SAP Customer Data'!B:B,0),CELL("col",Table_Customer_Data[[#Headers],[CreateDate]]))</f>
        <v>44643</v>
      </c>
      <c r="AU76" s="37"/>
      <c r="AV76" s="41"/>
      <c r="AW76" s="37" t="s">
        <v>2097</v>
      </c>
      <c r="AX76" s="37"/>
    </row>
    <row r="77" spans="1:50" s="72" customFormat="1" x14ac:dyDescent="0.25">
      <c r="A77" s="16" t="str" cm="1">
        <f t="array" aca="1" ref="A77" ca="1">INDEX('SAP Customer Data'!$A:$AC,MATCH(بيانات_العملاء[[#This Row],[رمز شريك الأعمال]],'SAP Customer Data'!$B:$B,0),CELL("col",Table_Customer_Data[[#Headers],[GroupName]]))</f>
        <v>CS01</v>
      </c>
      <c r="B77" s="17" t="s">
        <v>223</v>
      </c>
      <c r="C77" s="15" t="str" cm="1">
        <f t="array" aca="1" ref="C77" ca="1">INDEX('SAP Customer Data'!$A:$AC,MATCH(بيانات_العملاء[[#This Row],[رمز شريك الأعمال]],'SAP Customer Data'!$B:$B,0),CELL("col",Table_Customer_Data[[#Headers],[CardName]]))</f>
        <v>محل محمد حميدي الثنيان للتجارة</v>
      </c>
      <c r="D77" s="15" t="str">
        <f ca="1">IF(بيانات_العملاء[[#This Row],[حد الائتمان على SAP]]&gt;0,"آجل","نقدى")</f>
        <v>آجل</v>
      </c>
      <c r="E77" s="15" t="s">
        <v>905</v>
      </c>
      <c r="F77" s="15" t="s">
        <v>1081</v>
      </c>
      <c r="G77" s="15" t="s">
        <v>854</v>
      </c>
      <c r="H77" s="15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77" s="15" t="s">
        <v>854</v>
      </c>
      <c r="J77" s="18">
        <v>44127</v>
      </c>
      <c r="K77" s="15" t="s">
        <v>855</v>
      </c>
      <c r="L77" s="15" t="str">
        <f ca="1">IF(AND(بيانات_العملاء[[#This Row],[السجل التجارى]]="موجود",TODAY()+'Other Data'!$B$23&lt;J77,بيانات_العملاء[[#This Row],[مطابقة اسم العميل بالاسم بالسجل التجارى]]="مطابق"), "سارى", "يجب اعادة طلبه")</f>
        <v>يجب اعادة طلبه</v>
      </c>
      <c r="M77" s="15" t="s">
        <v>856</v>
      </c>
      <c r="N77" s="19" t="str" cm="1">
        <f t="array" aca="1" ref="N77" ca="1">INDEX('SAP Customer Data'!$A:$AC,MATCH(بيانات_العملاء[[#This Row],[رمز شريك الأعمال]],'SAP Customer Data'!$B:$B,0),CELL("col",Table_Customer_Data[[#Headers],[LicTradNum]]))</f>
        <v>310001196300003</v>
      </c>
      <c r="O77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77" s="15" t="s">
        <v>856</v>
      </c>
      <c r="Q77" s="18"/>
      <c r="R77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7" s="15" t="s">
        <v>854</v>
      </c>
      <c r="T77" s="20">
        <v>20000</v>
      </c>
      <c r="U77" s="8"/>
      <c r="V77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7" s="15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77" s="15" cm="1">
        <f t="array" aca="1" ref="X77" ca="1">INDEX('SAP Customer Data'!$A:$AC,MATCH(بيانات_العملاء[[#This Row],[رمز شريك الأعمال]],'SAP Customer Data'!$B:$B,0),CELL("col",Table_Customer_Data[[#Headers],[CreditLine]]))</f>
        <v>18000</v>
      </c>
      <c r="Y77" s="15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77" s="15" t="s">
        <v>855</v>
      </c>
      <c r="AA7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77" s="15" t="s">
        <v>856</v>
      </c>
      <c r="AC77" s="15"/>
      <c r="AD77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7" s="15" t="s">
        <v>856</v>
      </c>
      <c r="AF77" s="15"/>
      <c r="AG77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7" s="15" t="s">
        <v>856</v>
      </c>
      <c r="AI77" s="15"/>
      <c r="AJ77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7" s="15"/>
      <c r="AL77" s="18"/>
      <c r="AM77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7" s="15" t="s">
        <v>856</v>
      </c>
      <c r="AO77" s="8"/>
      <c r="AP77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7" s="15" t="s">
        <v>856</v>
      </c>
      <c r="AR77" s="15"/>
      <c r="AS77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7" s="8" cm="1">
        <f t="array" aca="1" ref="AT77" ca="1">INDEX('SAP Customer Data'!A:Z,MATCH(بيانات_العملاء[[#This Row],[رمز شريك الأعمال]],'SAP Customer Data'!B:B,0),CELL("col",Table_Customer_Data[[#Headers],[CreateDate]]))</f>
        <v>43895</v>
      </c>
      <c r="AU77" s="15"/>
      <c r="AV77" s="8" t="s">
        <v>2046</v>
      </c>
      <c r="AW77" s="15" t="s">
        <v>2097</v>
      </c>
      <c r="AX77" s="15"/>
    </row>
    <row r="78" spans="1:50" x14ac:dyDescent="0.25">
      <c r="A78" s="36" t="str" cm="1">
        <f t="array" aca="1" ref="A78" ca="1">INDEX('SAP Customer Data'!$A:$AC,MATCH(بيانات_العملاء[[#This Row],[رمز شريك الأعمال]],'SAP Customer Data'!$B:$B,0),CELL("col",Table_Customer_Data[[#Headers],[GroupName]]))</f>
        <v>CS01</v>
      </c>
      <c r="B78" s="35" t="s">
        <v>572</v>
      </c>
      <c r="C78" s="37" t="str" cm="1">
        <f t="array" aca="1" ref="C78" ca="1">INDEX('SAP Customer Data'!$A:$AC,MATCH(بيانات_العملاء[[#This Row],[رمز شريك الأعمال]],'SAP Customer Data'!$B:$B,0),CELL("col",Table_Customer_Data[[#Headers],[CardName]]))</f>
        <v>مؤسسة كود الاضاءة للتجارة</v>
      </c>
      <c r="D78" s="37" t="str">
        <f ca="1">IF(بيانات_العملاء[[#This Row],[حد الائتمان على SAP]]&gt;0,"آجل","نقدى")</f>
        <v>آجل</v>
      </c>
      <c r="E78" s="37" t="s">
        <v>892</v>
      </c>
      <c r="F78" s="37" t="s">
        <v>1081</v>
      </c>
      <c r="G78" s="37" t="s">
        <v>854</v>
      </c>
      <c r="H7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78" s="37" t="s">
        <v>854</v>
      </c>
      <c r="J78" s="38">
        <v>43981</v>
      </c>
      <c r="K78" s="37" t="s">
        <v>855</v>
      </c>
      <c r="L78" s="37" t="str">
        <f ca="1">IF(AND(بيانات_العملاء[[#This Row],[السجل التجارى]]="موجود",TODAY()+'Other Data'!$B$23&lt;J78,بيانات_العملاء[[#This Row],[مطابقة اسم العميل بالاسم بالسجل التجارى]]="مطابق"), "سارى", "يجب اعادة طلبه")</f>
        <v>يجب اعادة طلبه</v>
      </c>
      <c r="M78" s="37" t="s">
        <v>854</v>
      </c>
      <c r="N78" s="39" t="str" cm="1">
        <f t="array" aca="1" ref="N78" ca="1">INDEX('SAP Customer Data'!$A:$AC,MATCH(بيانات_العملاء[[#This Row],[رمز شريك الأعمال]],'SAP Customer Data'!$B:$B,0),CELL("col",Table_Customer_Data[[#Headers],[LicTradNum]]))</f>
        <v>310022165200003</v>
      </c>
      <c r="O7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78" s="37" t="s">
        <v>856</v>
      </c>
      <c r="Q78" s="38"/>
      <c r="R7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8" s="37" t="s">
        <v>854</v>
      </c>
      <c r="T78" s="40">
        <v>30000</v>
      </c>
      <c r="U78" s="41"/>
      <c r="V7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78" s="37" cm="1">
        <f t="array" aca="1" ref="X78" ca="1">INDEX('SAP Customer Data'!$A:$AC,MATCH(بيانات_العملاء[[#This Row],[رمز شريك الأعمال]],'SAP Customer Data'!$B:$B,0),CELL("col",Table_Customer_Data[[#Headers],[CreditLine]]))</f>
        <v>24000</v>
      </c>
      <c r="Y7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78" s="37" t="s">
        <v>855</v>
      </c>
      <c r="AA7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78" s="37" t="s">
        <v>856</v>
      </c>
      <c r="AC78" s="37"/>
      <c r="AD7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8" s="37" t="s">
        <v>856</v>
      </c>
      <c r="AF78" s="37"/>
      <c r="AG7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8" s="37" t="s">
        <v>856</v>
      </c>
      <c r="AI78" s="37"/>
      <c r="AJ7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8" s="37" t="s">
        <v>856</v>
      </c>
      <c r="AL78" s="38"/>
      <c r="AM7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8" s="37" t="s">
        <v>856</v>
      </c>
      <c r="AO78" s="41"/>
      <c r="AP7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8" s="37" t="s">
        <v>856</v>
      </c>
      <c r="AR78" s="37"/>
      <c r="AS7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8" s="41" cm="1">
        <f t="array" aca="1" ref="AT78" ca="1">INDEX('SAP Customer Data'!A:Z,MATCH(بيانات_العملاء[[#This Row],[رمز شريك الأعمال]],'SAP Customer Data'!B:B,0),CELL("col",Table_Customer_Data[[#Headers],[CreateDate]]))</f>
        <v>44161</v>
      </c>
      <c r="AU78" s="37"/>
      <c r="AV78" s="41"/>
      <c r="AW78" s="37" t="s">
        <v>2097</v>
      </c>
      <c r="AX78" s="37"/>
    </row>
    <row r="79" spans="1:50" x14ac:dyDescent="0.25">
      <c r="A79" s="48" t="str" cm="1">
        <f t="array" aca="1" ref="A79" ca="1">INDEX('SAP Customer Data'!$A:$AC,MATCH(بيانات_العملاء[[#This Row],[رمز شريك الأعمال]],'SAP Customer Data'!$B:$B,0),CELL("col",Table_Customer_Data[[#Headers],[GroupName]]))</f>
        <v>CS01</v>
      </c>
      <c r="B79" s="29" t="s">
        <v>391</v>
      </c>
      <c r="C79" s="30" t="str" cm="1">
        <f t="array" aca="1" ref="C79" ca="1">INDEX('SAP Customer Data'!$A:$AC,MATCH(بيانات_العملاء[[#This Row],[رمز شريك الأعمال]],'SAP Customer Data'!$B:$B,0),CELL("col",Table_Customer_Data[[#Headers],[CardName]]))</f>
        <v>مؤسسة ماجد غزاي الشمري التجارية)ابوسلطان</v>
      </c>
      <c r="D79" s="30" t="str">
        <f ca="1">IF(بيانات_العملاء[[#This Row],[حد الائتمان على SAP]]&gt;0,"آجل","نقدى")</f>
        <v>آجل</v>
      </c>
      <c r="E79" s="30" t="s">
        <v>913</v>
      </c>
      <c r="F79" s="30" t="s">
        <v>1081</v>
      </c>
      <c r="G79" s="30" t="s">
        <v>854</v>
      </c>
      <c r="H79" s="30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79" s="30" t="s">
        <v>854</v>
      </c>
      <c r="J79" s="31">
        <v>44252</v>
      </c>
      <c r="K79" s="30" t="s">
        <v>855</v>
      </c>
      <c r="L79" s="30" t="str">
        <f ca="1">IF(AND(بيانات_العملاء[[#This Row],[السجل التجارى]]="موجود",TODAY()+'Other Data'!$B$23&lt;J79,بيانات_العملاء[[#This Row],[مطابقة اسم العميل بالاسم بالسجل التجارى]]="مطابق"), "سارى", "يجب اعادة طلبه")</f>
        <v>يجب اعادة طلبه</v>
      </c>
      <c r="M79" s="30" t="s">
        <v>856</v>
      </c>
      <c r="N79" s="49" t="str" cm="1">
        <f t="array" aca="1" ref="N79" ca="1">INDEX('SAP Customer Data'!$A:$AC,MATCH(بيانات_العملاء[[#This Row],[رمز شريك الأعمال]],'SAP Customer Data'!$B:$B,0),CELL("col",Table_Customer_Data[[#Headers],[LicTradNum]]))</f>
        <v>310029730600003</v>
      </c>
      <c r="O79" s="30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79" s="30" t="s">
        <v>856</v>
      </c>
      <c r="Q79" s="31"/>
      <c r="R79" s="30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79" s="30" t="s">
        <v>854</v>
      </c>
      <c r="T79" s="32"/>
      <c r="U79" s="33"/>
      <c r="V79" s="3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7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79" s="30" cm="1">
        <f t="array" aca="1" ref="X79" ca="1">INDEX('SAP Customer Data'!$A:$AC,MATCH(بيانات_العملاء[[#This Row],[رمز شريك الأعمال]],'SAP Customer Data'!$B:$B,0),CELL("col",Table_Customer_Data[[#Headers],[CreditLine]]))</f>
        <v>40000</v>
      </c>
      <c r="Y7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79" s="30" t="s">
        <v>855</v>
      </c>
      <c r="AA7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79" s="30" t="s">
        <v>856</v>
      </c>
      <c r="AC79" s="30"/>
      <c r="AD79" s="30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79" s="30" t="s">
        <v>856</v>
      </c>
      <c r="AF79" s="30"/>
      <c r="AG79" s="30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79" s="30" t="s">
        <v>856</v>
      </c>
      <c r="AI79" s="30"/>
      <c r="AJ79" s="30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79" s="30" t="s">
        <v>856</v>
      </c>
      <c r="AL79" s="31"/>
      <c r="AM79" s="30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79" s="30" t="s">
        <v>856</v>
      </c>
      <c r="AO79" s="33"/>
      <c r="AP79" s="30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79" s="30" t="s">
        <v>856</v>
      </c>
      <c r="AR79" s="30"/>
      <c r="AS79" s="30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79" s="33" cm="1">
        <f t="array" aca="1" ref="AT79" ca="1">INDEX('SAP Customer Data'!A:Z,MATCH(بيانات_العملاء[[#This Row],[رمز شريك الأعمال]],'SAP Customer Data'!B:B,0),CELL("col",Table_Customer_Data[[#Headers],[CreateDate]]))</f>
        <v>43823</v>
      </c>
      <c r="AU79" s="30"/>
      <c r="AV79" s="33" t="s">
        <v>1113</v>
      </c>
      <c r="AW79" s="30" t="s">
        <v>2097</v>
      </c>
      <c r="AX79" s="30"/>
    </row>
    <row r="80" spans="1:50" x14ac:dyDescent="0.25">
      <c r="A80" s="36" t="str" cm="1">
        <f t="array" aca="1" ref="A80" ca="1">INDEX('SAP Customer Data'!$A:$AC,MATCH(بيانات_العملاء[[#This Row],[رمز شريك الأعمال]],'SAP Customer Data'!$B:$B,0),CELL("col",Table_Customer_Data[[#Headers],[GroupName]]))</f>
        <v>CS01</v>
      </c>
      <c r="B80" s="35" t="s">
        <v>379</v>
      </c>
      <c r="C80" s="37" t="str" cm="1">
        <f t="array" aca="1" ref="C80" ca="1">INDEX('SAP Customer Data'!$A:$AC,MATCH(بيانات_العملاء[[#This Row],[رمز شريك الأعمال]],'SAP Customer Data'!$B:$B,0),CELL("col",Table_Customer_Data[[#Headers],[CardName]]))</f>
        <v>فرع مؤسسة عبدالله سالم الضبعان التجارية</v>
      </c>
      <c r="D80" s="37" t="str">
        <f ca="1">IF(بيانات_العملاء[[#This Row],[حد الائتمان على SAP]]&gt;0,"آجل","نقدى")</f>
        <v>آجل</v>
      </c>
      <c r="E80" s="37" t="s">
        <v>912</v>
      </c>
      <c r="F80" s="37" t="s">
        <v>1081</v>
      </c>
      <c r="G80" s="37" t="s">
        <v>854</v>
      </c>
      <c r="H8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80" s="37" t="s">
        <v>854</v>
      </c>
      <c r="J80" s="38">
        <v>45767</v>
      </c>
      <c r="K80" s="37" t="s">
        <v>855</v>
      </c>
      <c r="L80" s="37" t="str">
        <f ca="1">IF(AND(بيانات_العملاء[[#This Row],[السجل التجارى]]="موجود",TODAY()+'Other Data'!$B$23&lt;J80,بيانات_العملاء[[#This Row],[مطابقة اسم العميل بالاسم بالسجل التجارى]]="مطابق"), "سارى", "يجب اعادة طلبه")</f>
        <v>سارى</v>
      </c>
      <c r="M80" s="37" t="s">
        <v>854</v>
      </c>
      <c r="N80" s="39" t="str" cm="1">
        <f t="array" aca="1" ref="N80" ca="1">INDEX('SAP Customer Data'!$A:$AC,MATCH(بيانات_العملاء[[#This Row],[رمز شريك الأعمال]],'SAP Customer Data'!$B:$B,0),CELL("col",Table_Customer_Data[[#Headers],[LicTradNum]]))</f>
        <v>310059676600003</v>
      </c>
      <c r="O8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80" s="37" t="s">
        <v>854</v>
      </c>
      <c r="Q80" s="38">
        <v>46055</v>
      </c>
      <c r="R8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80" s="37" t="s">
        <v>854</v>
      </c>
      <c r="T80" s="40">
        <v>90000</v>
      </c>
      <c r="U80" s="41"/>
      <c r="V80" s="80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8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72000</v>
      </c>
      <c r="X80" s="37" cm="1">
        <f t="array" aca="1" ref="X80" ca="1">INDEX('SAP Customer Data'!$A:$AC,MATCH(بيانات_العملاء[[#This Row],[رمز شريك الأعمال]],'SAP Customer Data'!$B:$B,0),CELL("col",Table_Customer_Data[[#Headers],[CreditLine]]))</f>
        <v>72000</v>
      </c>
      <c r="Y8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0" s="37" t="s">
        <v>855</v>
      </c>
      <c r="AA8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80" s="37" t="s">
        <v>856</v>
      </c>
      <c r="AC80" s="41">
        <v>47127</v>
      </c>
      <c r="AD8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0" s="37" t="s">
        <v>856</v>
      </c>
      <c r="AF80" s="37"/>
      <c r="AG8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0" s="37" t="s">
        <v>856</v>
      </c>
      <c r="AI80" s="37"/>
      <c r="AJ8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0" s="37" t="s">
        <v>856</v>
      </c>
      <c r="AL80" s="38"/>
      <c r="AM8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0" s="37" t="s">
        <v>854</v>
      </c>
      <c r="AO80" s="41">
        <v>45293</v>
      </c>
      <c r="AP8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سارى</v>
      </c>
      <c r="AQ80" s="37" t="s">
        <v>856</v>
      </c>
      <c r="AR80" s="37"/>
      <c r="AS8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0" s="41" cm="1">
        <f t="array" aca="1" ref="AT80" ca="1">INDEX('SAP Customer Data'!A:Z,MATCH(بيانات_العملاء[[#This Row],[رمز شريك الأعمال]],'SAP Customer Data'!B:B,0),CELL("col",Table_Customer_Data[[#Headers],[CreateDate]]))</f>
        <v>43792</v>
      </c>
      <c r="AU80" s="37"/>
      <c r="AV80" s="41" t="s">
        <v>1580</v>
      </c>
      <c r="AW80" s="37" t="s">
        <v>2097</v>
      </c>
      <c r="AX80" s="37"/>
    </row>
    <row r="81" spans="1:50" s="71" customFormat="1" x14ac:dyDescent="0.25">
      <c r="A81" s="36" t="str" cm="1">
        <f t="array" aca="1" ref="A81" ca="1">INDEX('SAP Customer Data'!$A:$AC,MATCH(بيانات_العملاء[[#This Row],[رمز شريك الأعمال]],'SAP Customer Data'!$B:$B,0),CELL("col",Table_Customer_Data[[#Headers],[GroupName]]))</f>
        <v>CS01</v>
      </c>
      <c r="B81" s="35" t="s">
        <v>215</v>
      </c>
      <c r="C81" s="37" t="str" cm="1">
        <f t="array" aca="1" ref="C81" ca="1">INDEX('SAP Customer Data'!$A:$AC,MATCH(بيانات_العملاء[[#This Row],[رمز شريك الأعمال]],'SAP Customer Data'!$B:$B,0),CELL("col",Table_Customer_Data[[#Headers],[CardName]]))</f>
        <v>شركة ركيزة النماء - عنيزة</v>
      </c>
      <c r="D81" s="37" t="str">
        <f ca="1">IF(بيانات_العملاء[[#This Row],[حد الائتمان على SAP]]&gt;0,"آجل","نقدى")</f>
        <v>آجل</v>
      </c>
      <c r="E81" s="37" t="s">
        <v>903</v>
      </c>
      <c r="F81" s="37" t="s">
        <v>1081</v>
      </c>
      <c r="G81" s="37" t="s">
        <v>854</v>
      </c>
      <c r="H8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81" s="37" t="s">
        <v>854</v>
      </c>
      <c r="J81" s="38">
        <v>45923</v>
      </c>
      <c r="K81" s="37" t="s">
        <v>855</v>
      </c>
      <c r="L81" s="37" t="str">
        <f ca="1">IF(AND(بيانات_العملاء[[#This Row],[السجل التجارى]]="موجود",TODAY()+'Other Data'!$B$23&lt;J81,بيانات_العملاء[[#This Row],[مطابقة اسم العميل بالاسم بالسجل التجارى]]="مطابق"), "سارى", "يجب اعادة طلبه")</f>
        <v>سارى</v>
      </c>
      <c r="M81" s="37" t="s">
        <v>854</v>
      </c>
      <c r="N81" s="39" t="str" cm="1">
        <f t="array" aca="1" ref="N81" ca="1">INDEX('SAP Customer Data'!$A:$AC,MATCH(بيانات_العملاء[[#This Row],[رمز شريك الأعمال]],'SAP Customer Data'!$B:$B,0),CELL("col",Table_Customer_Data[[#Headers],[LicTradNum]]))</f>
        <v>310069573600003</v>
      </c>
      <c r="O8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81" s="37" t="s">
        <v>854</v>
      </c>
      <c r="Q81" s="38">
        <v>45510</v>
      </c>
      <c r="R8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81" s="37" t="s">
        <v>854</v>
      </c>
      <c r="T81" s="40">
        <v>100000</v>
      </c>
      <c r="U81" s="41">
        <v>43993</v>
      </c>
      <c r="V81" s="41">
        <f>IF(بيانات_العملاء[[#This Row],[تاريخ انشاء سند الامر او الاستثناء]]="",0,بيانات_العملاء[[#This Row],[تاريخ انشاء سند الامر او الاستثناء]]+365*3)</f>
        <v>45088</v>
      </c>
      <c r="W8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81" s="37" cm="1">
        <f t="array" aca="1" ref="X81" ca="1">INDEX('SAP Customer Data'!$A:$AC,MATCH(بيانات_العملاء[[#This Row],[رمز شريك الأعمال]],'SAP Customer Data'!$B:$B,0),CELL("col",Table_Customer_Data[[#Headers],[CreditLine]]))</f>
        <v>80000</v>
      </c>
      <c r="Y8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1" s="37" t="s">
        <v>855</v>
      </c>
      <c r="AA8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81" s="37" t="s">
        <v>856</v>
      </c>
      <c r="AC81" s="37"/>
      <c r="AD8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1" s="37" t="s">
        <v>856</v>
      </c>
      <c r="AF81" s="37"/>
      <c r="AG8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1" s="37" t="s">
        <v>856</v>
      </c>
      <c r="AI81" s="37"/>
      <c r="AJ8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1" s="37"/>
      <c r="AL81" s="38"/>
      <c r="AM8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1" s="37" t="s">
        <v>854</v>
      </c>
      <c r="AO81" s="41">
        <v>44464</v>
      </c>
      <c r="AP8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1" s="37" t="s">
        <v>856</v>
      </c>
      <c r="AR81" s="37"/>
      <c r="AS8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1" s="41" cm="1">
        <f t="array" aca="1" ref="AT81" ca="1">INDEX('SAP Customer Data'!A:Z,MATCH(بيانات_العملاء[[#This Row],[رمز شريك الأعمال]],'SAP Customer Data'!B:B,0),CELL("col",Table_Customer_Data[[#Headers],[CreateDate]]))</f>
        <v>43581</v>
      </c>
      <c r="AU81" s="37"/>
      <c r="AV81" s="41" t="s">
        <v>919</v>
      </c>
      <c r="AW81" s="37" t="s">
        <v>2097</v>
      </c>
      <c r="AX81" s="37"/>
    </row>
    <row r="82" spans="1:50" x14ac:dyDescent="0.25">
      <c r="A82" s="36" t="str" cm="1">
        <f t="array" aca="1" ref="A82" ca="1">INDEX('SAP Customer Data'!$A:$AC,MATCH(بيانات_العملاء[[#This Row],[رمز شريك الأعمال]],'SAP Customer Data'!$B:$B,0),CELL("col",Table_Customer_Data[[#Headers],[GroupName]]))</f>
        <v>CS01</v>
      </c>
      <c r="B82" s="35" t="s">
        <v>317</v>
      </c>
      <c r="C82" s="37" t="str" cm="1">
        <f t="array" aca="1" ref="C82" ca="1">INDEX('SAP Customer Data'!$A:$AC,MATCH(بيانات_العملاء[[#This Row],[رمز شريك الأعمال]],'SAP Customer Data'!$B:$B,0),CELL("col",Table_Customer_Data[[#Headers],[CardName]]))</f>
        <v>شركة اصناف البناء للتجارة</v>
      </c>
      <c r="D82" s="37" t="str">
        <f ca="1">IF(بيانات_العملاء[[#This Row],[حد الائتمان على SAP]]&gt;0,"آجل","نقدى")</f>
        <v>آجل</v>
      </c>
      <c r="E82" s="37"/>
      <c r="F82" s="37" t="s">
        <v>997</v>
      </c>
      <c r="G82" s="37" t="s">
        <v>918</v>
      </c>
      <c r="H8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82" s="37" t="s">
        <v>854</v>
      </c>
      <c r="J82" s="38">
        <v>46403</v>
      </c>
      <c r="K82" s="37" t="s">
        <v>855</v>
      </c>
      <c r="L82" s="37" t="str">
        <f ca="1">IF(AND(بيانات_العملاء[[#This Row],[السجل التجارى]]="موجود",TODAY()+'Other Data'!$B$23&lt;J82,بيانات_العملاء[[#This Row],[مطابقة اسم العميل بالاسم بالسجل التجارى]]="مطابق"), "سارى", "يجب اعادة طلبه")</f>
        <v>سارى</v>
      </c>
      <c r="M82" s="37" t="s">
        <v>854</v>
      </c>
      <c r="N82" s="39" t="str" cm="1">
        <f t="array" aca="1" ref="N82" ca="1">INDEX('SAP Customer Data'!$A:$AC,MATCH(بيانات_العملاء[[#This Row],[رمز شريك الأعمال]],'SAP Customer Data'!$B:$B,0),CELL("col",Table_Customer_Data[[#Headers],[LicTradNum]]))</f>
        <v>310166127900003</v>
      </c>
      <c r="O8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82" s="37" t="s">
        <v>854</v>
      </c>
      <c r="Q82" s="38">
        <v>46088</v>
      </c>
      <c r="R8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82" s="37" t="s">
        <v>1075</v>
      </c>
      <c r="T82" s="40">
        <v>50000</v>
      </c>
      <c r="U82" s="41">
        <v>43701</v>
      </c>
      <c r="V82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8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82" s="37" cm="1">
        <f t="array" aca="1" ref="X82" ca="1">INDEX('SAP Customer Data'!$A:$AC,MATCH(بيانات_العملاء[[#This Row],[رمز شريك الأعمال]],'SAP Customer Data'!$B:$B,0),CELL("col",Table_Customer_Data[[#Headers],[CreditLine]]))</f>
        <v>50000</v>
      </c>
      <c r="Y8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2" s="37"/>
      <c r="AA8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82" s="37" t="s">
        <v>856</v>
      </c>
      <c r="AC82" s="37"/>
      <c r="AD8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2" s="37" t="s">
        <v>856</v>
      </c>
      <c r="AF82" s="37"/>
      <c r="AG8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2" s="37" t="s">
        <v>856</v>
      </c>
      <c r="AI82" s="37"/>
      <c r="AJ8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2" s="37" t="s">
        <v>856</v>
      </c>
      <c r="AL82" s="38"/>
      <c r="AM8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2" s="37" t="s">
        <v>854</v>
      </c>
      <c r="AO82" s="41">
        <v>44626</v>
      </c>
      <c r="AP8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2" s="37" t="s">
        <v>856</v>
      </c>
      <c r="AR82" s="37"/>
      <c r="AS8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2" s="41" cm="1">
        <f t="array" aca="1" ref="AT82" ca="1">INDEX('SAP Customer Data'!A:Z,MATCH(بيانات_العملاء[[#This Row],[رمز شريك الأعمال]],'SAP Customer Data'!B:B,0),CELL("col",Table_Customer_Data[[#Headers],[CreateDate]]))</f>
        <v>43650</v>
      </c>
      <c r="AU82" s="37"/>
      <c r="AV82" s="41"/>
      <c r="AW82" s="37" t="s">
        <v>2097</v>
      </c>
      <c r="AX82" s="37"/>
    </row>
    <row r="83" spans="1:50" x14ac:dyDescent="0.25">
      <c r="A83" s="36" t="str" cm="1">
        <f t="array" aca="1" ref="A83" ca="1">INDEX('SAP Customer Data'!$A:$AC,MATCH(بيانات_العملاء[[#This Row],[رمز شريك الأعمال]],'SAP Customer Data'!$B:$B,0),CELL("col",Table_Customer_Data[[#Headers],[GroupName]]))</f>
        <v>CS01</v>
      </c>
      <c r="B83" s="35" t="s">
        <v>511</v>
      </c>
      <c r="C83" s="37" t="str" cm="1">
        <f t="array" aca="1" ref="C83" ca="1">INDEX('SAP Customer Data'!$A:$AC,MATCH(بيانات_العملاء[[#This Row],[رمز شريك الأعمال]],'SAP Customer Data'!$B:$B,0),CELL("col",Table_Customer_Data[[#Headers],[CardName]]))</f>
        <v>مؤسسة خالد محمد مهل الحربي للتجارة</v>
      </c>
      <c r="D83" s="37" t="str">
        <f ca="1">IF(بيانات_العملاء[[#This Row],[حد الائتمان على SAP]]&gt;0,"آجل","نقدى")</f>
        <v>آجل</v>
      </c>
      <c r="E83" s="37"/>
      <c r="F83" s="37" t="s">
        <v>1082</v>
      </c>
      <c r="G83" s="37" t="s">
        <v>854</v>
      </c>
      <c r="H8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83" s="37" t="s">
        <v>856</v>
      </c>
      <c r="J83" s="38"/>
      <c r="K83" s="37"/>
      <c r="L83" s="37" t="str">
        <f ca="1">IF(AND(بيانات_العملاء[[#This Row],[السجل التجارى]]="موجود",TODAY()+'Other Data'!$B$23&lt;J83,بيانات_العملاء[[#This Row],[مطابقة اسم العميل بالاسم بالسجل التجارى]]="مطابق"), "سارى", "يجب اعادة طلبه")</f>
        <v>يجب اعادة طلبه</v>
      </c>
      <c r="M83" s="37" t="s">
        <v>856</v>
      </c>
      <c r="N83" s="39" t="str" cm="1">
        <f t="array" aca="1" ref="N83" ca="1">INDEX('SAP Customer Data'!$A:$AC,MATCH(بيانات_العملاء[[#This Row],[رمز شريك الأعمال]],'SAP Customer Data'!$B:$B,0),CELL("col",Table_Customer_Data[[#Headers],[LicTradNum]]))</f>
        <v>310209010200003</v>
      </c>
      <c r="O8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83" s="37" t="s">
        <v>856</v>
      </c>
      <c r="Q83" s="38"/>
      <c r="R8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83" s="37" t="s">
        <v>854</v>
      </c>
      <c r="T83" s="40">
        <v>50000</v>
      </c>
      <c r="U83" s="41"/>
      <c r="V8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8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83" s="37" cm="1">
        <f t="array" aca="1" ref="X83" ca="1">INDEX('SAP Customer Data'!$A:$AC,MATCH(بيانات_العملاء[[#This Row],[رمز شريك الأعمال]],'SAP Customer Data'!$B:$B,0),CELL("col",Table_Customer_Data[[#Headers],[CreditLine]]))</f>
        <v>40000</v>
      </c>
      <c r="Y8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3" s="37" t="s">
        <v>859</v>
      </c>
      <c r="AA8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83" s="37" t="s">
        <v>856</v>
      </c>
      <c r="AC83" s="37"/>
      <c r="AD8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3" s="37" t="s">
        <v>856</v>
      </c>
      <c r="AF83" s="37"/>
      <c r="AG8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3" s="37" t="s">
        <v>856</v>
      </c>
      <c r="AI83" s="37"/>
      <c r="AJ8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3" s="37" t="s">
        <v>856</v>
      </c>
      <c r="AL83" s="38"/>
      <c r="AM8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3" s="37" t="s">
        <v>856</v>
      </c>
      <c r="AO83" s="41"/>
      <c r="AP8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3" s="37" t="s">
        <v>856</v>
      </c>
      <c r="AR83" s="37"/>
      <c r="AS8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3" s="41" cm="1">
        <f t="array" aca="1" ref="AT83" ca="1">INDEX('SAP Customer Data'!A:Z,MATCH(بيانات_العملاء[[#This Row],[رمز شريك الأعمال]],'SAP Customer Data'!B:B,0),CELL("col",Table_Customer_Data[[#Headers],[CreateDate]]))</f>
        <v>43581</v>
      </c>
      <c r="AU83" s="37"/>
      <c r="AV83" s="41"/>
      <c r="AW83" s="37" t="s">
        <v>2097</v>
      </c>
      <c r="AX83" s="37"/>
    </row>
    <row r="84" spans="1:50" x14ac:dyDescent="0.25">
      <c r="A84" s="36" t="str" cm="1">
        <f t="array" aca="1" ref="A84" ca="1">INDEX('SAP Customer Data'!$A:$AC,MATCH(بيانات_العملاء[[#This Row],[رمز شريك الأعمال]],'SAP Customer Data'!$B:$B,0),CELL("col",Table_Customer_Data[[#Headers],[GroupName]]))</f>
        <v>CS01</v>
      </c>
      <c r="B84" s="35" t="s">
        <v>508</v>
      </c>
      <c r="C84" s="37" t="str" cm="1">
        <f t="array" aca="1" ref="C84" ca="1">INDEX('SAP Customer Data'!$A:$AC,MATCH(بيانات_العملاء[[#This Row],[رمز شريك الأعمال]],'SAP Customer Data'!$B:$B,0),CELL("col",Table_Customer_Data[[#Headers],[CardName]]))</f>
        <v>محل محمد احمد الخميس لادوات الكهربائية قرطبة 1</v>
      </c>
      <c r="D84" s="37" t="str">
        <f ca="1">IF(بيانات_العملاء[[#This Row],[حد الائتمان على SAP]]&gt;0,"آجل","نقدى")</f>
        <v>آجل</v>
      </c>
      <c r="E84" s="37" t="s">
        <v>882</v>
      </c>
      <c r="F84" s="37" t="s">
        <v>1081</v>
      </c>
      <c r="G84" s="37" t="s">
        <v>854</v>
      </c>
      <c r="H8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84" s="37" t="s">
        <v>854</v>
      </c>
      <c r="J84" s="38">
        <v>43727</v>
      </c>
      <c r="K84" s="37" t="s">
        <v>855</v>
      </c>
      <c r="L84" s="37" t="str">
        <f ca="1">IF(AND(بيانات_العملاء[[#This Row],[السجل التجارى]]="موجود",TODAY()+'Other Data'!$B$23&lt;J84,بيانات_العملاء[[#This Row],[مطابقة اسم العميل بالاسم بالسجل التجارى]]="مطابق"), "سارى", "يجب اعادة طلبه")</f>
        <v>يجب اعادة طلبه</v>
      </c>
      <c r="M84" s="37" t="s">
        <v>856</v>
      </c>
      <c r="N84" s="39" t="str" cm="1">
        <f t="array" aca="1" ref="N84" ca="1">INDEX('SAP Customer Data'!$A:$AC,MATCH(بيانات_العملاء[[#This Row],[رمز شريك الأعمال]],'SAP Customer Data'!$B:$B,0),CELL("col",Table_Customer_Data[[#Headers],[LicTradNum]]))</f>
        <v>310239628900003</v>
      </c>
      <c r="O8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84" s="37" t="s">
        <v>856</v>
      </c>
      <c r="Q84" s="38"/>
      <c r="R8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84" s="37" t="s">
        <v>854</v>
      </c>
      <c r="T84" s="40">
        <v>50000</v>
      </c>
      <c r="U84" s="41"/>
      <c r="V8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8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84" s="37" cm="1">
        <f t="array" aca="1" ref="X84" ca="1">INDEX('SAP Customer Data'!$A:$AC,MATCH(بيانات_العملاء[[#This Row],[رمز شريك الأعمال]],'SAP Customer Data'!$B:$B,0),CELL("col",Table_Customer_Data[[#Headers],[CreditLine]]))</f>
        <v>25000</v>
      </c>
      <c r="Y8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84" s="37" t="s">
        <v>855</v>
      </c>
      <c r="AA8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84" s="37" t="s">
        <v>856</v>
      </c>
      <c r="AC84" s="37"/>
      <c r="AD8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4" s="37" t="s">
        <v>856</v>
      </c>
      <c r="AF84" s="37"/>
      <c r="AG8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4" s="37" t="s">
        <v>856</v>
      </c>
      <c r="AI84" s="37"/>
      <c r="AJ8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4" s="37" t="s">
        <v>856</v>
      </c>
      <c r="AL84" s="38"/>
      <c r="AM8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4" s="37" t="s">
        <v>856</v>
      </c>
      <c r="AO84" s="41"/>
      <c r="AP8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4" s="37" t="s">
        <v>856</v>
      </c>
      <c r="AR84" s="37"/>
      <c r="AS8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4" s="41" cm="1">
        <f t="array" aca="1" ref="AT84" ca="1">INDEX('SAP Customer Data'!A:Z,MATCH(بيانات_العملاء[[#This Row],[رمز شريك الأعمال]],'SAP Customer Data'!B:B,0),CELL("col",Table_Customer_Data[[#Headers],[CreateDate]]))</f>
        <v>43581</v>
      </c>
      <c r="AU84" s="37"/>
      <c r="AV84" s="41"/>
      <c r="AW84" s="37" t="s">
        <v>2097</v>
      </c>
      <c r="AX84" s="37"/>
    </row>
    <row r="85" spans="1:50" x14ac:dyDescent="0.25">
      <c r="A85" s="36" t="str" cm="1">
        <f t="array" aca="1" ref="A85" ca="1">INDEX('SAP Customer Data'!$A:$AC,MATCH(بيانات_العملاء[[#This Row],[رمز شريك الأعمال]],'SAP Customer Data'!$B:$B,0),CELL("col",Table_Customer_Data[[#Headers],[GroupName]]))</f>
        <v>CS01</v>
      </c>
      <c r="B85" s="35" t="s">
        <v>418</v>
      </c>
      <c r="C85" s="37" t="str" cm="1">
        <f t="array" aca="1" ref="C85" ca="1">INDEX('SAP Customer Data'!$A:$AC,MATCH(بيانات_العملاء[[#This Row],[رمز شريك الأعمال]],'SAP Customer Data'!$B:$B,0),CELL("col",Table_Customer_Data[[#Headers],[CardName]]))</f>
        <v>مؤسسة عبدالله العتيق - حائل</v>
      </c>
      <c r="D85" s="37" t="str">
        <f ca="1">IF(بيانات_العملاء[[#This Row],[حد الائتمان على SAP]]&gt;0,"آجل","نقدى")</f>
        <v>آجل</v>
      </c>
      <c r="E85" s="37"/>
      <c r="F85" s="37" t="s">
        <v>1082</v>
      </c>
      <c r="G85" s="37" t="s">
        <v>854</v>
      </c>
      <c r="H8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85" s="37" t="s">
        <v>856</v>
      </c>
      <c r="J85" s="38"/>
      <c r="K85" s="37"/>
      <c r="L85" s="37" t="str">
        <f ca="1">IF(AND(بيانات_العملاء[[#This Row],[السجل التجارى]]="موجود",TODAY()+'Other Data'!$B$23&lt;J85,بيانات_العملاء[[#This Row],[مطابقة اسم العميل بالاسم بالسجل التجارى]]="مطابق"), "سارى", "يجب اعادة طلبه")</f>
        <v>يجب اعادة طلبه</v>
      </c>
      <c r="M85" s="37" t="s">
        <v>856</v>
      </c>
      <c r="N85" s="39" t="str" cm="1">
        <f t="array" aca="1" ref="N85" ca="1">INDEX('SAP Customer Data'!$A:$AC,MATCH(بيانات_العملاء[[#This Row],[رمز شريك الأعمال]],'SAP Customer Data'!$B:$B,0),CELL("col",Table_Customer_Data[[#Headers],[LicTradNum]]))</f>
        <v>310248497600003</v>
      </c>
      <c r="O8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85" s="37" t="s">
        <v>856</v>
      </c>
      <c r="Q85" s="38"/>
      <c r="R8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85" s="37" t="s">
        <v>854</v>
      </c>
      <c r="T85" s="40">
        <v>25000</v>
      </c>
      <c r="U85" s="41">
        <v>44259</v>
      </c>
      <c r="V85" s="41">
        <f>IF(بيانات_العملاء[[#This Row],[تاريخ انشاء سند الامر او الاستثناء]]="",0,بيانات_العملاء[[#This Row],[تاريخ انشاء سند الامر او الاستثناء]]+365*3)</f>
        <v>45354</v>
      </c>
      <c r="W8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20000</v>
      </c>
      <c r="X85" s="37" cm="1">
        <f t="array" aca="1" ref="X85" ca="1">INDEX('SAP Customer Data'!$A:$AC,MATCH(بيانات_العملاء[[#This Row],[رمز شريك الأعمال]],'SAP Customer Data'!$B:$B,0),CELL("col",Table_Customer_Data[[#Headers],[CreditLine]]))</f>
        <v>20000</v>
      </c>
      <c r="Y8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5" s="37" t="s">
        <v>859</v>
      </c>
      <c r="AA8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85" s="37" t="s">
        <v>856</v>
      </c>
      <c r="AC85" s="37"/>
      <c r="AD8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5" s="37" t="s">
        <v>856</v>
      </c>
      <c r="AF85" s="37"/>
      <c r="AG8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5" s="37" t="s">
        <v>856</v>
      </c>
      <c r="AI85" s="37"/>
      <c r="AJ8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5" s="37" t="s">
        <v>856</v>
      </c>
      <c r="AL85" s="38"/>
      <c r="AM8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5" s="37" t="s">
        <v>856</v>
      </c>
      <c r="AO85" s="41"/>
      <c r="AP8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5" s="37" t="s">
        <v>856</v>
      </c>
      <c r="AR85" s="37"/>
      <c r="AS8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5" s="41" cm="1">
        <f t="array" aca="1" ref="AT85" ca="1">INDEX('SAP Customer Data'!A:Z,MATCH(بيانات_العملاء[[#This Row],[رمز شريك الأعمال]],'SAP Customer Data'!B:B,0),CELL("col",Table_Customer_Data[[#Headers],[CreateDate]]))</f>
        <v>44165</v>
      </c>
      <c r="AU85" s="37"/>
      <c r="AV85" s="41"/>
      <c r="AW85" s="37" t="s">
        <v>2097</v>
      </c>
      <c r="AX85" s="37"/>
    </row>
    <row r="86" spans="1:50" x14ac:dyDescent="0.25">
      <c r="A86" s="36" t="str" cm="1">
        <f t="array" aca="1" ref="A86" ca="1">INDEX('SAP Customer Data'!$A:$AC,MATCH(بيانات_العملاء[[#This Row],[رمز شريك الأعمال]],'SAP Customer Data'!$B:$B,0),CELL("col",Table_Customer_Data[[#Headers],[GroupName]]))</f>
        <v>CS01</v>
      </c>
      <c r="B86" s="35" t="s">
        <v>582</v>
      </c>
      <c r="C86" s="37" t="str" cm="1">
        <f t="array" aca="1" ref="C86" ca="1">INDEX('SAP Customer Data'!$A:$AC,MATCH(بيانات_العملاء[[#This Row],[رمز شريك الأعمال]],'SAP Customer Data'!$B:$B,0),CELL("col",Table_Customer_Data[[#Headers],[CardName]]))</f>
        <v>شركة أبناء ناصر بن عبدالله البرادي للتجارة</v>
      </c>
      <c r="D86" s="37" t="str">
        <f ca="1">IF(بيانات_العملاء[[#This Row],[حد الائتمان على SAP]]&gt;0,"آجل","نقدى")</f>
        <v>آجل</v>
      </c>
      <c r="E86" s="37"/>
      <c r="F86" s="37" t="s">
        <v>997</v>
      </c>
      <c r="G86" s="37" t="s">
        <v>854</v>
      </c>
      <c r="H8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86" s="37" t="s">
        <v>854</v>
      </c>
      <c r="J86" s="38">
        <v>45006</v>
      </c>
      <c r="K86" s="37" t="s">
        <v>855</v>
      </c>
      <c r="L86" s="37" t="str">
        <f ca="1">IF(AND(بيانات_العملاء[[#This Row],[السجل التجارى]]="موجود",TODAY()+'Other Data'!$B$23&lt;J86,بيانات_العملاء[[#This Row],[مطابقة اسم العميل بالاسم بالسجل التجارى]]="مطابق"), "سارى", "يجب اعادة طلبه")</f>
        <v>يجب اعادة طلبه</v>
      </c>
      <c r="M86" s="37" t="s">
        <v>854</v>
      </c>
      <c r="N86" s="39" t="str" cm="1">
        <f t="array" aca="1" ref="N86" ca="1">INDEX('SAP Customer Data'!$A:$AC,MATCH(بيانات_العملاء[[#This Row],[رمز شريك الأعمال]],'SAP Customer Data'!$B:$B,0),CELL("col",Table_Customer_Data[[#Headers],[LicTradNum]]))</f>
        <v>310309213400003</v>
      </c>
      <c r="O8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86" s="37" t="s">
        <v>854</v>
      </c>
      <c r="Q86" s="38">
        <v>45046</v>
      </c>
      <c r="R8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86" s="37" t="s">
        <v>854</v>
      </c>
      <c r="T86" s="40">
        <v>50000</v>
      </c>
      <c r="U86" s="41"/>
      <c r="V8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8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86" s="37" cm="1">
        <f t="array" aca="1" ref="X86" ca="1">INDEX('SAP Customer Data'!$A:$AC,MATCH(بيانات_العملاء[[#This Row],[رمز شريك الأعمال]],'SAP Customer Data'!$B:$B,0),CELL("col",Table_Customer_Data[[#Headers],[CreditLine]]))</f>
        <v>40000</v>
      </c>
      <c r="Y8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6" s="37" t="s">
        <v>855</v>
      </c>
      <c r="AA8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86" s="37" t="s">
        <v>856</v>
      </c>
      <c r="AC86" s="37"/>
      <c r="AD8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6" s="37" t="s">
        <v>854</v>
      </c>
      <c r="AF86" s="41">
        <v>51200</v>
      </c>
      <c r="AG8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86" s="37" t="s">
        <v>856</v>
      </c>
      <c r="AI86" s="37"/>
      <c r="AJ8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6" s="37" t="s">
        <v>856</v>
      </c>
      <c r="AL86" s="38"/>
      <c r="AM8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6" s="37" t="s">
        <v>854</v>
      </c>
      <c r="AO86" s="41"/>
      <c r="AP8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6" s="37" t="s">
        <v>856</v>
      </c>
      <c r="AR86" s="37"/>
      <c r="AS8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6" s="41" cm="1">
        <f t="array" aca="1" ref="AT86" ca="1">INDEX('SAP Customer Data'!A:Z,MATCH(بيانات_العملاء[[#This Row],[رمز شريك الأعمال]],'SAP Customer Data'!B:B,0),CELL("col",Table_Customer_Data[[#Headers],[CreateDate]]))</f>
        <v>44382</v>
      </c>
      <c r="AU86" s="37"/>
      <c r="AV86" s="41"/>
      <c r="AW86" s="37" t="s">
        <v>2097</v>
      </c>
      <c r="AX86" s="37"/>
    </row>
    <row r="87" spans="1:50" x14ac:dyDescent="0.25">
      <c r="A87" s="36" t="str" cm="1">
        <f t="array" aca="1" ref="A87" ca="1">INDEX('SAP Customer Data'!$A:$AC,MATCH(بيانات_العملاء[[#This Row],[رمز شريك الأعمال]],'SAP Customer Data'!$B:$B,0),CELL("col",Table_Customer_Data[[#Headers],[GroupName]]))</f>
        <v>CS01</v>
      </c>
      <c r="B87" s="35" t="s">
        <v>466</v>
      </c>
      <c r="C87" s="37" t="str" cm="1">
        <f t="array" aca="1" ref="C87" ca="1">INDEX('SAP Customer Data'!$A:$AC,MATCH(بيانات_العملاء[[#This Row],[رمز شريك الأعمال]],'SAP Customer Data'!$B:$B,0),CELL("col",Table_Customer_Data[[#Headers],[CardName]]))</f>
        <v>شركة خبراء الكهرباء التجارية</v>
      </c>
      <c r="D87" s="37" t="str">
        <f ca="1">IF(بيانات_العملاء[[#This Row],[حد الائتمان على SAP]]&gt;0,"آجل","نقدى")</f>
        <v>آجل</v>
      </c>
      <c r="E87" s="37"/>
      <c r="F87" s="37" t="s">
        <v>997</v>
      </c>
      <c r="G87" s="37" t="s">
        <v>854</v>
      </c>
      <c r="H8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87" s="37" t="s">
        <v>854</v>
      </c>
      <c r="J87" s="38">
        <v>45519</v>
      </c>
      <c r="K87" s="37" t="s">
        <v>855</v>
      </c>
      <c r="L87" s="37" t="str">
        <f ca="1">IF(AND(بيانات_العملاء[[#This Row],[السجل التجارى]]="موجود",TODAY()+'Other Data'!$B$23&lt;J87,بيانات_العملاء[[#This Row],[مطابقة اسم العميل بالاسم بالسجل التجارى]]="مطابق"), "سارى", "يجب اعادة طلبه")</f>
        <v>سارى</v>
      </c>
      <c r="M87" s="37" t="s">
        <v>854</v>
      </c>
      <c r="N87" s="39" t="str" cm="1">
        <f t="array" aca="1" ref="N87" ca="1">INDEX('SAP Customer Data'!$A:$AC,MATCH(بيانات_العملاء[[#This Row],[رمز شريك الأعمال]],'SAP Customer Data'!$B:$B,0),CELL("col",Table_Customer_Data[[#Headers],[LicTradNum]]))</f>
        <v>310556926800003</v>
      </c>
      <c r="O8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87" s="37" t="s">
        <v>856</v>
      </c>
      <c r="Q87" s="38"/>
      <c r="R8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87" s="37" t="s">
        <v>1075</v>
      </c>
      <c r="T87" s="40">
        <v>20000</v>
      </c>
      <c r="U87" s="41">
        <v>43701</v>
      </c>
      <c r="V87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8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20000</v>
      </c>
      <c r="X87" s="37" cm="1">
        <f t="array" aca="1" ref="X87" ca="1">INDEX('SAP Customer Data'!$A:$AC,MATCH(بيانات_العملاء[[#This Row],[رمز شريك الأعمال]],'SAP Customer Data'!$B:$B,0),CELL("col",Table_Customer_Data[[#Headers],[CreditLine]]))</f>
        <v>20000</v>
      </c>
      <c r="Y8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7" s="37"/>
      <c r="AA8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87" s="37" t="s">
        <v>856</v>
      </c>
      <c r="AC87" s="37"/>
      <c r="AD8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7" s="37" t="s">
        <v>856</v>
      </c>
      <c r="AF87" s="37"/>
      <c r="AG8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7" s="37" t="s">
        <v>856</v>
      </c>
      <c r="AI87" s="37"/>
      <c r="AJ8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7" s="37" t="s">
        <v>856</v>
      </c>
      <c r="AL87" s="38"/>
      <c r="AM8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7" s="37" t="s">
        <v>856</v>
      </c>
      <c r="AO87" s="41"/>
      <c r="AP8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7" s="37" t="s">
        <v>856</v>
      </c>
      <c r="AR87" s="37"/>
      <c r="AS8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7" s="41" cm="1">
        <f t="array" aca="1" ref="AT87" ca="1">INDEX('SAP Customer Data'!A:Z,MATCH(بيانات_العملاء[[#This Row],[رمز شريك الأعمال]],'SAP Customer Data'!B:B,0),CELL("col",Table_Customer_Data[[#Headers],[CreateDate]]))</f>
        <v>44601</v>
      </c>
      <c r="AU87" s="37"/>
      <c r="AV87" s="41"/>
      <c r="AW87" s="37" t="s">
        <v>2097</v>
      </c>
      <c r="AX87" s="37"/>
    </row>
    <row r="88" spans="1:50" x14ac:dyDescent="0.25">
      <c r="A88" s="36" t="str" cm="1">
        <f t="array" aca="1" ref="A88" ca="1">INDEX('SAP Customer Data'!$A:$AC,MATCH(بيانات_العملاء[[#This Row],[رمز شريك الأعمال]],'SAP Customer Data'!$B:$B,0),CELL("col",Table_Customer_Data[[#Headers],[GroupName]]))</f>
        <v>CS01</v>
      </c>
      <c r="B88" s="35" t="s">
        <v>233</v>
      </c>
      <c r="C88" s="37" t="str" cm="1">
        <f t="array" aca="1" ref="C88" ca="1">INDEX('SAP Customer Data'!$A:$AC,MATCH(بيانات_العملاء[[#This Row],[رمز شريك الأعمال]],'SAP Customer Data'!$B:$B,0),CELL("col",Table_Customer_Data[[#Headers],[CardName]]))</f>
        <v>مؤسسة ابراهيم عبد الله ناصر السعوي للتجارة- نقدي</v>
      </c>
      <c r="D88" s="37" t="str">
        <f ca="1">IF(بيانات_العملاء[[#This Row],[حد الائتمان على SAP]]&gt;0,"آجل","نقدى")</f>
        <v>نقدى</v>
      </c>
      <c r="E88" s="37" t="s">
        <v>909</v>
      </c>
      <c r="F88" s="37" t="s">
        <v>1081</v>
      </c>
      <c r="G88" s="37" t="s">
        <v>854</v>
      </c>
      <c r="H8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88" s="37" t="s">
        <v>854</v>
      </c>
      <c r="J88" s="38">
        <v>45356</v>
      </c>
      <c r="K88" s="37" t="s">
        <v>855</v>
      </c>
      <c r="L88" s="37" t="str">
        <f ca="1">IF(AND(بيانات_العملاء[[#This Row],[السجل التجارى]]="موجود",TODAY()+'Other Data'!$B$23&lt;J88,بيانات_العملاء[[#This Row],[مطابقة اسم العميل بالاسم بالسجل التجارى]]="مطابق"), "سارى", "يجب اعادة طلبه")</f>
        <v>سارى</v>
      </c>
      <c r="M88" s="37" t="s">
        <v>854</v>
      </c>
      <c r="N88" s="39" t="str" cm="1">
        <f t="array" aca="1" ref="N88" ca="1">INDEX('SAP Customer Data'!$A:$AC,MATCH(بيانات_العملاء[[#This Row],[رمز شريك الأعمال]],'SAP Customer Data'!$B:$B,0),CELL("col",Table_Customer_Data[[#Headers],[LicTradNum]]))</f>
        <v>310909724400003</v>
      </c>
      <c r="O8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88" s="37" t="s">
        <v>854</v>
      </c>
      <c r="Q88" s="38">
        <v>45495</v>
      </c>
      <c r="R8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88" s="37" t="s">
        <v>1080</v>
      </c>
      <c r="T88" s="40"/>
      <c r="U88" s="41"/>
      <c r="V8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8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88" s="37" cm="1">
        <f t="array" aca="1" ref="X88" ca="1">INDEX('SAP Customer Data'!$A:$AC,MATCH(بيانات_العملاء[[#This Row],[رمز شريك الأعمال]],'SAP Customer Data'!$B:$B,0),CELL("col",Table_Customer_Data[[#Headers],[CreditLine]]))</f>
        <v>0</v>
      </c>
      <c r="Y8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8" s="37"/>
      <c r="AA8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88" s="37" t="s">
        <v>854</v>
      </c>
      <c r="AC88" s="41">
        <v>47253</v>
      </c>
      <c r="AD8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88" s="37" t="s">
        <v>856</v>
      </c>
      <c r="AF88" s="37"/>
      <c r="AG8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8" s="37" t="s">
        <v>856</v>
      </c>
      <c r="AI88" s="37"/>
      <c r="AJ8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8" s="37" t="s">
        <v>856</v>
      </c>
      <c r="AL88" s="38"/>
      <c r="AM8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8" s="37" t="s">
        <v>856</v>
      </c>
      <c r="AO88" s="41"/>
      <c r="AP8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8" s="37" t="s">
        <v>856</v>
      </c>
      <c r="AR88" s="37"/>
      <c r="AS8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8" s="41" cm="1">
        <f t="array" aca="1" ref="AT88" ca="1">INDEX('SAP Customer Data'!A:Z,MATCH(بيانات_العملاء[[#This Row],[رمز شريك الأعمال]],'SAP Customer Data'!B:B,0),CELL("col",Table_Customer_Data[[#Headers],[CreateDate]]))</f>
        <v>44819</v>
      </c>
      <c r="AU88" s="37"/>
      <c r="AV88" s="41"/>
      <c r="AW88" s="37" t="s">
        <v>2097</v>
      </c>
      <c r="AX88" s="37"/>
    </row>
    <row r="89" spans="1:50" x14ac:dyDescent="0.25">
      <c r="A89" s="36" t="str" cm="1">
        <f t="array" aca="1" ref="A89" ca="1">INDEX('SAP Customer Data'!$A:$AC,MATCH(بيانات_العملاء[[#This Row],[رمز شريك الأعمال]],'SAP Customer Data'!$B:$B,0),CELL("col",Table_Customer_Data[[#Headers],[GroupName]]))</f>
        <v>CS01</v>
      </c>
      <c r="B89" s="35" t="s">
        <v>229</v>
      </c>
      <c r="C89" s="37" t="str" cm="1">
        <f t="array" aca="1" ref="C89" ca="1">INDEX('SAP Customer Data'!$A:$AC,MATCH(بيانات_العملاء[[#This Row],[رمز شريك الأعمال]],'SAP Customer Data'!$B:$B,0),CELL("col",Table_Customer_Data[[#Headers],[CardName]]))</f>
        <v>شركة انوار المنازل التجارية</v>
      </c>
      <c r="D89" s="37" t="str">
        <f ca="1">IF(بيانات_العملاء[[#This Row],[حد الائتمان على SAP]]&gt;0,"آجل","نقدى")</f>
        <v>آجل</v>
      </c>
      <c r="E89" s="37"/>
      <c r="F89" s="37" t="s">
        <v>908</v>
      </c>
      <c r="G89" s="37" t="s">
        <v>918</v>
      </c>
      <c r="H8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89" s="37" t="s">
        <v>854</v>
      </c>
      <c r="J89" s="38">
        <v>44942</v>
      </c>
      <c r="K89" s="37" t="s">
        <v>855</v>
      </c>
      <c r="L89" s="37" t="str">
        <f ca="1">IF(AND(بيانات_العملاء[[#This Row],[السجل التجارى]]="موجود",TODAY()+'Other Data'!$B$23&lt;J89,بيانات_العملاء[[#This Row],[مطابقة اسم العميل بالاسم بالسجل التجارى]]="مطابق"), "سارى", "يجب اعادة طلبه")</f>
        <v>يجب اعادة طلبه</v>
      </c>
      <c r="M89" s="37" t="s">
        <v>854</v>
      </c>
      <c r="N89" s="39" t="str" cm="1">
        <f t="array" aca="1" ref="N89" ca="1">INDEX('SAP Customer Data'!$A:$AC,MATCH(بيانات_العملاء[[#This Row],[رمز شريك الأعمال]],'SAP Customer Data'!$B:$B,0),CELL("col",Table_Customer_Data[[#Headers],[LicTradNum]]))</f>
        <v>311185844400003</v>
      </c>
      <c r="O8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89" s="37" t="s">
        <v>856</v>
      </c>
      <c r="Q89" s="38"/>
      <c r="R8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89" s="37" t="s">
        <v>854</v>
      </c>
      <c r="T89" s="40">
        <v>50000</v>
      </c>
      <c r="U89" s="41">
        <v>44630</v>
      </c>
      <c r="V89" s="41">
        <f>IF(بيانات_العملاء[[#This Row],[تاريخ انشاء سند الامر او الاستثناء]]="",0,بيانات_العملاء[[#This Row],[تاريخ انشاء سند الامر او الاستثناء]]+365*3)</f>
        <v>45725</v>
      </c>
      <c r="W8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89" s="37" cm="1">
        <f t="array" aca="1" ref="X89" ca="1">INDEX('SAP Customer Data'!$A:$AC,MATCH(بيانات_العملاء[[#This Row],[رمز شريك الأعمال]],'SAP Customer Data'!$B:$B,0),CELL("col",Table_Customer_Data[[#Headers],[CreditLine]]))</f>
        <v>40000</v>
      </c>
      <c r="Y8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89" s="37" t="s">
        <v>855</v>
      </c>
      <c r="AA8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89" s="37" t="s">
        <v>854</v>
      </c>
      <c r="AC89" s="37"/>
      <c r="AD8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89" s="37" t="s">
        <v>856</v>
      </c>
      <c r="AF89" s="37"/>
      <c r="AG8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89" s="37" t="s">
        <v>856</v>
      </c>
      <c r="AI89" s="37"/>
      <c r="AJ8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89" s="37"/>
      <c r="AL89" s="38"/>
      <c r="AM8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89" s="37" t="s">
        <v>856</v>
      </c>
      <c r="AO89" s="41"/>
      <c r="AP8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89" s="37" t="s">
        <v>856</v>
      </c>
      <c r="AR89" s="37"/>
      <c r="AS8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89" s="41" cm="1">
        <f t="array" aca="1" ref="AT89" ca="1">INDEX('SAP Customer Data'!A:Z,MATCH(بيانات_العملاء[[#This Row],[رمز شريك الأعمال]],'SAP Customer Data'!B:B,0),CELL("col",Table_Customer_Data[[#Headers],[CreateDate]]))</f>
        <v>44705</v>
      </c>
      <c r="AU89" s="37"/>
      <c r="AV89" s="41"/>
      <c r="AW89" s="37" t="s">
        <v>2097</v>
      </c>
      <c r="AX89" s="37"/>
    </row>
    <row r="90" spans="1:50" x14ac:dyDescent="0.25">
      <c r="A90" s="36" t="str" cm="1">
        <f t="array" aca="1" ref="A90" ca="1">INDEX('SAP Customer Data'!$A:$AC,MATCH(بيانات_العملاء[[#This Row],[رمز شريك الأعمال]],'SAP Customer Data'!$B:$B,0),CELL("col",Table_Customer_Data[[#Headers],[GroupName]]))</f>
        <v>CS01</v>
      </c>
      <c r="B90" s="35" t="s">
        <v>311</v>
      </c>
      <c r="C90" s="37" t="str" cm="1">
        <f t="array" aca="1" ref="C90" ca="1">INDEX('SAP Customer Data'!$A:$AC,MATCH(بيانات_العملاء[[#This Row],[رمز شريك الأعمال]],'SAP Customer Data'!$B:$B,0),CELL("col",Table_Customer_Data[[#Headers],[CardName]]))</f>
        <v>شركة نجم الهزاز التجارية نقدي</v>
      </c>
      <c r="D90" s="37" t="str">
        <f ca="1">IF(بيانات_العملاء[[#This Row],[حد الائتمان على SAP]]&gt;0,"آجل","نقدى")</f>
        <v>نقدى</v>
      </c>
      <c r="E90" s="37"/>
      <c r="F90" s="37" t="s">
        <v>1082</v>
      </c>
      <c r="G90" s="37" t="s">
        <v>856</v>
      </c>
      <c r="H9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0" s="37" t="s">
        <v>856</v>
      </c>
      <c r="J90" s="38"/>
      <c r="K90" s="37"/>
      <c r="L90" s="37" t="str">
        <f ca="1">IF(AND(بيانات_العملاء[[#This Row],[السجل التجارى]]="موجود",TODAY()+'Other Data'!$B$23&lt;J90,بيانات_العملاء[[#This Row],[مطابقة اسم العميل بالاسم بالسجل التجارى]]="مطابق"), "سارى", "يجب اعادة طلبه")</f>
        <v>يجب اعادة طلبه</v>
      </c>
      <c r="M90" s="37" t="s">
        <v>854</v>
      </c>
      <c r="N90" s="39" t="str" cm="1">
        <f t="array" aca="1" ref="N90" ca="1">INDEX('SAP Customer Data'!$A:$AC,MATCH(بيانات_العملاء[[#This Row],[رمز شريك الأعمال]],'SAP Customer Data'!$B:$B,0),CELL("col",Table_Customer_Data[[#Headers],[LicTradNum]]))</f>
        <v>311274280800003</v>
      </c>
      <c r="O9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90" s="37" t="s">
        <v>856</v>
      </c>
      <c r="Q90" s="38"/>
      <c r="R9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0" s="37" t="s">
        <v>1080</v>
      </c>
      <c r="T90" s="40"/>
      <c r="U90" s="41"/>
      <c r="V9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0" s="37" cm="1">
        <f t="array" aca="1" ref="X90" ca="1">INDEX('SAP Customer Data'!$A:$AC,MATCH(بيانات_العملاء[[#This Row],[رمز شريك الأعمال]],'SAP Customer Data'!$B:$B,0),CELL("col",Table_Customer_Data[[#Headers],[CreditLine]]))</f>
        <v>0</v>
      </c>
      <c r="Y9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0" s="37"/>
      <c r="AA9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0" s="37" t="s">
        <v>856</v>
      </c>
      <c r="AC90" s="37"/>
      <c r="AD9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0" s="37" t="s">
        <v>856</v>
      </c>
      <c r="AF90" s="37"/>
      <c r="AG9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0" s="37" t="s">
        <v>856</v>
      </c>
      <c r="AI90" s="37"/>
      <c r="AJ9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0" s="37" t="s">
        <v>856</v>
      </c>
      <c r="AL90" s="38"/>
      <c r="AM9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0" s="37" t="s">
        <v>856</v>
      </c>
      <c r="AO90" s="41"/>
      <c r="AP9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0" s="37" t="s">
        <v>856</v>
      </c>
      <c r="AR90" s="37"/>
      <c r="AS9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0" s="41" cm="1">
        <f t="array" aca="1" ref="AT90" ca="1">INDEX('SAP Customer Data'!A:Z,MATCH(بيانات_العملاء[[#This Row],[رمز شريك الأعمال]],'SAP Customer Data'!B:B,0),CELL("col",Table_Customer_Data[[#Headers],[CreateDate]]))</f>
        <v>43645</v>
      </c>
      <c r="AU90" s="37"/>
      <c r="AV90" s="41"/>
      <c r="AW90" s="37" t="s">
        <v>2097</v>
      </c>
      <c r="AX90" s="37"/>
    </row>
    <row r="91" spans="1:50" x14ac:dyDescent="0.25">
      <c r="A91" s="36" t="str" cm="1">
        <f t="array" aca="1" ref="A91" ca="1">INDEX('SAP Customer Data'!$A:$AC,MATCH(بيانات_العملاء[[#This Row],[رمز شريك الأعمال]],'SAP Customer Data'!$B:$B,0),CELL("col",Table_Customer_Data[[#Headers],[GroupName]]))</f>
        <v>CS01</v>
      </c>
      <c r="B91" s="35" t="s">
        <v>221</v>
      </c>
      <c r="C91" s="37" t="str" cm="1">
        <f t="array" aca="1" ref="C91" ca="1">INDEX('SAP Customer Data'!$A:$AC,MATCH(بيانات_العملاء[[#This Row],[رمز شريك الأعمال]],'SAP Customer Data'!$B:$B,0),CELL("col",Table_Customer_Data[[#Headers],[CardName]]))</f>
        <v>شركة الاسم الألمع التجارية</v>
      </c>
      <c r="D91" s="37" t="str">
        <f ca="1">IF(بيانات_العملاء[[#This Row],[حد الائتمان على SAP]]&gt;0,"آجل","نقدى")</f>
        <v>آجل</v>
      </c>
      <c r="E91" s="37"/>
      <c r="F91" s="37" t="s">
        <v>908</v>
      </c>
      <c r="G91" s="37" t="s">
        <v>854</v>
      </c>
      <c r="H9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91" s="37" t="s">
        <v>854</v>
      </c>
      <c r="J91" s="38">
        <v>45005</v>
      </c>
      <c r="K91" s="37" t="s">
        <v>855</v>
      </c>
      <c r="L91" s="37" t="str">
        <f ca="1">IF(AND(بيانات_العملاء[[#This Row],[السجل التجارى]]="موجود",TODAY()+'Other Data'!$B$23&lt;J91,بيانات_العملاء[[#This Row],[مطابقة اسم العميل بالاسم بالسجل التجارى]]="مطابق"), "سارى", "يجب اعادة طلبه")</f>
        <v>يجب اعادة طلبه</v>
      </c>
      <c r="M91" s="37" t="s">
        <v>854</v>
      </c>
      <c r="N91" s="39" t="str" cm="1">
        <f t="array" aca="1" ref="N91" ca="1">INDEX('SAP Customer Data'!$A:$AC,MATCH(بيانات_العملاء[[#This Row],[رمز شريك الأعمال]],'SAP Customer Data'!$B:$B,0),CELL("col",Table_Customer_Data[[#Headers],[LicTradNum]]))</f>
        <v>311325586400003</v>
      </c>
      <c r="O9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91" s="37" t="s">
        <v>854</v>
      </c>
      <c r="Q91" s="38">
        <v>45073</v>
      </c>
      <c r="R9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1" s="37" t="s">
        <v>1075</v>
      </c>
      <c r="T91" s="40">
        <v>50000</v>
      </c>
      <c r="U91" s="41">
        <v>43701</v>
      </c>
      <c r="V91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9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91" s="37" cm="1">
        <f t="array" aca="1" ref="X91" ca="1">INDEX('SAP Customer Data'!$A:$AC,MATCH(بيانات_العملاء[[#This Row],[رمز شريك الأعمال]],'SAP Customer Data'!$B:$B,0),CELL("col",Table_Customer_Data[[#Headers],[CreditLine]]))</f>
        <v>50000</v>
      </c>
      <c r="Y9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1" s="37"/>
      <c r="AA9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1" s="37" t="s">
        <v>856</v>
      </c>
      <c r="AC91" s="37"/>
      <c r="AD9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1" s="37" t="s">
        <v>856</v>
      </c>
      <c r="AF91" s="37"/>
      <c r="AG9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1" s="37" t="s">
        <v>856</v>
      </c>
      <c r="AI91" s="37"/>
      <c r="AJ9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1" s="37"/>
      <c r="AL91" s="38"/>
      <c r="AM9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1" s="37" t="s">
        <v>854</v>
      </c>
      <c r="AO91" s="41">
        <v>44848</v>
      </c>
      <c r="AP9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1" s="37" t="s">
        <v>856</v>
      </c>
      <c r="AR91" s="37"/>
      <c r="AS9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1" s="41" cm="1">
        <f t="array" aca="1" ref="AT91" ca="1">INDEX('SAP Customer Data'!A:Z,MATCH(بيانات_العملاء[[#This Row],[رمز شريك الأعمال]],'SAP Customer Data'!B:B,0),CELL("col",Table_Customer_Data[[#Headers],[CreateDate]]))</f>
        <v>43581</v>
      </c>
      <c r="AU91" s="37"/>
      <c r="AV91" s="41"/>
      <c r="AW91" s="37" t="s">
        <v>2097</v>
      </c>
      <c r="AX91" s="37"/>
    </row>
    <row r="92" spans="1:50" x14ac:dyDescent="0.25">
      <c r="A92" s="36" t="str" cm="1">
        <f t="array" aca="1" ref="A92" ca="1">INDEX('SAP Customer Data'!$A:$AC,MATCH(بيانات_العملاء[[#This Row],[رمز شريك الأعمال]],'SAP Customer Data'!$B:$B,0),CELL("col",Table_Customer_Data[[#Headers],[GroupName]]))</f>
        <v>CS01</v>
      </c>
      <c r="B92" s="35" t="s">
        <v>1272</v>
      </c>
      <c r="C92" s="37" t="str" cm="1">
        <f t="array" aca="1" ref="C92" ca="1">INDEX('SAP Customer Data'!$A:$AC,MATCH(بيانات_العملاء[[#This Row],[رمز شريك الأعمال]],'SAP Customer Data'!$B:$B,0),CELL("col",Table_Customer_Data[[#Headers],[CardName]]))</f>
        <v>عميل بضمان المندوب CS01</v>
      </c>
      <c r="D92" s="37" t="str">
        <f ca="1">IF(بيانات_العملاء[[#This Row],[حد الائتمان على SAP]]&gt;0,"آجل","نقدى")</f>
        <v>نقدى</v>
      </c>
      <c r="E92" s="37"/>
      <c r="F92" s="37"/>
      <c r="G92" s="37"/>
      <c r="H9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2" s="37"/>
      <c r="J92" s="38"/>
      <c r="K92" s="41" t="str">
        <f>IF(بيانات_العملاء[[#This Row],[السجل التجارى]]="غير موجود", "غير مطابق", "")</f>
        <v/>
      </c>
      <c r="L92" s="37" t="str">
        <f ca="1">IF(AND(بيانات_العملاء[[#This Row],[السجل التجارى]]="موجود",TODAY()+'Other Data'!$B$23&lt;J92,بيانات_العملاء[[#This Row],[مطابقة اسم العميل بالاسم بالسجل التجارى]]="مطابق"), "سارى", "يجب اعادة طلبه")</f>
        <v>يجب اعادة طلبه</v>
      </c>
      <c r="M92" s="37"/>
      <c r="N92" s="39" t="str" cm="1">
        <f t="array" aca="1" ref="N92" ca="1">INDEX('SAP Customer Data'!$A:$AC,MATCH(بيانات_العملاء[[#This Row],[رمز شريك الأعمال]],'SAP Customer Data'!$B:$B,0),CELL("col",Table_Customer_Data[[#Headers],[LicTradNum]]))</f>
        <v>محمود رمضان</v>
      </c>
      <c r="O9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92" s="37"/>
      <c r="Q92" s="38"/>
      <c r="R92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92" s="37" t="s">
        <v>1080</v>
      </c>
      <c r="T92" s="40"/>
      <c r="U92" s="41"/>
      <c r="V9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2" s="37" cm="1">
        <f t="array" aca="1" ref="X92" ca="1">INDEX('SAP Customer Data'!$A:$AC,MATCH(بيانات_العملاء[[#This Row],[رمز شريك الأعمال]],'SAP Customer Data'!$B:$B,0),CELL("col",Table_Customer_Data[[#Headers],[CreditLine]]))</f>
        <v>0</v>
      </c>
      <c r="Y9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2" s="37"/>
      <c r="AA9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2" s="37"/>
      <c r="AC92" s="37"/>
      <c r="AD92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2" s="37"/>
      <c r="AF92" s="37"/>
      <c r="AG9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92" s="37"/>
      <c r="AI92" s="37"/>
      <c r="AJ9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92" s="37"/>
      <c r="AL92" s="38"/>
      <c r="AM9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2" s="37"/>
      <c r="AO92" s="41"/>
      <c r="AP9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2" s="37"/>
      <c r="AR92" s="37"/>
      <c r="AS9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92" s="41" cm="1">
        <f t="array" aca="1" ref="AT92" ca="1">INDEX('SAP Customer Data'!A:Z,MATCH(بيانات_العملاء[[#This Row],[رمز شريك الأعمال]],'SAP Customer Data'!B:B,0),CELL("col",Table_Customer_Data[[#Headers],[CreateDate]]))</f>
        <v>43680</v>
      </c>
      <c r="AU92" s="41"/>
      <c r="AV92" s="41"/>
      <c r="AW92" s="37" t="s">
        <v>2097</v>
      </c>
      <c r="AX92" s="37"/>
    </row>
    <row r="93" spans="1:50" x14ac:dyDescent="0.25">
      <c r="A93" s="36" t="str" cm="1">
        <f t="array" aca="1" ref="A93" ca="1">INDEX('SAP Customer Data'!$A:$AC,MATCH(بيانات_العملاء[[#This Row],[رمز شريك الأعمال]],'SAP Customer Data'!$B:$B,0),CELL("col",Table_Customer_Data[[#Headers],[GroupName]]))</f>
        <v>CS01</v>
      </c>
      <c r="B93" s="42" t="s">
        <v>564</v>
      </c>
      <c r="C93" s="37" t="str" cm="1">
        <f t="array" aca="1" ref="C93" ca="1">INDEX('SAP Customer Data'!$A:$AC,MATCH(بيانات_العملاء[[#This Row],[رمز شريك الأعمال]],'SAP Customer Data'!$B:$B,0),CELL("col",Table_Customer_Data[[#Headers],[CardName]]))</f>
        <v>مؤسسة محيط التعمير - نقدي</v>
      </c>
      <c r="D93" s="37" t="str">
        <f ca="1">IF(بيانات_العملاء[[#This Row],[حد الائتمان على SAP]]&gt;0,"آجل","نقدى")</f>
        <v>نقدى</v>
      </c>
      <c r="E93" s="37"/>
      <c r="F93" s="37" t="s">
        <v>1082</v>
      </c>
      <c r="G93" s="37" t="s">
        <v>856</v>
      </c>
      <c r="H9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3" s="37" t="s">
        <v>856</v>
      </c>
      <c r="J93" s="38"/>
      <c r="K93" s="37"/>
      <c r="L93" s="37" t="str">
        <f ca="1">IF(AND(بيانات_العملاء[[#This Row],[السجل التجارى]]="موجود",TODAY()+'Other Data'!$B$23&lt;J93,بيانات_العملاء[[#This Row],[مطابقة اسم العميل بالاسم بالسجل التجارى]]="مطابق"), "سارى", "يجب اعادة طلبه")</f>
        <v>يجب اعادة طلبه</v>
      </c>
      <c r="M93" s="37" t="s">
        <v>856</v>
      </c>
      <c r="N93" s="39" t="str" cm="1">
        <f t="array" aca="1" ref="N93" ca="1">INDEX('SAP Customer Data'!$A:$AC,MATCH(بيانات_العملاء[[#This Row],[رمز شريك الأعمال]],'SAP Customer Data'!$B:$B,0),CELL("col",Table_Customer_Data[[#Headers],[LicTradNum]]))</f>
        <v/>
      </c>
      <c r="O9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93" s="37" t="s">
        <v>856</v>
      </c>
      <c r="Q93" s="38"/>
      <c r="R9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3" s="37" t="s">
        <v>1080</v>
      </c>
      <c r="T93" s="40"/>
      <c r="U93" s="41"/>
      <c r="V9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3" s="37" cm="1">
        <f t="array" aca="1" ref="X93" ca="1">INDEX('SAP Customer Data'!$A:$AC,MATCH(بيانات_العملاء[[#This Row],[رمز شريك الأعمال]],'SAP Customer Data'!$B:$B,0),CELL("col",Table_Customer_Data[[#Headers],[CreditLine]]))</f>
        <v>0</v>
      </c>
      <c r="Y9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3" s="37"/>
      <c r="AA9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3" s="37" t="s">
        <v>856</v>
      </c>
      <c r="AC93" s="37"/>
      <c r="AD9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3" s="37" t="s">
        <v>856</v>
      </c>
      <c r="AF93" s="37"/>
      <c r="AG9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3" s="37" t="s">
        <v>856</v>
      </c>
      <c r="AI93" s="37"/>
      <c r="AJ9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3" s="37"/>
      <c r="AL93" s="38"/>
      <c r="AM9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3" s="37" t="s">
        <v>856</v>
      </c>
      <c r="AO93" s="41"/>
      <c r="AP9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3" s="37" t="s">
        <v>856</v>
      </c>
      <c r="AR93" s="37"/>
      <c r="AS9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3" s="41" cm="1">
        <f t="array" aca="1" ref="AT93" ca="1">INDEX('SAP Customer Data'!A:Z,MATCH(بيانات_العملاء[[#This Row],[رمز شريك الأعمال]],'SAP Customer Data'!B:B,0),CELL("col",Table_Customer_Data[[#Headers],[CreateDate]]))</f>
        <v>44160</v>
      </c>
      <c r="AU93" s="37"/>
      <c r="AV93" s="41"/>
      <c r="AW93" s="37" t="s">
        <v>2097</v>
      </c>
      <c r="AX93" s="37"/>
    </row>
    <row r="94" spans="1:50" x14ac:dyDescent="0.25">
      <c r="A94" s="36" t="str" cm="1">
        <f t="array" aca="1" ref="A94" ca="1">INDEX('SAP Customer Data'!$A:$AC,MATCH(بيانات_العملاء[[#This Row],[رمز شريك الأعمال]],'SAP Customer Data'!$B:$B,0),CELL("col",Table_Customer_Data[[#Headers],[GroupName]]))</f>
        <v>CS01</v>
      </c>
      <c r="B94" s="42" t="s">
        <v>574</v>
      </c>
      <c r="C94" s="37" t="str" cm="1">
        <f t="array" aca="1" ref="C94" ca="1">INDEX('SAP Customer Data'!$A:$AC,MATCH(بيانات_العملاء[[#This Row],[رمز شريك الأعمال]],'SAP Customer Data'!$B:$B,0),CELL("col",Table_Customer_Data[[#Headers],[CardName]]))</f>
        <v>مؤسسة اضاءات الشمال كهرباء وسباكة - نقدي</v>
      </c>
      <c r="D94" s="37" t="str">
        <f ca="1">IF(بيانات_العملاء[[#This Row],[حد الائتمان على SAP]]&gt;0,"آجل","نقدى")</f>
        <v>نقدى</v>
      </c>
      <c r="E94" s="37"/>
      <c r="F94" s="37" t="s">
        <v>1082</v>
      </c>
      <c r="G94" s="37" t="s">
        <v>856</v>
      </c>
      <c r="H9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4" s="37" t="s">
        <v>856</v>
      </c>
      <c r="J94" s="38"/>
      <c r="K94" s="37"/>
      <c r="L94" s="37" t="str">
        <f ca="1">IF(AND(بيانات_العملاء[[#This Row],[السجل التجارى]]="موجود",TODAY()+'Other Data'!$B$23&lt;J94,بيانات_العملاء[[#This Row],[مطابقة اسم العميل بالاسم بالسجل التجارى]]="مطابق"), "سارى", "يجب اعادة طلبه")</f>
        <v>يجب اعادة طلبه</v>
      </c>
      <c r="M94" s="37" t="s">
        <v>856</v>
      </c>
      <c r="N94" s="39" t="str" cm="1">
        <f t="array" aca="1" ref="N94" ca="1">INDEX('SAP Customer Data'!$A:$AC,MATCH(بيانات_العملاء[[#This Row],[رمز شريك الأعمال]],'SAP Customer Data'!$B:$B,0),CELL("col",Table_Customer_Data[[#Headers],[LicTradNum]]))</f>
        <v/>
      </c>
      <c r="O9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94" s="37" t="s">
        <v>856</v>
      </c>
      <c r="Q94" s="38"/>
      <c r="R9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4" s="37" t="s">
        <v>1080</v>
      </c>
      <c r="T94" s="40"/>
      <c r="U94" s="41"/>
      <c r="V9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4" s="37" cm="1">
        <f t="array" aca="1" ref="X94" ca="1">INDEX('SAP Customer Data'!$A:$AC,MATCH(بيانات_العملاء[[#This Row],[رمز شريك الأعمال]],'SAP Customer Data'!$B:$B,0),CELL("col",Table_Customer_Data[[#Headers],[CreditLine]]))</f>
        <v>0</v>
      </c>
      <c r="Y9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4" s="37"/>
      <c r="AA9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4" s="37" t="s">
        <v>856</v>
      </c>
      <c r="AC94" s="37"/>
      <c r="AD9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4" s="37" t="s">
        <v>856</v>
      </c>
      <c r="AF94" s="37"/>
      <c r="AG9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4" s="37" t="s">
        <v>856</v>
      </c>
      <c r="AI94" s="37"/>
      <c r="AJ9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4" s="37"/>
      <c r="AL94" s="38"/>
      <c r="AM9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4" s="37" t="s">
        <v>856</v>
      </c>
      <c r="AO94" s="41"/>
      <c r="AP9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4" s="37" t="s">
        <v>856</v>
      </c>
      <c r="AR94" s="37"/>
      <c r="AS9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4" s="41" cm="1">
        <f t="array" aca="1" ref="AT94" ca="1">INDEX('SAP Customer Data'!A:Z,MATCH(بيانات_العملاء[[#This Row],[رمز شريك الأعمال]],'SAP Customer Data'!B:B,0),CELL("col",Table_Customer_Data[[#Headers],[CreateDate]]))</f>
        <v>44165</v>
      </c>
      <c r="AU94" s="37"/>
      <c r="AV94" s="41"/>
      <c r="AW94" s="37" t="s">
        <v>2097</v>
      </c>
      <c r="AX94" s="37"/>
    </row>
    <row r="95" spans="1:50" x14ac:dyDescent="0.25">
      <c r="A95" s="36" t="str" cm="1">
        <f t="array" aca="1" ref="A95" ca="1">INDEX('SAP Customer Data'!$A:$AC,MATCH(بيانات_العملاء[[#This Row],[رمز شريك الأعمال]],'SAP Customer Data'!$B:$B,0),CELL("col",Table_Customer_Data[[#Headers],[GroupName]]))</f>
        <v>CS01</v>
      </c>
      <c r="B95" s="42" t="s">
        <v>576</v>
      </c>
      <c r="C95" s="37" t="str" cm="1">
        <f t="array" aca="1" ref="C95" ca="1">INDEX('SAP Customer Data'!$A:$AC,MATCH(بيانات_العملاء[[#This Row],[رمز شريك الأعمال]],'SAP Customer Data'!$B:$B,0),CELL("col",Table_Customer_Data[[#Headers],[CardName]]))</f>
        <v>مؤسسة روى الوطنية - نقدي</v>
      </c>
      <c r="D95" s="37" t="str">
        <f ca="1">IF(بيانات_العملاء[[#This Row],[حد الائتمان على SAP]]&gt;0,"آجل","نقدى")</f>
        <v>نقدى</v>
      </c>
      <c r="E95" s="37"/>
      <c r="F95" s="37" t="s">
        <v>1082</v>
      </c>
      <c r="G95" s="37" t="s">
        <v>856</v>
      </c>
      <c r="H9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5" s="37" t="s">
        <v>856</v>
      </c>
      <c r="J95" s="38"/>
      <c r="K95" s="37"/>
      <c r="L95" s="37" t="str">
        <f ca="1">IF(AND(بيانات_العملاء[[#This Row],[السجل التجارى]]="موجود",TODAY()+'Other Data'!$B$23&lt;J95,بيانات_العملاء[[#This Row],[مطابقة اسم العميل بالاسم بالسجل التجارى]]="مطابق"), "سارى", "يجب اعادة طلبه")</f>
        <v>يجب اعادة طلبه</v>
      </c>
      <c r="M95" s="37" t="s">
        <v>854</v>
      </c>
      <c r="N95" s="39" t="str" cm="1">
        <f t="array" aca="1" ref="N95" ca="1">INDEX('SAP Customer Data'!$A:$AC,MATCH(بيانات_العملاء[[#This Row],[رمز شريك الأعمال]],'SAP Customer Data'!$B:$B,0),CELL("col",Table_Customer_Data[[#Headers],[LicTradNum]]))</f>
        <v>300029616500003</v>
      </c>
      <c r="O9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95" s="37" t="s">
        <v>856</v>
      </c>
      <c r="Q95" s="38"/>
      <c r="R9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5" s="37" t="s">
        <v>1080</v>
      </c>
      <c r="T95" s="40"/>
      <c r="U95" s="41"/>
      <c r="V9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5" s="37" cm="1">
        <f t="array" aca="1" ref="X95" ca="1">INDEX('SAP Customer Data'!$A:$AC,MATCH(بيانات_العملاء[[#This Row],[رمز شريك الأعمال]],'SAP Customer Data'!$B:$B,0),CELL("col",Table_Customer_Data[[#Headers],[CreditLine]]))</f>
        <v>0</v>
      </c>
      <c r="Y9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5" s="37"/>
      <c r="AA9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5" s="37" t="s">
        <v>856</v>
      </c>
      <c r="AC95" s="37"/>
      <c r="AD9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5" s="37" t="s">
        <v>856</v>
      </c>
      <c r="AF95" s="37"/>
      <c r="AG9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5" s="37" t="s">
        <v>856</v>
      </c>
      <c r="AI95" s="37"/>
      <c r="AJ9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5" s="37"/>
      <c r="AL95" s="38"/>
      <c r="AM9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5" s="37" t="s">
        <v>856</v>
      </c>
      <c r="AO95" s="41"/>
      <c r="AP9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5" s="37" t="s">
        <v>856</v>
      </c>
      <c r="AR95" s="37"/>
      <c r="AS9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5" s="41" cm="1">
        <f t="array" aca="1" ref="AT95" ca="1">INDEX('SAP Customer Data'!A:Z,MATCH(بيانات_العملاء[[#This Row],[رمز شريك الأعمال]],'SAP Customer Data'!B:B,0),CELL("col",Table_Customer_Data[[#Headers],[CreateDate]]))</f>
        <v>44187</v>
      </c>
      <c r="AU95" s="37"/>
      <c r="AV95" s="41"/>
      <c r="AW95" s="37" t="s">
        <v>2097</v>
      </c>
      <c r="AX95" s="37"/>
    </row>
    <row r="96" spans="1:50" x14ac:dyDescent="0.25">
      <c r="A96" s="36" t="str" cm="1">
        <f t="array" aca="1" ref="A96" ca="1">INDEX('SAP Customer Data'!$A:$AC,MATCH(بيانات_العملاء[[#This Row],[رمز شريك الأعمال]],'SAP Customer Data'!$B:$B,0),CELL("col",Table_Customer_Data[[#Headers],[GroupName]]))</f>
        <v>CS01</v>
      </c>
      <c r="B96" s="35" t="s">
        <v>588</v>
      </c>
      <c r="C96" s="37" t="str" cm="1">
        <f t="array" aca="1" ref="C96" ca="1">INDEX('SAP Customer Data'!$A:$AC,MATCH(بيانات_العملاء[[#This Row],[رمز شريك الأعمال]],'SAP Customer Data'!$B:$B,0),CELL("col",Table_Customer_Data[[#Headers],[CardName]]))</f>
        <v>مؤسسة زوايا البيت التجارية - نقدي</v>
      </c>
      <c r="D96" s="37" t="str">
        <f ca="1">IF(بيانات_العملاء[[#This Row],[حد الائتمان على SAP]]&gt;0,"آجل","نقدى")</f>
        <v>نقدى</v>
      </c>
      <c r="E96" s="37" t="s">
        <v>2230</v>
      </c>
      <c r="F96" s="37" t="s">
        <v>1081</v>
      </c>
      <c r="G96" s="37" t="s">
        <v>856</v>
      </c>
      <c r="H9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6" s="37" t="s">
        <v>854</v>
      </c>
      <c r="J96" s="38">
        <v>45363</v>
      </c>
      <c r="K96" s="37" t="s">
        <v>855</v>
      </c>
      <c r="L96" s="37" t="str">
        <f ca="1">IF(AND(بيانات_العملاء[[#This Row],[السجل التجارى]]="موجود",TODAY()+'Other Data'!$B$23&lt;J96,بيانات_العملاء[[#This Row],[مطابقة اسم العميل بالاسم بالسجل التجارى]]="مطابق"), "سارى", "يجب اعادة طلبه")</f>
        <v>سارى</v>
      </c>
      <c r="M96" s="37" t="s">
        <v>854</v>
      </c>
      <c r="N96" s="39" t="str" cm="1">
        <f t="array" aca="1" ref="N96" ca="1">INDEX('SAP Customer Data'!$A:$AC,MATCH(بيانات_العملاء[[#This Row],[رمز شريك الأعمال]],'SAP Customer Data'!$B:$B,0),CELL("col",Table_Customer_Data[[#Headers],[LicTradNum]]))</f>
        <v>310769162100003</v>
      </c>
      <c r="O9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96" s="37" t="s">
        <v>854</v>
      </c>
      <c r="Q96" s="38">
        <v>44828</v>
      </c>
      <c r="R9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6" s="37" t="s">
        <v>1080</v>
      </c>
      <c r="T96" s="40"/>
      <c r="U96" s="41"/>
      <c r="V9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6" s="37" cm="1">
        <f t="array" aca="1" ref="X96" ca="1">INDEX('SAP Customer Data'!$A:$AC,MATCH(بيانات_العملاء[[#This Row],[رمز شريك الأعمال]],'SAP Customer Data'!$B:$B,0),CELL("col",Table_Customer_Data[[#Headers],[CreditLine]]))</f>
        <v>0</v>
      </c>
      <c r="Y9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6" s="37"/>
      <c r="AA9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6" s="37" t="s">
        <v>856</v>
      </c>
      <c r="AC96" s="37"/>
      <c r="AD9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6" s="37" t="s">
        <v>856</v>
      </c>
      <c r="AF96" s="37"/>
      <c r="AG9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6" s="37" t="s">
        <v>856</v>
      </c>
      <c r="AI96" s="37"/>
      <c r="AJ9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6" s="37"/>
      <c r="AL96" s="38"/>
      <c r="AM9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6" s="37" t="s">
        <v>856</v>
      </c>
      <c r="AO96" s="41"/>
      <c r="AP9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6" s="37" t="s">
        <v>856</v>
      </c>
      <c r="AR96" s="37"/>
      <c r="AS9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6" s="41" cm="1">
        <f t="array" aca="1" ref="AT96" ca="1">INDEX('SAP Customer Data'!A:Z,MATCH(بيانات_العملاء[[#This Row],[رمز شريك الأعمال]],'SAP Customer Data'!B:B,0),CELL("col",Table_Customer_Data[[#Headers],[CreateDate]]))</f>
        <v>44597</v>
      </c>
      <c r="AU96" s="37"/>
      <c r="AV96" s="41"/>
      <c r="AW96" s="37" t="s">
        <v>2097</v>
      </c>
      <c r="AX96" s="37"/>
    </row>
    <row r="97" spans="1:50" x14ac:dyDescent="0.25">
      <c r="A97" s="36" t="str" cm="1">
        <f t="array" aca="1" ref="A97" ca="1">INDEX('SAP Customer Data'!$A:$AC,MATCH(بيانات_العملاء[[#This Row],[رمز شريك الأعمال]],'SAP Customer Data'!$B:$B,0),CELL("col",Table_Customer_Data[[#Headers],[GroupName]]))</f>
        <v>CS01</v>
      </c>
      <c r="B97" s="35" t="s">
        <v>462</v>
      </c>
      <c r="C97" s="37" t="str" cm="1">
        <f t="array" aca="1" ref="C97" ca="1">INDEX('SAP Customer Data'!$A:$AC,MATCH(بيانات_العملاء[[#This Row],[رمز شريك الأعمال]],'SAP Customer Data'!$B:$B,0),CELL("col",Table_Customer_Data[[#Headers],[CardName]]))</f>
        <v>مؤسسة شما بنت عبدالله علي الوهيبي لمواد البناء - نقدي</v>
      </c>
      <c r="D97" s="37" t="str">
        <f ca="1">IF(بيانات_العملاء[[#This Row],[حد الائتمان على SAP]]&gt;0,"آجل","نقدى")</f>
        <v>نقدى</v>
      </c>
      <c r="E97" s="37" t="s">
        <v>2231</v>
      </c>
      <c r="F97" s="37" t="s">
        <v>1081</v>
      </c>
      <c r="G97" s="37" t="s">
        <v>856</v>
      </c>
      <c r="H9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7" s="37" t="s">
        <v>854</v>
      </c>
      <c r="J97" s="38">
        <v>44706</v>
      </c>
      <c r="K97" s="37" t="s">
        <v>855</v>
      </c>
      <c r="L97" s="37" t="str">
        <f ca="1">IF(AND(بيانات_العملاء[[#This Row],[السجل التجارى]]="موجود",TODAY()+'Other Data'!$B$23&lt;J97,بيانات_العملاء[[#This Row],[مطابقة اسم العميل بالاسم بالسجل التجارى]]="مطابق"), "سارى", "يجب اعادة طلبه")</f>
        <v>يجب اعادة طلبه</v>
      </c>
      <c r="M97" s="37" t="s">
        <v>854</v>
      </c>
      <c r="N97" s="39" t="str" cm="1">
        <f t="array" aca="1" ref="N97" ca="1">INDEX('SAP Customer Data'!$A:$AC,MATCH(بيانات_العملاء[[#This Row],[رمز شريك الأعمال]],'SAP Customer Data'!$B:$B,0),CELL("col",Table_Customer_Data[[#Headers],[LicTradNum]]))</f>
        <v>310225546800003</v>
      </c>
      <c r="O9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97" s="37" t="s">
        <v>854</v>
      </c>
      <c r="Q97" s="38">
        <v>44768</v>
      </c>
      <c r="R9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7" s="37" t="s">
        <v>1080</v>
      </c>
      <c r="T97" s="40"/>
      <c r="U97" s="41"/>
      <c r="V9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7" s="37" cm="1">
        <f t="array" aca="1" ref="X97" ca="1">INDEX('SAP Customer Data'!$A:$AC,MATCH(بيانات_العملاء[[#This Row],[رمز شريك الأعمال]],'SAP Customer Data'!$B:$B,0),CELL("col",Table_Customer_Data[[#Headers],[CreditLine]]))</f>
        <v>0</v>
      </c>
      <c r="Y9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7" s="37"/>
      <c r="AA9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7" s="37" t="s">
        <v>856</v>
      </c>
      <c r="AC97" s="37"/>
      <c r="AD9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7" s="37" t="s">
        <v>856</v>
      </c>
      <c r="AF97" s="37"/>
      <c r="AG9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7" s="37" t="s">
        <v>856</v>
      </c>
      <c r="AI97" s="37"/>
      <c r="AJ9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7" s="37"/>
      <c r="AL97" s="38"/>
      <c r="AM9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7" s="37" t="s">
        <v>856</v>
      </c>
      <c r="AO97" s="41"/>
      <c r="AP9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7" s="37" t="s">
        <v>856</v>
      </c>
      <c r="AR97" s="37"/>
      <c r="AS9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7" s="41" cm="1">
        <f t="array" aca="1" ref="AT97" ca="1">INDEX('SAP Customer Data'!A:Z,MATCH(بيانات_العملاء[[#This Row],[رمز شريك الأعمال]],'SAP Customer Data'!B:B,0),CELL("col",Table_Customer_Data[[#Headers],[CreateDate]]))</f>
        <v>44598</v>
      </c>
      <c r="AU97" s="37"/>
      <c r="AV97" s="41"/>
      <c r="AW97" s="37" t="s">
        <v>2097</v>
      </c>
      <c r="AX97" s="37"/>
    </row>
    <row r="98" spans="1:50" x14ac:dyDescent="0.25">
      <c r="A98" s="36" t="str" cm="1">
        <f t="array" aca="1" ref="A98" ca="1">INDEX('SAP Customer Data'!$A:$AC,MATCH(بيانات_العملاء[[#This Row],[رمز شريك الأعمال]],'SAP Customer Data'!$B:$B,0),CELL("col",Table_Customer_Data[[#Headers],[GroupName]]))</f>
        <v>CS01</v>
      </c>
      <c r="B98" s="35" t="s">
        <v>590</v>
      </c>
      <c r="C98" s="37" t="str" cm="1">
        <f t="array" aca="1" ref="C98" ca="1">INDEX('SAP Customer Data'!$A:$AC,MATCH(بيانات_العملاء[[#This Row],[رمز شريك الأعمال]],'SAP Customer Data'!$B:$B,0),CELL("col",Table_Customer_Data[[#Headers],[CardName]]))</f>
        <v>مؤسسة صالح علي الحماد للسباكة والكهرباء -نقدي</v>
      </c>
      <c r="D98" s="37" t="str">
        <f ca="1">IF(بيانات_العملاء[[#This Row],[حد الائتمان على SAP]]&gt;0,"آجل","نقدى")</f>
        <v>نقدى</v>
      </c>
      <c r="E98" s="37" t="s">
        <v>2232</v>
      </c>
      <c r="F98" s="37" t="s">
        <v>1081</v>
      </c>
      <c r="G98" s="37" t="s">
        <v>856</v>
      </c>
      <c r="H9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8" s="37" t="s">
        <v>854</v>
      </c>
      <c r="J98" s="38">
        <v>44480</v>
      </c>
      <c r="K98" s="37" t="s">
        <v>855</v>
      </c>
      <c r="L98" s="37" t="str">
        <f ca="1">IF(AND(بيانات_العملاء[[#This Row],[السجل التجارى]]="موجود",TODAY()+'Other Data'!$B$23&lt;J98,بيانات_العملاء[[#This Row],[مطابقة اسم العميل بالاسم بالسجل التجارى]]="مطابق"), "سارى", "يجب اعادة طلبه")</f>
        <v>يجب اعادة طلبه</v>
      </c>
      <c r="M98" s="37" t="s">
        <v>854</v>
      </c>
      <c r="N98" s="39" t="str" cm="1">
        <f t="array" aca="1" ref="N98" ca="1">INDEX('SAP Customer Data'!$A:$AC,MATCH(بيانات_العملاء[[#This Row],[رمز شريك الأعمال]],'SAP Customer Data'!$B:$B,0),CELL("col",Table_Customer_Data[[#Headers],[LicTradNum]]))</f>
        <v>310158411200003</v>
      </c>
      <c r="O9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98" s="37" t="s">
        <v>856</v>
      </c>
      <c r="Q98" s="38"/>
      <c r="R9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8" s="37" t="s">
        <v>1080</v>
      </c>
      <c r="T98" s="40"/>
      <c r="U98" s="41"/>
      <c r="V9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8" s="37" cm="1">
        <f t="array" aca="1" ref="X98" ca="1">INDEX('SAP Customer Data'!$A:$AC,MATCH(بيانات_العملاء[[#This Row],[رمز شريك الأعمال]],'SAP Customer Data'!$B:$B,0),CELL("col",Table_Customer_Data[[#Headers],[CreditLine]]))</f>
        <v>0</v>
      </c>
      <c r="Y9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8" s="37"/>
      <c r="AA9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8" s="37" t="s">
        <v>856</v>
      </c>
      <c r="AC98" s="37"/>
      <c r="AD9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8" s="37" t="s">
        <v>856</v>
      </c>
      <c r="AF98" s="37"/>
      <c r="AG9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8" s="37" t="s">
        <v>856</v>
      </c>
      <c r="AI98" s="37"/>
      <c r="AJ9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8" s="37"/>
      <c r="AL98" s="38"/>
      <c r="AM9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8" s="37" t="s">
        <v>856</v>
      </c>
      <c r="AO98" s="41"/>
      <c r="AP9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8" s="37" t="s">
        <v>856</v>
      </c>
      <c r="AR98" s="37"/>
      <c r="AS9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8" s="41" cm="1">
        <f t="array" aca="1" ref="AT98" ca="1">INDEX('SAP Customer Data'!A:Z,MATCH(بيانات_العملاء[[#This Row],[رمز شريك الأعمال]],'SAP Customer Data'!B:B,0),CELL("col",Table_Customer_Data[[#Headers],[CreateDate]]))</f>
        <v>44691</v>
      </c>
      <c r="AU98" s="37"/>
      <c r="AV98" s="41"/>
      <c r="AW98" s="37" t="s">
        <v>2097</v>
      </c>
      <c r="AX98" s="37"/>
    </row>
    <row r="99" spans="1:50" x14ac:dyDescent="0.25">
      <c r="A99" s="36" t="str" cm="1">
        <f t="array" aca="1" ref="A99" ca="1">INDEX('SAP Customer Data'!$A:$AC,MATCH(بيانات_العملاء[[#This Row],[رمز شريك الأعمال]],'SAP Customer Data'!$B:$B,0),CELL("col",Table_Customer_Data[[#Headers],[GroupName]]))</f>
        <v>CS01</v>
      </c>
      <c r="B99" s="35" t="s">
        <v>430</v>
      </c>
      <c r="C99" s="37" t="str" cm="1">
        <f t="array" aca="1" ref="C99" ca="1">INDEX('SAP Customer Data'!$A:$AC,MATCH(بيانات_العملاء[[#This Row],[رمز شريك الأعمال]],'SAP Customer Data'!$B:$B,0),CELL("col",Table_Customer_Data[[#Headers],[CardName]]))</f>
        <v>شركة ركن اريج التجارية - نقدي</v>
      </c>
      <c r="D99" s="37" t="str">
        <f ca="1">IF(بيانات_العملاء[[#This Row],[حد الائتمان على SAP]]&gt;0,"آجل","نقدى")</f>
        <v>نقدى</v>
      </c>
      <c r="E99" s="37"/>
      <c r="F99" s="37" t="s">
        <v>1082</v>
      </c>
      <c r="G99" s="37" t="s">
        <v>856</v>
      </c>
      <c r="H9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99" s="37" t="s">
        <v>856</v>
      </c>
      <c r="J99" s="38"/>
      <c r="K99" s="37"/>
      <c r="L99" s="37" t="str">
        <f ca="1">IF(AND(بيانات_العملاء[[#This Row],[السجل التجارى]]="موجود",TODAY()+'Other Data'!$B$23&lt;J99,بيانات_العملاء[[#This Row],[مطابقة اسم العميل بالاسم بالسجل التجارى]]="مطابق"), "سارى", "يجب اعادة طلبه")</f>
        <v>يجب اعادة طلبه</v>
      </c>
      <c r="M99" s="37" t="s">
        <v>854</v>
      </c>
      <c r="N99" s="39" t="str" cm="1">
        <f t="array" aca="1" ref="N99" ca="1">INDEX('SAP Customer Data'!$A:$AC,MATCH(بيانات_العملاء[[#This Row],[رمز شريك الأعمال]],'SAP Customer Data'!$B:$B,0),CELL("col",Table_Customer_Data[[#Headers],[LicTradNum]]))</f>
        <v>310914676800003</v>
      </c>
      <c r="O9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99" s="37" t="s">
        <v>856</v>
      </c>
      <c r="Q99" s="38"/>
      <c r="R9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99" s="37" t="s">
        <v>1080</v>
      </c>
      <c r="T99" s="40"/>
      <c r="U99" s="41"/>
      <c r="V9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9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99" s="37" cm="1">
        <f t="array" aca="1" ref="X99" ca="1">INDEX('SAP Customer Data'!$A:$AC,MATCH(بيانات_العملاء[[#This Row],[رمز شريك الأعمال]],'SAP Customer Data'!$B:$B,0),CELL("col",Table_Customer_Data[[#Headers],[CreditLine]]))</f>
        <v>0</v>
      </c>
      <c r="Y9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99" s="37"/>
      <c r="AA9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99" s="37" t="s">
        <v>856</v>
      </c>
      <c r="AC99" s="37"/>
      <c r="AD9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99" s="37" t="s">
        <v>856</v>
      </c>
      <c r="AF99" s="37"/>
      <c r="AG9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99" s="37" t="s">
        <v>856</v>
      </c>
      <c r="AI99" s="37"/>
      <c r="AJ9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99" s="37"/>
      <c r="AL99" s="38"/>
      <c r="AM9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99" s="37" t="s">
        <v>856</v>
      </c>
      <c r="AO99" s="41"/>
      <c r="AP9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99" s="37" t="s">
        <v>856</v>
      </c>
      <c r="AR99" s="37"/>
      <c r="AS9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99" s="41" cm="1">
        <f t="array" aca="1" ref="AT99" ca="1">INDEX('SAP Customer Data'!A:Z,MATCH(بيانات_العملاء[[#This Row],[رمز شريك الأعمال]],'SAP Customer Data'!B:B,0),CELL("col",Table_Customer_Data[[#Headers],[CreateDate]]))</f>
        <v>44745</v>
      </c>
      <c r="AU99" s="37"/>
      <c r="AV99" s="41"/>
      <c r="AW99" s="37" t="s">
        <v>2097</v>
      </c>
      <c r="AX99" s="37"/>
    </row>
    <row r="100" spans="1:50" x14ac:dyDescent="0.25">
      <c r="A100" s="36" t="str" cm="1">
        <f t="array" aca="1" ref="A100" ca="1">INDEX('SAP Customer Data'!$A:$AC,MATCH(بيانات_العملاء[[#This Row],[رمز شريك الأعمال]],'SAP Customer Data'!$B:$B,0),CELL("col",Table_Customer_Data[[#Headers],[GroupName]]))</f>
        <v>CS01</v>
      </c>
      <c r="B100" s="42" t="s">
        <v>474</v>
      </c>
      <c r="C100" s="36" t="str" cm="1">
        <f t="array" aca="1" ref="C100" ca="1">INDEX('SAP Customer Data'!$A:$AC,MATCH(بيانات_العملاء[[#This Row],[رمز شريك الأعمال]],'SAP Customer Data'!$B:$B,0),CELL("col",Table_Customer_Data[[#Headers],[CardName]]))</f>
        <v>شركة نجمة الهزاز التجارية-نقدي</v>
      </c>
      <c r="D100" s="36" t="str">
        <f ca="1">IF(بيانات_العملاء[[#This Row],[حد الائتمان على SAP]]&gt;0,"آجل","نقدى")</f>
        <v>نقدى</v>
      </c>
      <c r="E100" s="36"/>
      <c r="F100" s="36" t="s">
        <v>1082</v>
      </c>
      <c r="G100" s="36" t="s">
        <v>856</v>
      </c>
      <c r="H100" s="36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0" s="36" t="s">
        <v>856</v>
      </c>
      <c r="J100" s="36"/>
      <c r="K100" s="36"/>
      <c r="L100" s="36" t="str">
        <f ca="1">IF(AND(بيانات_العملاء[[#This Row],[السجل التجارى]]="موجود",TODAY()+'Other Data'!$B$23&lt;J100,بيانات_العملاء[[#This Row],[مطابقة اسم العميل بالاسم بالسجل التجارى]]="مطابق"), "سارى", "يجب اعادة طلبه")</f>
        <v>يجب اعادة طلبه</v>
      </c>
      <c r="M100" s="36" t="s">
        <v>854</v>
      </c>
      <c r="N100" s="39" t="str" cm="1">
        <f t="array" aca="1" ref="N100" ca="1">INDEX('SAP Customer Data'!$A:$AC,MATCH(بيانات_العملاء[[#This Row],[رمز شريك الأعمال]],'SAP Customer Data'!$B:$B,0),CELL("col",Table_Customer_Data[[#Headers],[LicTradNum]]))</f>
        <v>310141879100003</v>
      </c>
      <c r="O100" s="36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0" s="36" t="s">
        <v>856</v>
      </c>
      <c r="Q100" s="38"/>
      <c r="R100" s="36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0" s="36" t="s">
        <v>1080</v>
      </c>
      <c r="T100" s="36"/>
      <c r="U100" s="36"/>
      <c r="V100" s="36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0" s="36" cm="1">
        <f t="array" aca="1" ref="X100" ca="1">INDEX('SAP Customer Data'!$A:$AC,MATCH(بيانات_العملاء[[#This Row],[رمز شريك الأعمال]],'SAP Customer Data'!$B:$B,0),CELL("col",Table_Customer_Data[[#Headers],[CreditLine]]))</f>
        <v>0</v>
      </c>
      <c r="Y10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0" s="37"/>
      <c r="AA10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0" s="36" t="s">
        <v>856</v>
      </c>
      <c r="AC100" s="36"/>
      <c r="AD100" s="36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0" s="36" t="s">
        <v>856</v>
      </c>
      <c r="AF100" s="36"/>
      <c r="AG100" s="36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0" s="36" t="s">
        <v>856</v>
      </c>
      <c r="AI100" s="36"/>
      <c r="AJ100" s="36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0" s="36"/>
      <c r="AL100" s="36"/>
      <c r="AM100" s="36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0" s="36" t="s">
        <v>856</v>
      </c>
      <c r="AO100" s="36"/>
      <c r="AP100" s="36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0" s="36" t="s">
        <v>856</v>
      </c>
      <c r="AR100" s="36"/>
      <c r="AS100" s="36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0" s="41" cm="1">
        <f t="array" aca="1" ref="AT100" ca="1">INDEX('SAP Customer Data'!A:Z,MATCH(بيانات_العملاء[[#This Row],[رمز شريك الأعمال]],'SAP Customer Data'!B:B,0),CELL("col",Table_Customer_Data[[#Headers],[CreateDate]]))</f>
        <v>44704</v>
      </c>
      <c r="AU100" s="36"/>
      <c r="AV100" s="36"/>
      <c r="AW100" s="36" t="s">
        <v>2096</v>
      </c>
      <c r="AX100" s="36"/>
    </row>
    <row r="101" spans="1:50" x14ac:dyDescent="0.25">
      <c r="A101" s="36" t="str" cm="1">
        <f t="array" aca="1" ref="A101" ca="1">INDEX('SAP Customer Data'!$A:$AC,MATCH(بيانات_العملاء[[#This Row],[رمز شريك الأعمال]],'SAP Customer Data'!$B:$B,0),CELL("col",Table_Customer_Data[[#Headers],[GroupName]]))</f>
        <v>CS01</v>
      </c>
      <c r="B101" s="42" t="s">
        <v>559</v>
      </c>
      <c r="C101" s="37" t="str" cm="1">
        <f t="array" aca="1" ref="C101" ca="1">INDEX('SAP Customer Data'!$A:$AC,MATCH(بيانات_العملاء[[#This Row],[رمز شريك الأعمال]],'SAP Customer Data'!$B:$B,0),CELL("col",Table_Customer_Data[[#Headers],[CardName]]))</f>
        <v>مؤسسة محمد حمد عبدالله الثويني - نقدي</v>
      </c>
      <c r="D101" s="37" t="str">
        <f ca="1">IF(بيانات_العملاء[[#This Row],[حد الائتمان على SAP]]&gt;0,"آجل","نقدى")</f>
        <v>نقدى</v>
      </c>
      <c r="E101" s="37"/>
      <c r="F101" s="37" t="s">
        <v>1082</v>
      </c>
      <c r="G101" s="37" t="s">
        <v>856</v>
      </c>
      <c r="H10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1" s="37" t="s">
        <v>856</v>
      </c>
      <c r="J101" s="38"/>
      <c r="K101" s="37"/>
      <c r="L101" s="37" t="str">
        <f ca="1">IF(AND(بيانات_العملاء[[#This Row],[السجل التجارى]]="موجود",TODAY()+'Other Data'!$B$23&lt;J101,بيانات_العملاء[[#This Row],[مطابقة اسم العميل بالاسم بالسجل التجارى]]="مطابق"), "سارى", "يجب اعادة طلبه")</f>
        <v>يجب اعادة طلبه</v>
      </c>
      <c r="M101" s="37" t="s">
        <v>854</v>
      </c>
      <c r="N101" s="39" t="str" cm="1">
        <f t="array" aca="1" ref="N101" ca="1">INDEX('SAP Customer Data'!$A:$AC,MATCH(بيانات_العملاء[[#This Row],[رمز شريك الأعمال]],'SAP Customer Data'!$B:$B,0),CELL("col",Table_Customer_Data[[#Headers],[LicTradNum]]))</f>
        <v>300421668800003</v>
      </c>
      <c r="O10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1" s="37" t="s">
        <v>856</v>
      </c>
      <c r="Q101" s="38"/>
      <c r="R10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1" s="37" t="s">
        <v>1080</v>
      </c>
      <c r="T101" s="40"/>
      <c r="U101" s="41"/>
      <c r="V10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1" s="37" cm="1">
        <f t="array" aca="1" ref="X101" ca="1">INDEX('SAP Customer Data'!$A:$AC,MATCH(بيانات_العملاء[[#This Row],[رمز شريك الأعمال]],'SAP Customer Data'!$B:$B,0),CELL("col",Table_Customer_Data[[#Headers],[CreditLine]]))</f>
        <v>0</v>
      </c>
      <c r="Y10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1" s="37"/>
      <c r="AA10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1" s="37" t="s">
        <v>856</v>
      </c>
      <c r="AC101" s="37"/>
      <c r="AD10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1" s="37" t="s">
        <v>856</v>
      </c>
      <c r="AF101" s="37"/>
      <c r="AG10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1" s="37" t="s">
        <v>856</v>
      </c>
      <c r="AI101" s="37"/>
      <c r="AJ10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1" s="37"/>
      <c r="AL101" s="38"/>
      <c r="AM10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1" s="37" t="s">
        <v>856</v>
      </c>
      <c r="AO101" s="41"/>
      <c r="AP10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1" s="37" t="s">
        <v>856</v>
      </c>
      <c r="AR101" s="37"/>
      <c r="AS10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1" s="41" cm="1">
        <f t="array" aca="1" ref="AT101" ca="1">INDEX('SAP Customer Data'!A:Z,MATCH(بيانات_العملاء[[#This Row],[رمز شريك الأعمال]],'SAP Customer Data'!B:B,0),CELL("col",Table_Customer_Data[[#Headers],[CreateDate]]))</f>
        <v>44059</v>
      </c>
      <c r="AU101" s="37"/>
      <c r="AV101" s="41"/>
      <c r="AW101" s="37" t="s">
        <v>2097</v>
      </c>
      <c r="AX101" s="37"/>
    </row>
    <row r="102" spans="1:50" x14ac:dyDescent="0.25">
      <c r="A102" s="36" t="str" cm="1">
        <f t="array" aca="1" ref="A102" ca="1">INDEX('SAP Customer Data'!$A:$AC,MATCH(بيانات_العملاء[[#This Row],[رمز شريك الأعمال]],'SAP Customer Data'!$B:$B,0),CELL("col",Table_Customer_Data[[#Headers],[GroupName]]))</f>
        <v>CS01</v>
      </c>
      <c r="B102" s="42" t="s">
        <v>191</v>
      </c>
      <c r="C102" s="37" t="str" cm="1">
        <f t="array" aca="1" ref="C102" ca="1">INDEX('SAP Customer Data'!$A:$AC,MATCH(بيانات_العملاء[[#This Row],[رمز شريك الأعمال]],'SAP Customer Data'!$B:$B,0),CELL("col",Table_Customer_Data[[#Headers],[CardName]]))</f>
        <v>شركة توكيلات النجمة للكهرباء والانارة- نقدي</v>
      </c>
      <c r="D102" s="37" t="str">
        <f ca="1">IF(بيانات_العملاء[[#This Row],[حد الائتمان على SAP]]&gt;0,"آجل","نقدى")</f>
        <v>نقدى</v>
      </c>
      <c r="E102" s="37"/>
      <c r="F102" s="37" t="s">
        <v>1082</v>
      </c>
      <c r="G102" s="37" t="s">
        <v>856</v>
      </c>
      <c r="H10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2" s="37" t="s">
        <v>856</v>
      </c>
      <c r="J102" s="38"/>
      <c r="K102" s="37"/>
      <c r="L102" s="37" t="str">
        <f ca="1">IF(AND(بيانات_العملاء[[#This Row],[السجل التجارى]]="موجود",TODAY()+'Other Data'!$B$23&lt;J102,بيانات_العملاء[[#This Row],[مطابقة اسم العميل بالاسم بالسجل التجارى]]="مطابق"), "سارى", "يجب اعادة طلبه")</f>
        <v>يجب اعادة طلبه</v>
      </c>
      <c r="M102" s="37" t="s">
        <v>854</v>
      </c>
      <c r="N102" s="39" t="str" cm="1">
        <f t="array" aca="1" ref="N102" ca="1">INDEX('SAP Customer Data'!$A:$AC,MATCH(بيانات_العملاء[[#This Row],[رمز شريك الأعمال]],'SAP Customer Data'!$B:$B,0),CELL("col",Table_Customer_Data[[#Headers],[LicTradNum]]))</f>
        <v>300455073200003</v>
      </c>
      <c r="O10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2" s="37" t="s">
        <v>856</v>
      </c>
      <c r="Q102" s="38"/>
      <c r="R10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2" s="37" t="s">
        <v>1080</v>
      </c>
      <c r="T102" s="40"/>
      <c r="U102" s="41"/>
      <c r="V10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2" s="37" cm="1">
        <f t="array" aca="1" ref="X102" ca="1">INDEX('SAP Customer Data'!$A:$AC,MATCH(بيانات_العملاء[[#This Row],[رمز شريك الأعمال]],'SAP Customer Data'!$B:$B,0),CELL("col",Table_Customer_Data[[#Headers],[CreditLine]]))</f>
        <v>0</v>
      </c>
      <c r="Y10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2" s="37"/>
      <c r="AA10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2" s="37" t="s">
        <v>856</v>
      </c>
      <c r="AC102" s="37"/>
      <c r="AD10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2" s="37" t="s">
        <v>856</v>
      </c>
      <c r="AF102" s="37"/>
      <c r="AG10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2" s="37" t="s">
        <v>856</v>
      </c>
      <c r="AI102" s="37"/>
      <c r="AJ10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2" s="37"/>
      <c r="AL102" s="38"/>
      <c r="AM10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2" s="37" t="s">
        <v>856</v>
      </c>
      <c r="AO102" s="41"/>
      <c r="AP10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2" s="37" t="s">
        <v>856</v>
      </c>
      <c r="AR102" s="37"/>
      <c r="AS10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2" s="41" cm="1">
        <f t="array" aca="1" ref="AT102" ca="1">INDEX('SAP Customer Data'!A:Z,MATCH(بيانات_العملاء[[#This Row],[رمز شريك الأعمال]],'SAP Customer Data'!B:B,0),CELL("col",Table_Customer_Data[[#Headers],[CreateDate]]))</f>
        <v>43646</v>
      </c>
      <c r="AU102" s="37"/>
      <c r="AV102" s="41"/>
      <c r="AW102" s="37" t="s">
        <v>2097</v>
      </c>
      <c r="AX102" s="37"/>
    </row>
    <row r="103" spans="1:50" s="71" customFormat="1" x14ac:dyDescent="0.25">
      <c r="A103" s="36" t="str" cm="1">
        <f t="array" aca="1" ref="A103" ca="1">INDEX('SAP Customer Data'!$A:$AC,MATCH(بيانات_العملاء[[#This Row],[رمز شريك الأعمال]],'SAP Customer Data'!$B:$B,0),CELL("col",Table_Customer_Data[[#Headers],[GroupName]]))</f>
        <v>CS01</v>
      </c>
      <c r="B103" s="35" t="s">
        <v>208</v>
      </c>
      <c r="C103" s="37" t="str" cm="1">
        <f t="array" aca="1" ref="C103" ca="1">INDEX('SAP Customer Data'!$A:$AC,MATCH(بيانات_العملاء[[#This Row],[رمز شريك الأعمال]],'SAP Customer Data'!$B:$B,0),CELL("col",Table_Customer_Data[[#Headers],[CardName]]))</f>
        <v>مؤسسة بيت البناء (الكروم) - الرس(عبدالله علي عثمان المزيني)</v>
      </c>
      <c r="D103" s="37" t="str">
        <f ca="1">IF(بيانات_العملاء[[#This Row],[حد الائتمان على SAP]]&gt;0,"آجل","نقدى")</f>
        <v>آجل</v>
      </c>
      <c r="E103" s="37" t="s">
        <v>2216</v>
      </c>
      <c r="F103" s="37" t="s">
        <v>1081</v>
      </c>
      <c r="G103" s="37" t="s">
        <v>856</v>
      </c>
      <c r="H10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3" s="37" t="s">
        <v>854</v>
      </c>
      <c r="J103" s="38">
        <v>45231</v>
      </c>
      <c r="K103" s="37" t="s">
        <v>855</v>
      </c>
      <c r="L103" s="37" t="str">
        <f ca="1">IF(AND(بيانات_العملاء[[#This Row],[السجل التجارى]]="موجود",TODAY()+'Other Data'!$B$23&lt;J103,بيانات_العملاء[[#This Row],[مطابقة اسم العميل بالاسم بالسجل التجارى]]="مطابق"), "سارى", "يجب اعادة طلبه")</f>
        <v>سارى</v>
      </c>
      <c r="M103" s="37" t="s">
        <v>854</v>
      </c>
      <c r="N103" s="39" t="str" cm="1">
        <f t="array" aca="1" ref="N103" ca="1">INDEX('SAP Customer Data'!$A:$AC,MATCH(بيانات_العملاء[[#This Row],[رمز شريك الأعمال]],'SAP Customer Data'!$B:$B,0),CELL("col",Table_Customer_Data[[#Headers],[LicTradNum]]))</f>
        <v>300609557200003</v>
      </c>
      <c r="O10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3" s="37" t="s">
        <v>854</v>
      </c>
      <c r="Q103" s="38">
        <v>45496</v>
      </c>
      <c r="R10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03" s="37" t="s">
        <v>1075</v>
      </c>
      <c r="T103" s="40">
        <v>30000</v>
      </c>
      <c r="U103" s="41"/>
      <c r="V10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30000</v>
      </c>
      <c r="X103" s="37" cm="1">
        <f t="array" aca="1" ref="X103" ca="1">INDEX('SAP Customer Data'!$A:$AC,MATCH(بيانات_العملاء[[#This Row],[رمز شريك الأعمال]],'SAP Customer Data'!$B:$B,0),CELL("col",Table_Customer_Data[[#Headers],[CreditLine]]))</f>
        <v>30000</v>
      </c>
      <c r="Y10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3" s="37"/>
      <c r="AA10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3" s="37" t="s">
        <v>856</v>
      </c>
      <c r="AC103" s="37"/>
      <c r="AD10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3" s="37" t="s">
        <v>856</v>
      </c>
      <c r="AF103" s="37"/>
      <c r="AG10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3" s="37" t="s">
        <v>856</v>
      </c>
      <c r="AI103" s="37"/>
      <c r="AJ10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3" s="37"/>
      <c r="AL103" s="38"/>
      <c r="AM10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3" s="37" t="s">
        <v>856</v>
      </c>
      <c r="AO103" s="41"/>
      <c r="AP10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3" s="37" t="s">
        <v>856</v>
      </c>
      <c r="AR103" s="37"/>
      <c r="AS10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3" s="41" cm="1">
        <f t="array" aca="1" ref="AT103" ca="1">INDEX('SAP Customer Data'!A:Z,MATCH(بيانات_العملاء[[#This Row],[رمز شريك الأعمال]],'SAP Customer Data'!B:B,0),CELL("col",Table_Customer_Data[[#Headers],[CreateDate]]))</f>
        <v>43581</v>
      </c>
      <c r="AU103" s="37"/>
      <c r="AV103" s="41" t="s">
        <v>920</v>
      </c>
      <c r="AW103" s="37" t="s">
        <v>2097</v>
      </c>
      <c r="AX103" s="37"/>
    </row>
    <row r="104" spans="1:50" x14ac:dyDescent="0.25">
      <c r="A104" s="36" t="str" cm="1">
        <f t="array" aca="1" ref="A104" ca="1">INDEX('SAP Customer Data'!$A:$AC,MATCH(بيانات_العملاء[[#This Row],[رمز شريك الأعمال]],'SAP Customer Data'!$B:$B,0),CELL("col",Table_Customer_Data[[#Headers],[GroupName]]))</f>
        <v>CS01</v>
      </c>
      <c r="B104" s="42" t="s">
        <v>194</v>
      </c>
      <c r="C104" s="37" t="str" cm="1">
        <f t="array" aca="1" ref="C104" ca="1">INDEX('SAP Customer Data'!$A:$AC,MATCH(بيانات_العملاء[[#This Row],[رمز شريك الأعمال]],'SAP Customer Data'!$B:$B,0),CELL("col",Table_Customer_Data[[#Headers],[CardName]]))</f>
        <v>مؤسسة البشر- نقدي</v>
      </c>
      <c r="D104" s="37" t="str">
        <f ca="1">IF(بيانات_العملاء[[#This Row],[حد الائتمان على SAP]]&gt;0,"آجل","نقدى")</f>
        <v>نقدى</v>
      </c>
      <c r="E104" s="37"/>
      <c r="F104" s="37" t="s">
        <v>1082</v>
      </c>
      <c r="G104" s="37" t="s">
        <v>856</v>
      </c>
      <c r="H10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4" s="37" t="s">
        <v>856</v>
      </c>
      <c r="J104" s="38"/>
      <c r="K104" s="37"/>
      <c r="L104" s="37" t="str">
        <f ca="1">IF(AND(بيانات_العملاء[[#This Row],[السجل التجارى]]="موجود",TODAY()+'Other Data'!$B$23&lt;J104,بيانات_العملاء[[#This Row],[مطابقة اسم العميل بالاسم بالسجل التجارى]]="مطابق"), "سارى", "يجب اعادة طلبه")</f>
        <v>يجب اعادة طلبه</v>
      </c>
      <c r="M104" s="37" t="s">
        <v>854</v>
      </c>
      <c r="N104" s="39" t="str" cm="1">
        <f t="array" aca="1" ref="N104" ca="1">INDEX('SAP Customer Data'!$A:$AC,MATCH(بيانات_العملاء[[#This Row],[رمز شريك الأعمال]],'SAP Customer Data'!$B:$B,0),CELL("col",Table_Customer_Data[[#Headers],[LicTradNum]]))</f>
        <v>300927933200003</v>
      </c>
      <c r="O10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4" s="37" t="s">
        <v>854</v>
      </c>
      <c r="Q104" s="38">
        <v>45017</v>
      </c>
      <c r="R10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4" s="37" t="s">
        <v>1080</v>
      </c>
      <c r="T104" s="40"/>
      <c r="U104" s="41"/>
      <c r="V10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4" s="37" cm="1">
        <f t="array" aca="1" ref="X104" ca="1">INDEX('SAP Customer Data'!$A:$AC,MATCH(بيانات_العملاء[[#This Row],[رمز شريك الأعمال]],'SAP Customer Data'!$B:$B,0),CELL("col",Table_Customer_Data[[#Headers],[CreditLine]]))</f>
        <v>0</v>
      </c>
      <c r="Y10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4" s="37"/>
      <c r="AA10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4" s="37" t="s">
        <v>856</v>
      </c>
      <c r="AC104" s="37"/>
      <c r="AD10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4" s="37" t="s">
        <v>856</v>
      </c>
      <c r="AF104" s="37"/>
      <c r="AG10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4" s="37" t="s">
        <v>856</v>
      </c>
      <c r="AI104" s="37"/>
      <c r="AJ10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4" s="37"/>
      <c r="AL104" s="38"/>
      <c r="AM10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4" s="37" t="s">
        <v>856</v>
      </c>
      <c r="AO104" s="41"/>
      <c r="AP10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4" s="37" t="s">
        <v>856</v>
      </c>
      <c r="AR104" s="37"/>
      <c r="AS10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4" s="41" cm="1">
        <f t="array" aca="1" ref="AT104" ca="1">INDEX('SAP Customer Data'!A:Z,MATCH(بيانات_العملاء[[#This Row],[رمز شريك الأعمال]],'SAP Customer Data'!B:B,0),CELL("col",Table_Customer_Data[[#Headers],[CreateDate]]))</f>
        <v>43581</v>
      </c>
      <c r="AU104" s="37"/>
      <c r="AV104" s="41"/>
      <c r="AW104" s="37" t="s">
        <v>2097</v>
      </c>
      <c r="AX104" s="37"/>
    </row>
    <row r="105" spans="1:50" x14ac:dyDescent="0.25">
      <c r="A105" s="36" t="str" cm="1">
        <f t="array" aca="1" ref="A105" ca="1">INDEX('SAP Customer Data'!$A:$AC,MATCH(بيانات_العملاء[[#This Row],[رمز شريك الأعمال]],'SAP Customer Data'!$B:$B,0),CELL("col",Table_Customer_Data[[#Headers],[GroupName]]))</f>
        <v>CS01</v>
      </c>
      <c r="B105" s="42" t="s">
        <v>232</v>
      </c>
      <c r="C105" s="37" t="str" cm="1">
        <f t="array" aca="1" ref="C105" ca="1">INDEX('SAP Customer Data'!$A:$AC,MATCH(بيانات_العملاء[[#This Row],[رمز شريك الأعمال]],'SAP Customer Data'!$B:$B,0),CELL("col",Table_Customer_Data[[#Headers],[CardName]]))</f>
        <v>مؤسسة ابو مشاري للكهرباء عبدالله الغفيلي-نقدى</v>
      </c>
      <c r="D105" s="37" t="str">
        <f ca="1">IF(بيانات_العملاء[[#This Row],[حد الائتمان على SAP]]&gt;0,"آجل","نقدى")</f>
        <v>نقدى</v>
      </c>
      <c r="E105" s="37"/>
      <c r="F105" s="37" t="s">
        <v>1082</v>
      </c>
      <c r="G105" s="37" t="s">
        <v>856</v>
      </c>
      <c r="H10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5" s="37" t="s">
        <v>856</v>
      </c>
      <c r="J105" s="38"/>
      <c r="K105" s="37"/>
      <c r="L105" s="37" t="str">
        <f ca="1">IF(AND(بيانات_العملاء[[#This Row],[السجل التجارى]]="موجود",TODAY()+'Other Data'!$B$23&lt;J105,بيانات_العملاء[[#This Row],[مطابقة اسم العميل بالاسم بالسجل التجارى]]="مطابق"), "سارى", "يجب اعادة طلبه")</f>
        <v>يجب اعادة طلبه</v>
      </c>
      <c r="M105" s="37" t="s">
        <v>854</v>
      </c>
      <c r="N105" s="39" t="str" cm="1">
        <f t="array" aca="1" ref="N105" ca="1">INDEX('SAP Customer Data'!$A:$AC,MATCH(بيانات_العملاء[[#This Row],[رمز شريك الأعمال]],'SAP Customer Data'!$B:$B,0),CELL("col",Table_Customer_Data[[#Headers],[LicTradNum]]))</f>
        <v>301023981600003</v>
      </c>
      <c r="O10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5" s="37" t="s">
        <v>856</v>
      </c>
      <c r="Q105" s="38"/>
      <c r="R10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5" s="37" t="s">
        <v>1080</v>
      </c>
      <c r="T105" s="40"/>
      <c r="U105" s="41"/>
      <c r="V10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5" s="37" cm="1">
        <f t="array" aca="1" ref="X105" ca="1">INDEX('SAP Customer Data'!$A:$AC,MATCH(بيانات_العملاء[[#This Row],[رمز شريك الأعمال]],'SAP Customer Data'!$B:$B,0),CELL("col",Table_Customer_Data[[#Headers],[CreditLine]]))</f>
        <v>0</v>
      </c>
      <c r="Y10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5" s="37"/>
      <c r="AA10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5" s="37" t="s">
        <v>856</v>
      </c>
      <c r="AC105" s="37"/>
      <c r="AD10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5" s="37" t="s">
        <v>856</v>
      </c>
      <c r="AF105" s="37"/>
      <c r="AG10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5" s="37" t="s">
        <v>856</v>
      </c>
      <c r="AI105" s="37"/>
      <c r="AJ10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5" s="37"/>
      <c r="AL105" s="38"/>
      <c r="AM10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5" s="37" t="s">
        <v>856</v>
      </c>
      <c r="AO105" s="41"/>
      <c r="AP10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5" s="37" t="s">
        <v>856</v>
      </c>
      <c r="AR105" s="37"/>
      <c r="AS10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5" s="41" cm="1">
        <f t="array" aca="1" ref="AT105" ca="1">INDEX('SAP Customer Data'!A:Z,MATCH(بيانات_العملاء[[#This Row],[رمز شريك الأعمال]],'SAP Customer Data'!B:B,0),CELL("col",Table_Customer_Data[[#Headers],[CreateDate]]))</f>
        <v>43581</v>
      </c>
      <c r="AU105" s="37"/>
      <c r="AV105" s="41"/>
      <c r="AW105" s="37" t="s">
        <v>2097</v>
      </c>
      <c r="AX105" s="37"/>
    </row>
    <row r="106" spans="1:50" x14ac:dyDescent="0.25">
      <c r="A106" s="36" t="str" cm="1">
        <f t="array" aca="1" ref="A106" ca="1">INDEX('SAP Customer Data'!$A:$AC,MATCH(بيانات_العملاء[[#This Row],[رمز شريك الأعمال]],'SAP Customer Data'!$B:$B,0),CELL("col",Table_Customer_Data[[#Headers],[GroupName]]))</f>
        <v>CS01</v>
      </c>
      <c r="B106" s="42" t="s">
        <v>541</v>
      </c>
      <c r="C106" s="37" t="str" cm="1">
        <f t="array" aca="1" ref="C106" ca="1">INDEX('SAP Customer Data'!$A:$AC,MATCH(بيانات_العملاء[[#This Row],[رمز شريك الأعمال]],'SAP Customer Data'!$B:$B,0),CELL("col",Table_Customer_Data[[#Headers],[CardName]]))</f>
        <v>محل الملزمة - نقدي</v>
      </c>
      <c r="D106" s="37" t="str">
        <f ca="1">IF(بيانات_العملاء[[#This Row],[حد الائتمان على SAP]]&gt;0,"آجل","نقدى")</f>
        <v>نقدى</v>
      </c>
      <c r="E106" s="37"/>
      <c r="F106" s="37" t="s">
        <v>1082</v>
      </c>
      <c r="G106" s="37" t="s">
        <v>856</v>
      </c>
      <c r="H10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6" s="37" t="s">
        <v>856</v>
      </c>
      <c r="J106" s="38"/>
      <c r="K106" s="37"/>
      <c r="L106" s="37" t="str">
        <f ca="1">IF(AND(بيانات_العملاء[[#This Row],[السجل التجارى]]="موجود",TODAY()+'Other Data'!$B$23&lt;J106,بيانات_العملاء[[#This Row],[مطابقة اسم العميل بالاسم بالسجل التجارى]]="مطابق"), "سارى", "يجب اعادة طلبه")</f>
        <v>يجب اعادة طلبه</v>
      </c>
      <c r="M106" s="37" t="s">
        <v>854</v>
      </c>
      <c r="N106" s="39" t="str" cm="1">
        <f t="array" aca="1" ref="N106" ca="1">INDEX('SAP Customer Data'!$A:$AC,MATCH(بيانات_العملاء[[#This Row],[رمز شريك الأعمال]],'SAP Customer Data'!$B:$B,0),CELL("col",Table_Customer_Data[[#Headers],[LicTradNum]]))</f>
        <v>302141390900003</v>
      </c>
      <c r="O10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6" s="37" t="s">
        <v>856</v>
      </c>
      <c r="Q106" s="38"/>
      <c r="R10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6" s="37" t="s">
        <v>1080</v>
      </c>
      <c r="T106" s="40"/>
      <c r="U106" s="41"/>
      <c r="V10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6" s="37" cm="1">
        <f t="array" aca="1" ref="X106" ca="1">INDEX('SAP Customer Data'!$A:$AC,MATCH(بيانات_العملاء[[#This Row],[رمز شريك الأعمال]],'SAP Customer Data'!$B:$B,0),CELL("col",Table_Customer_Data[[#Headers],[CreditLine]]))</f>
        <v>0</v>
      </c>
      <c r="Y10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6" s="37"/>
      <c r="AA10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6" s="37" t="s">
        <v>856</v>
      </c>
      <c r="AC106" s="37"/>
      <c r="AD10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6" s="37" t="s">
        <v>856</v>
      </c>
      <c r="AF106" s="37"/>
      <c r="AG10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6" s="37" t="s">
        <v>856</v>
      </c>
      <c r="AI106" s="37"/>
      <c r="AJ10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6" s="37"/>
      <c r="AL106" s="38"/>
      <c r="AM10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6" s="37" t="s">
        <v>856</v>
      </c>
      <c r="AO106" s="41"/>
      <c r="AP10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6" s="37" t="s">
        <v>856</v>
      </c>
      <c r="AR106" s="37"/>
      <c r="AS10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6" s="41" cm="1">
        <f t="array" aca="1" ref="AT106" ca="1">INDEX('SAP Customer Data'!A:Z,MATCH(بيانات_العملاء[[#This Row],[رمز شريك الأعمال]],'SAP Customer Data'!B:B,0),CELL("col",Table_Customer_Data[[#Headers],[CreateDate]]))</f>
        <v>43591</v>
      </c>
      <c r="AU106" s="37"/>
      <c r="AV106" s="41"/>
      <c r="AW106" s="37" t="s">
        <v>2097</v>
      </c>
      <c r="AX106" s="37"/>
    </row>
    <row r="107" spans="1:50" x14ac:dyDescent="0.25">
      <c r="A107" s="36" t="str" cm="1">
        <f t="array" aca="1" ref="A107" ca="1">INDEX('SAP Customer Data'!$A:$AC,MATCH(بيانات_العملاء[[#This Row],[رمز شريك الأعمال]],'SAP Customer Data'!$B:$B,0),CELL("col",Table_Customer_Data[[#Headers],[GroupName]]))</f>
        <v>CS01</v>
      </c>
      <c r="B107" s="42" t="s">
        <v>449</v>
      </c>
      <c r="C107" s="37" t="str" cm="1">
        <f t="array" aca="1" ref="C107" ca="1">INDEX('SAP Customer Data'!$A:$AC,MATCH(بيانات_العملاء[[#This Row],[رمز شريك الأعمال]],'SAP Customer Data'!$B:$B,0),CELL("col",Table_Customer_Data[[#Headers],[CardName]]))</f>
        <v>محل حلوة رمضان الشمري للتجارة-نقدي</v>
      </c>
      <c r="D107" s="37" t="str">
        <f ca="1">IF(بيانات_العملاء[[#This Row],[حد الائتمان على SAP]]&gt;0,"آجل","نقدى")</f>
        <v>نقدى</v>
      </c>
      <c r="E107" s="37"/>
      <c r="F107" s="37" t="s">
        <v>1082</v>
      </c>
      <c r="G107" s="37" t="s">
        <v>856</v>
      </c>
      <c r="H10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7" s="37" t="s">
        <v>856</v>
      </c>
      <c r="J107" s="38"/>
      <c r="K107" s="37"/>
      <c r="L107" s="37" t="str">
        <f ca="1">IF(AND(بيانات_العملاء[[#This Row],[السجل التجارى]]="موجود",TODAY()+'Other Data'!$B$23&lt;J107,بيانات_العملاء[[#This Row],[مطابقة اسم العميل بالاسم بالسجل التجارى]]="مطابق"), "سارى", "يجب اعادة طلبه")</f>
        <v>يجب اعادة طلبه</v>
      </c>
      <c r="M107" s="37" t="s">
        <v>854</v>
      </c>
      <c r="N107" s="39" t="str" cm="1">
        <f t="array" aca="1" ref="N107" ca="1">INDEX('SAP Customer Data'!$A:$AC,MATCH(بيانات_العملاء[[#This Row],[رمز شريك الأعمال]],'SAP Customer Data'!$B:$B,0),CELL("col",Table_Customer_Data[[#Headers],[LicTradNum]]))</f>
        <v>302191017800003</v>
      </c>
      <c r="O10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7" s="37" t="s">
        <v>856</v>
      </c>
      <c r="Q107" s="38"/>
      <c r="R10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7" s="37" t="s">
        <v>1080</v>
      </c>
      <c r="T107" s="40"/>
      <c r="U107" s="41"/>
      <c r="V10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7" s="37" cm="1">
        <f t="array" aca="1" ref="X107" ca="1">INDEX('SAP Customer Data'!$A:$AC,MATCH(بيانات_العملاء[[#This Row],[رمز شريك الأعمال]],'SAP Customer Data'!$B:$B,0),CELL("col",Table_Customer_Data[[#Headers],[CreditLine]]))</f>
        <v>0</v>
      </c>
      <c r="Y10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7" s="37"/>
      <c r="AA10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7" s="37" t="s">
        <v>856</v>
      </c>
      <c r="AC107" s="37"/>
      <c r="AD10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7" s="37" t="s">
        <v>856</v>
      </c>
      <c r="AF107" s="37"/>
      <c r="AG10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7" s="37" t="s">
        <v>856</v>
      </c>
      <c r="AI107" s="37"/>
      <c r="AJ10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7" s="37"/>
      <c r="AL107" s="38"/>
      <c r="AM10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7" s="37" t="s">
        <v>856</v>
      </c>
      <c r="AO107" s="41"/>
      <c r="AP10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7" s="37" t="s">
        <v>856</v>
      </c>
      <c r="AR107" s="37"/>
      <c r="AS10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7" s="41" cm="1">
        <f t="array" aca="1" ref="AT107" ca="1">INDEX('SAP Customer Data'!A:Z,MATCH(بيانات_العملاء[[#This Row],[رمز شريك الأعمال]],'SAP Customer Data'!B:B,0),CELL("col",Table_Customer_Data[[#Headers],[CreateDate]]))</f>
        <v>44292</v>
      </c>
      <c r="AU107" s="37"/>
      <c r="AV107" s="41"/>
      <c r="AW107" s="37" t="s">
        <v>2097</v>
      </c>
      <c r="AX107" s="37"/>
    </row>
    <row r="108" spans="1:50" x14ac:dyDescent="0.25">
      <c r="A108" s="36" t="str" cm="1">
        <f t="array" aca="1" ref="A108" ca="1">INDEX('SAP Customer Data'!$A:$AC,MATCH(بيانات_العملاء[[#This Row],[رمز شريك الأعمال]],'SAP Customer Data'!$B:$B,0),CELL("col",Table_Customer_Data[[#Headers],[GroupName]]))</f>
        <v>CS01</v>
      </c>
      <c r="B108" s="42" t="s">
        <v>501</v>
      </c>
      <c r="C108" s="37" t="str" cm="1">
        <f t="array" aca="1" ref="C108" ca="1">INDEX('SAP Customer Data'!$A:$AC,MATCH(بيانات_العملاء[[#This Row],[رمز شريك الأعمال]],'SAP Customer Data'!$B:$B,0),CELL("col",Table_Customer_Data[[#Headers],[CardName]]))</f>
        <v>مؤسسة برق الاضاءة التجارية  - نقدي</v>
      </c>
      <c r="D108" s="37" t="str">
        <f ca="1">IF(بيانات_العملاء[[#This Row],[حد الائتمان على SAP]]&gt;0,"آجل","نقدى")</f>
        <v>نقدى</v>
      </c>
      <c r="E108" s="37"/>
      <c r="F108" s="37" t="s">
        <v>1082</v>
      </c>
      <c r="G108" s="37" t="s">
        <v>856</v>
      </c>
      <c r="H10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8" s="37" t="s">
        <v>856</v>
      </c>
      <c r="J108" s="38"/>
      <c r="K108" s="37"/>
      <c r="L108" s="37" t="str">
        <f ca="1">IF(AND(بيانات_العملاء[[#This Row],[السجل التجارى]]="موجود",TODAY()+'Other Data'!$B$23&lt;J108,بيانات_العملاء[[#This Row],[مطابقة اسم العميل بالاسم بالسجل التجارى]]="مطابق"), "سارى", "يجب اعادة طلبه")</f>
        <v>يجب اعادة طلبه</v>
      </c>
      <c r="M108" s="37" t="s">
        <v>854</v>
      </c>
      <c r="N108" s="39" t="str" cm="1">
        <f t="array" aca="1" ref="N108" ca="1">INDEX('SAP Customer Data'!$A:$AC,MATCH(بيانات_العملاء[[#This Row],[رمز شريك الأعمال]],'SAP Customer Data'!$B:$B,0),CELL("col",Table_Customer_Data[[#Headers],[LicTradNum]]))</f>
        <v>302232661300003</v>
      </c>
      <c r="O10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8" s="37" t="s">
        <v>856</v>
      </c>
      <c r="Q108" s="38"/>
      <c r="R10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8" s="37" t="s">
        <v>1080</v>
      </c>
      <c r="T108" s="40"/>
      <c r="U108" s="41"/>
      <c r="V10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8" s="37" cm="1">
        <f t="array" aca="1" ref="X108" ca="1">INDEX('SAP Customer Data'!$A:$AC,MATCH(بيانات_العملاء[[#This Row],[رمز شريك الأعمال]],'SAP Customer Data'!$B:$B,0),CELL("col",Table_Customer_Data[[#Headers],[CreditLine]]))</f>
        <v>0</v>
      </c>
      <c r="Y10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8" s="37"/>
      <c r="AA10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8" s="37" t="s">
        <v>856</v>
      </c>
      <c r="AC108" s="37"/>
      <c r="AD10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8" s="37" t="s">
        <v>856</v>
      </c>
      <c r="AF108" s="37"/>
      <c r="AG10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8" s="37" t="s">
        <v>856</v>
      </c>
      <c r="AI108" s="37"/>
      <c r="AJ10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8" s="37"/>
      <c r="AL108" s="38"/>
      <c r="AM10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8" s="37" t="s">
        <v>856</v>
      </c>
      <c r="AO108" s="41"/>
      <c r="AP10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8" s="37" t="s">
        <v>856</v>
      </c>
      <c r="AR108" s="37"/>
      <c r="AS10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8" s="41" cm="1">
        <f t="array" aca="1" ref="AT108" ca="1">INDEX('SAP Customer Data'!A:Z,MATCH(بيانات_العملاء[[#This Row],[رمز شريك الأعمال]],'SAP Customer Data'!B:B,0),CELL("col",Table_Customer_Data[[#Headers],[CreateDate]]))</f>
        <v>44549</v>
      </c>
      <c r="AU108" s="37"/>
      <c r="AV108" s="41"/>
      <c r="AW108" s="37" t="s">
        <v>2097</v>
      </c>
      <c r="AX108" s="37"/>
    </row>
    <row r="109" spans="1:50" x14ac:dyDescent="0.25">
      <c r="A109" s="36" t="str" cm="1">
        <f t="array" aca="1" ref="A109" ca="1">INDEX('SAP Customer Data'!$A:$AC,MATCH(بيانات_العملاء[[#This Row],[رمز شريك الأعمال]],'SAP Customer Data'!$B:$B,0),CELL("col",Table_Customer_Data[[#Headers],[GroupName]]))</f>
        <v>CS01</v>
      </c>
      <c r="B109" s="42" t="s">
        <v>586</v>
      </c>
      <c r="C109" s="37" t="str" cm="1">
        <f t="array" aca="1" ref="C109" ca="1">INDEX('SAP Customer Data'!$A:$AC,MATCH(بيانات_العملاء[[#This Row],[رمز شريك الأعمال]],'SAP Customer Data'!$B:$B,0),CELL("col",Table_Customer_Data[[#Headers],[CardName]]))</f>
        <v>مؤسسة ناصر مشاري عبدالعزيز المشاري للادوات الكهربائية - نقدي</v>
      </c>
      <c r="D109" s="37" t="str">
        <f ca="1">IF(بيانات_العملاء[[#This Row],[حد الائتمان على SAP]]&gt;0,"آجل","نقدى")</f>
        <v>نقدى</v>
      </c>
      <c r="E109" s="37"/>
      <c r="F109" s="37" t="s">
        <v>1082</v>
      </c>
      <c r="G109" s="37" t="s">
        <v>856</v>
      </c>
      <c r="H10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09" s="37" t="s">
        <v>856</v>
      </c>
      <c r="J109" s="38"/>
      <c r="K109" s="37"/>
      <c r="L109" s="37" t="str">
        <f ca="1">IF(AND(بيانات_العملاء[[#This Row],[السجل التجارى]]="موجود",TODAY()+'Other Data'!$B$23&lt;J109,بيانات_العملاء[[#This Row],[مطابقة اسم العميل بالاسم بالسجل التجارى]]="مطابق"), "سارى", "يجب اعادة طلبه")</f>
        <v>يجب اعادة طلبه</v>
      </c>
      <c r="M109" s="37" t="s">
        <v>854</v>
      </c>
      <c r="N109" s="39" t="str" cm="1">
        <f t="array" aca="1" ref="N109" ca="1">INDEX('SAP Customer Data'!$A:$AC,MATCH(بيانات_العملاء[[#This Row],[رمز شريك الأعمال]],'SAP Customer Data'!$B:$B,0),CELL("col",Table_Customer_Data[[#Headers],[LicTradNum]]))</f>
        <v>310093095900003</v>
      </c>
      <c r="O10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09" s="37" t="s">
        <v>856</v>
      </c>
      <c r="Q109" s="38"/>
      <c r="R10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09" s="37" t="s">
        <v>1080</v>
      </c>
      <c r="T109" s="40"/>
      <c r="U109" s="41"/>
      <c r="V10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0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09" s="37" cm="1">
        <f t="array" aca="1" ref="X109" ca="1">INDEX('SAP Customer Data'!$A:$AC,MATCH(بيانات_العملاء[[#This Row],[رمز شريك الأعمال]],'SAP Customer Data'!$B:$B,0),CELL("col",Table_Customer_Data[[#Headers],[CreditLine]]))</f>
        <v>0</v>
      </c>
      <c r="Y10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09" s="37"/>
      <c r="AA10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09" s="37" t="s">
        <v>856</v>
      </c>
      <c r="AC109" s="37"/>
      <c r="AD10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09" s="37" t="s">
        <v>856</v>
      </c>
      <c r="AF109" s="37"/>
      <c r="AG10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09" s="37" t="s">
        <v>856</v>
      </c>
      <c r="AI109" s="37"/>
      <c r="AJ10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09" s="37"/>
      <c r="AL109" s="38"/>
      <c r="AM10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09" s="37" t="s">
        <v>856</v>
      </c>
      <c r="AO109" s="41"/>
      <c r="AP10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09" s="37" t="s">
        <v>856</v>
      </c>
      <c r="AR109" s="37"/>
      <c r="AS10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09" s="41" cm="1">
        <f t="array" aca="1" ref="AT109" ca="1">INDEX('SAP Customer Data'!A:Z,MATCH(بيانات_العملاء[[#This Row],[رمز شريك الأعمال]],'SAP Customer Data'!B:B,0),CELL("col",Table_Customer_Data[[#Headers],[CreateDate]]))</f>
        <v>44516</v>
      </c>
      <c r="AU109" s="37"/>
      <c r="AV109" s="41"/>
      <c r="AW109" s="37" t="s">
        <v>2097</v>
      </c>
      <c r="AX109" s="37"/>
    </row>
    <row r="110" spans="1:50" x14ac:dyDescent="0.25">
      <c r="A110" s="36" t="str" cm="1">
        <f t="array" aca="1" ref="A110" ca="1">INDEX('SAP Customer Data'!$A:$AC,MATCH(بيانات_العملاء[[#This Row],[رمز شريك الأعمال]],'SAP Customer Data'!$B:$B,0),CELL("col",Table_Customer_Data[[#Headers],[GroupName]]))</f>
        <v>CS01</v>
      </c>
      <c r="B110" s="42" t="s">
        <v>227</v>
      </c>
      <c r="C110" s="37" t="str" cm="1">
        <f t="array" aca="1" ref="C110" ca="1">INDEX('SAP Customer Data'!$A:$AC,MATCH(بيانات_العملاء[[#This Row],[رمز شريك الأعمال]],'SAP Customer Data'!$B:$B,0),CELL("col",Table_Customer_Data[[#Headers],[CardName]]))</f>
        <v>مؤسسة شموع الاضاءة التجارية نقدي</v>
      </c>
      <c r="D110" s="37" t="str">
        <f ca="1">IF(بيانات_العملاء[[#This Row],[حد الائتمان على SAP]]&gt;0,"آجل","نقدى")</f>
        <v>نقدى</v>
      </c>
      <c r="E110" s="37"/>
      <c r="F110" s="37" t="s">
        <v>1082</v>
      </c>
      <c r="G110" s="37" t="s">
        <v>856</v>
      </c>
      <c r="H11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0" s="37" t="s">
        <v>856</v>
      </c>
      <c r="J110" s="38"/>
      <c r="K110" s="37"/>
      <c r="L110" s="37" t="str">
        <f ca="1">IF(AND(بيانات_العملاء[[#This Row],[السجل التجارى]]="موجود",TODAY()+'Other Data'!$B$23&lt;J110,بيانات_العملاء[[#This Row],[مطابقة اسم العميل بالاسم بالسجل التجارى]]="مطابق"), "سارى", "يجب اعادة طلبه")</f>
        <v>يجب اعادة طلبه</v>
      </c>
      <c r="M110" s="37" t="s">
        <v>854</v>
      </c>
      <c r="N110" s="39" t="str" cm="1">
        <f t="array" aca="1" ref="N110" ca="1">INDEX('SAP Customer Data'!$A:$AC,MATCH(بيانات_العملاء[[#This Row],[رمز شريك الأعمال]],'SAP Customer Data'!$B:$B,0),CELL("col",Table_Customer_Data[[#Headers],[LicTradNum]]))</f>
        <v>310131636900003</v>
      </c>
      <c r="O11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0" s="37" t="s">
        <v>856</v>
      </c>
      <c r="Q110" s="38"/>
      <c r="R11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0" s="37" t="s">
        <v>1080</v>
      </c>
      <c r="T110" s="40"/>
      <c r="U110" s="41"/>
      <c r="V11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0" s="37" cm="1">
        <f t="array" aca="1" ref="X110" ca="1">INDEX('SAP Customer Data'!$A:$AC,MATCH(بيانات_العملاء[[#This Row],[رمز شريك الأعمال]],'SAP Customer Data'!$B:$B,0),CELL("col",Table_Customer_Data[[#Headers],[CreditLine]]))</f>
        <v>0</v>
      </c>
      <c r="Y11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0" s="37"/>
      <c r="AA11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0" s="37" t="s">
        <v>856</v>
      </c>
      <c r="AC110" s="37"/>
      <c r="AD11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0" s="37" t="s">
        <v>856</v>
      </c>
      <c r="AF110" s="37"/>
      <c r="AG11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0" s="37" t="s">
        <v>856</v>
      </c>
      <c r="AI110" s="37"/>
      <c r="AJ11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0" s="37"/>
      <c r="AL110" s="38"/>
      <c r="AM11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0" s="37" t="s">
        <v>856</v>
      </c>
      <c r="AO110" s="41"/>
      <c r="AP11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0" s="37" t="s">
        <v>856</v>
      </c>
      <c r="AR110" s="37"/>
      <c r="AS11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0" s="41" cm="1">
        <f t="array" aca="1" ref="AT110" ca="1">INDEX('SAP Customer Data'!A:Z,MATCH(بيانات_العملاء[[#This Row],[رمز شريك الأعمال]],'SAP Customer Data'!B:B,0),CELL("col",Table_Customer_Data[[#Headers],[CreateDate]]))</f>
        <v>43581</v>
      </c>
      <c r="AU110" s="37"/>
      <c r="AV110" s="41"/>
      <c r="AW110" s="37" t="s">
        <v>2097</v>
      </c>
      <c r="AX110" s="37"/>
    </row>
    <row r="111" spans="1:50" x14ac:dyDescent="0.25">
      <c r="A111" s="36" t="str" cm="1">
        <f t="array" aca="1" ref="A111" ca="1">INDEX('SAP Customer Data'!$A:$AC,MATCH(بيانات_العملاء[[#This Row],[رمز شريك الأعمال]],'SAP Customer Data'!$B:$B,0),CELL("col",Table_Customer_Data[[#Headers],[GroupName]]))</f>
        <v>CS01</v>
      </c>
      <c r="B111" s="42" t="s">
        <v>518</v>
      </c>
      <c r="C111" s="37" t="str" cm="1">
        <f t="array" aca="1" ref="C111" ca="1">INDEX('SAP Customer Data'!$A:$AC,MATCH(بيانات_العملاء[[#This Row],[رمز شريك الأعمال]],'SAP Customer Data'!$B:$B,0),CELL("col",Table_Customer_Data[[#Headers],[CardName]]))</f>
        <v>محل العويد للكهرباء والسباكة(نقدي)</v>
      </c>
      <c r="D111" s="37" t="str">
        <f ca="1">IF(بيانات_العملاء[[#This Row],[حد الائتمان على SAP]]&gt;0,"آجل","نقدى")</f>
        <v>نقدى</v>
      </c>
      <c r="E111" s="37"/>
      <c r="F111" s="37" t="s">
        <v>1082</v>
      </c>
      <c r="G111" s="37" t="s">
        <v>856</v>
      </c>
      <c r="H11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1" s="37" t="s">
        <v>856</v>
      </c>
      <c r="J111" s="38"/>
      <c r="K111" s="37"/>
      <c r="L111" s="37" t="str">
        <f ca="1">IF(AND(بيانات_العملاء[[#This Row],[السجل التجارى]]="موجود",TODAY()+'Other Data'!$B$23&lt;J111,بيانات_العملاء[[#This Row],[مطابقة اسم العميل بالاسم بالسجل التجارى]]="مطابق"), "سارى", "يجب اعادة طلبه")</f>
        <v>يجب اعادة طلبه</v>
      </c>
      <c r="M111" s="37" t="s">
        <v>854</v>
      </c>
      <c r="N111" s="39" t="str" cm="1">
        <f t="array" aca="1" ref="N111" ca="1">INDEX('SAP Customer Data'!$A:$AC,MATCH(بيانات_العملاء[[#This Row],[رمز شريك الأعمال]],'SAP Customer Data'!$B:$B,0),CELL("col",Table_Customer_Data[[#Headers],[LicTradNum]]))</f>
        <v>310216791300003</v>
      </c>
      <c r="O11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1" s="37" t="s">
        <v>856</v>
      </c>
      <c r="Q111" s="38"/>
      <c r="R11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1" s="37" t="s">
        <v>1080</v>
      </c>
      <c r="T111" s="40"/>
      <c r="U111" s="41"/>
      <c r="V11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1" s="37" cm="1">
        <f t="array" aca="1" ref="X111" ca="1">INDEX('SAP Customer Data'!$A:$AC,MATCH(بيانات_العملاء[[#This Row],[رمز شريك الأعمال]],'SAP Customer Data'!$B:$B,0),CELL("col",Table_Customer_Data[[#Headers],[CreditLine]]))</f>
        <v>0</v>
      </c>
      <c r="Y11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1" s="37"/>
      <c r="AA11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1" s="37" t="s">
        <v>856</v>
      </c>
      <c r="AC111" s="37"/>
      <c r="AD11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1" s="37" t="s">
        <v>856</v>
      </c>
      <c r="AF111" s="37"/>
      <c r="AG11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1" s="37" t="s">
        <v>856</v>
      </c>
      <c r="AI111" s="37"/>
      <c r="AJ11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1" s="37"/>
      <c r="AL111" s="38"/>
      <c r="AM11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1" s="37" t="s">
        <v>856</v>
      </c>
      <c r="AO111" s="41"/>
      <c r="AP11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1" s="37" t="s">
        <v>856</v>
      </c>
      <c r="AR111" s="37"/>
      <c r="AS11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1" s="41" cm="1">
        <f t="array" aca="1" ref="AT111" ca="1">INDEX('SAP Customer Data'!A:Z,MATCH(بيانات_العملاء[[#This Row],[رمز شريك الأعمال]],'SAP Customer Data'!B:B,0),CELL("col",Table_Customer_Data[[#Headers],[CreateDate]]))</f>
        <v>43589</v>
      </c>
      <c r="AU111" s="37"/>
      <c r="AV111" s="41"/>
      <c r="AW111" s="37" t="s">
        <v>2097</v>
      </c>
      <c r="AX111" s="37"/>
    </row>
    <row r="112" spans="1:50" x14ac:dyDescent="0.25">
      <c r="A112" s="22" t="str" cm="1">
        <f t="array" aca="1" ref="A112" ca="1">INDEX('SAP Customer Data'!$A:$AC,MATCH(بيانات_العملاء[[#This Row],[رمز شريك الأعمال]],'SAP Customer Data'!$B:$B,0),CELL("col",Table_Customer_Data[[#Headers],[GroupName]]))</f>
        <v>CS01</v>
      </c>
      <c r="B112" s="34" t="s">
        <v>188</v>
      </c>
      <c r="C112" s="24" t="str" cm="1">
        <f t="array" aca="1" ref="C112" ca="1">INDEX('SAP Customer Data'!$A:$AC,MATCH(بيانات_العملاء[[#This Row],[رمز شريك الأعمال]],'SAP Customer Data'!$B:$B,0),CELL("col",Table_Customer_Data[[#Headers],[CardName]]))</f>
        <v>مؤسسة نجم السهيل للمقاولات</v>
      </c>
      <c r="D112" s="24" t="str">
        <f ca="1">IF(بيانات_العملاء[[#This Row],[حد الائتمان على SAP]]&gt;0,"آجل","نقدى")</f>
        <v>آجل</v>
      </c>
      <c r="E112" s="24"/>
      <c r="F112" s="24" t="s">
        <v>1082</v>
      </c>
      <c r="G112" s="24" t="s">
        <v>856</v>
      </c>
      <c r="H112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2" s="24" t="s">
        <v>856</v>
      </c>
      <c r="J112" s="25"/>
      <c r="K112" s="24"/>
      <c r="L112" s="24" t="str">
        <f ca="1">IF(AND(بيانات_العملاء[[#This Row],[السجل التجارى]]="موجود",TODAY()+'Other Data'!$B$23&lt;J112,بيانات_العملاء[[#This Row],[مطابقة اسم العميل بالاسم بالسجل التجارى]]="مطابق"), "سارى", "يجب اعادة طلبه")</f>
        <v>يجب اعادة طلبه</v>
      </c>
      <c r="M112" s="24" t="s">
        <v>856</v>
      </c>
      <c r="N112" s="26" t="str" cm="1">
        <f t="array" aca="1" ref="N112" ca="1">INDEX('SAP Customer Data'!$A:$AC,MATCH(بيانات_العملاء[[#This Row],[رمز شريك الأعمال]],'SAP Customer Data'!$B:$B,0),CELL("col",Table_Customer_Data[[#Headers],[LicTradNum]]))</f>
        <v>310240160300003</v>
      </c>
      <c r="O112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12" s="15" t="s">
        <v>856</v>
      </c>
      <c r="Q112" s="25"/>
      <c r="R112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2" s="15" t="s">
        <v>856</v>
      </c>
      <c r="T112" s="27"/>
      <c r="U112" s="11"/>
      <c r="V112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2" s="24" cm="1">
        <f t="array" aca="1" ref="X112" ca="1">INDEX('SAP Customer Data'!$A:$AC,MATCH(بيانات_العملاء[[#This Row],[رمز شريك الأعمال]],'SAP Customer Data'!$B:$B,0),CELL("col",Table_Customer_Data[[#Headers],[CreditLine]]))</f>
        <v>100000</v>
      </c>
      <c r="Y11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112" s="37"/>
      <c r="AA11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12" s="15" t="s">
        <v>856</v>
      </c>
      <c r="AC112" s="24"/>
      <c r="AD112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2" s="15" t="s">
        <v>856</v>
      </c>
      <c r="AF112" s="24"/>
      <c r="AG112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2" s="15" t="s">
        <v>856</v>
      </c>
      <c r="AI112" s="24"/>
      <c r="AJ112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2" s="24"/>
      <c r="AL112" s="25"/>
      <c r="AM112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2" s="15" t="s">
        <v>856</v>
      </c>
      <c r="AO112" s="11"/>
      <c r="AP112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2" s="15" t="s">
        <v>856</v>
      </c>
      <c r="AR112" s="24"/>
      <c r="AS112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2" s="11" cm="1">
        <f t="array" aca="1" ref="AT112" ca="1">INDEX('SAP Customer Data'!A:Z,MATCH(بيانات_العملاء[[#This Row],[رمز شريك الأعمال]],'SAP Customer Data'!B:B,0),CELL("col",Table_Customer_Data[[#Headers],[CreateDate]]))</f>
        <v>44054</v>
      </c>
      <c r="AU112" s="24"/>
      <c r="AV112" s="33" t="s">
        <v>920</v>
      </c>
      <c r="AW112" s="24" t="s">
        <v>2097</v>
      </c>
      <c r="AX112" s="24"/>
    </row>
    <row r="113" spans="1:50" x14ac:dyDescent="0.25">
      <c r="A113" s="36" t="str" cm="1">
        <f t="array" aca="1" ref="A113" ca="1">INDEX('SAP Customer Data'!$A:$AC,MATCH(بيانات_العملاء[[#This Row],[رمز شريك الأعمال]],'SAP Customer Data'!$B:$B,0),CELL("col",Table_Customer_Data[[#Headers],[GroupName]]))</f>
        <v>CS01</v>
      </c>
      <c r="B113" s="42" t="s">
        <v>295</v>
      </c>
      <c r="C113" s="37" t="str" cm="1">
        <f t="array" aca="1" ref="C113" ca="1">INDEX('SAP Customer Data'!$A:$AC,MATCH(بيانات_العملاء[[#This Row],[رمز شريك الأعمال]],'SAP Customer Data'!$B:$B,0),CELL("col",Table_Customer_Data[[#Headers],[CardName]]))</f>
        <v>مؤسسة بيوت التميز التجارية - نقدي</v>
      </c>
      <c r="D113" s="37" t="str">
        <f ca="1">IF(بيانات_العملاء[[#This Row],[حد الائتمان على SAP]]&gt;0,"آجل","نقدى")</f>
        <v>نقدى</v>
      </c>
      <c r="E113" s="37"/>
      <c r="F113" s="37" t="s">
        <v>1082</v>
      </c>
      <c r="G113" s="37" t="s">
        <v>856</v>
      </c>
      <c r="H11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3" s="37" t="s">
        <v>856</v>
      </c>
      <c r="J113" s="38"/>
      <c r="K113" s="37"/>
      <c r="L113" s="37" t="str">
        <f ca="1">IF(AND(بيانات_العملاء[[#This Row],[السجل التجارى]]="موجود",TODAY()+'Other Data'!$B$23&lt;J113,بيانات_العملاء[[#This Row],[مطابقة اسم العميل بالاسم بالسجل التجارى]]="مطابق"), "سارى", "يجب اعادة طلبه")</f>
        <v>يجب اعادة طلبه</v>
      </c>
      <c r="M113" s="37" t="s">
        <v>854</v>
      </c>
      <c r="N113" s="39" t="str" cm="1">
        <f t="array" aca="1" ref="N113" ca="1">INDEX('SAP Customer Data'!$A:$AC,MATCH(بيانات_العملاء[[#This Row],[رمز شريك الأعمال]],'SAP Customer Data'!$B:$B,0),CELL("col",Table_Customer_Data[[#Headers],[LicTradNum]]))</f>
        <v>310257817500003</v>
      </c>
      <c r="O11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3" s="37" t="s">
        <v>856</v>
      </c>
      <c r="Q113" s="38"/>
      <c r="R11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3" s="37" t="s">
        <v>1080</v>
      </c>
      <c r="T113" s="40"/>
      <c r="U113" s="41"/>
      <c r="V11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3" s="37" cm="1">
        <f t="array" aca="1" ref="X113" ca="1">INDEX('SAP Customer Data'!$A:$AC,MATCH(بيانات_العملاء[[#This Row],[رمز شريك الأعمال]],'SAP Customer Data'!$B:$B,0),CELL("col",Table_Customer_Data[[#Headers],[CreditLine]]))</f>
        <v>0</v>
      </c>
      <c r="Y11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3" s="37"/>
      <c r="AA11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3" s="37" t="s">
        <v>856</v>
      </c>
      <c r="AC113" s="37"/>
      <c r="AD11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3" s="37" t="s">
        <v>856</v>
      </c>
      <c r="AF113" s="37"/>
      <c r="AG11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3" s="37" t="s">
        <v>856</v>
      </c>
      <c r="AI113" s="37"/>
      <c r="AJ11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3" s="37"/>
      <c r="AL113" s="38"/>
      <c r="AM11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3" s="37" t="s">
        <v>856</v>
      </c>
      <c r="AO113" s="41"/>
      <c r="AP11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3" s="37" t="s">
        <v>856</v>
      </c>
      <c r="AR113" s="37"/>
      <c r="AS11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3" s="41" cm="1">
        <f t="array" aca="1" ref="AT113" ca="1">INDEX('SAP Customer Data'!A:Z,MATCH(بيانات_العملاء[[#This Row],[رمز شريك الأعمال]],'SAP Customer Data'!B:B,0),CELL("col",Table_Customer_Data[[#Headers],[CreateDate]]))</f>
        <v>44486</v>
      </c>
      <c r="AU113" s="37"/>
      <c r="AV113" s="41"/>
      <c r="AW113" s="37" t="s">
        <v>2097</v>
      </c>
      <c r="AX113" s="37"/>
    </row>
    <row r="114" spans="1:50" x14ac:dyDescent="0.25">
      <c r="A114" s="36" t="str" cm="1">
        <f t="array" aca="1" ref="A114" ca="1">INDEX('SAP Customer Data'!$A:$AC,MATCH(بيانات_العملاء[[#This Row],[رمز شريك الأعمال]],'SAP Customer Data'!$B:$B,0),CELL("col",Table_Customer_Data[[#Headers],[GroupName]]))</f>
        <v>CS01</v>
      </c>
      <c r="B114" s="42" t="s">
        <v>535</v>
      </c>
      <c r="C114" s="37" t="str" cm="1">
        <f t="array" aca="1" ref="C114" ca="1">INDEX('SAP Customer Data'!$A:$AC,MATCH(بيانات_العملاء[[#This Row],[رمز شريك الأعمال]],'SAP Customer Data'!$B:$B,0),CELL("col",Table_Customer_Data[[#Headers],[CardName]]))</f>
        <v>مؤسسة سليمان محمد بن عبدالله المحيميد - نقدي</v>
      </c>
      <c r="D114" s="37" t="str">
        <f ca="1">IF(بيانات_العملاء[[#This Row],[حد الائتمان على SAP]]&gt;0,"آجل","نقدى")</f>
        <v>نقدى</v>
      </c>
      <c r="E114" s="37"/>
      <c r="F114" s="37" t="s">
        <v>1082</v>
      </c>
      <c r="G114" s="37" t="s">
        <v>856</v>
      </c>
      <c r="H11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4" s="37" t="s">
        <v>856</v>
      </c>
      <c r="J114" s="38"/>
      <c r="K114" s="37"/>
      <c r="L114" s="37" t="str">
        <f ca="1">IF(AND(بيانات_العملاء[[#This Row],[السجل التجارى]]="موجود",TODAY()+'Other Data'!$B$23&lt;J114,بيانات_العملاء[[#This Row],[مطابقة اسم العميل بالاسم بالسجل التجارى]]="مطابق"), "سارى", "يجب اعادة طلبه")</f>
        <v>يجب اعادة طلبه</v>
      </c>
      <c r="M114" s="37" t="s">
        <v>854</v>
      </c>
      <c r="N114" s="39" t="str" cm="1">
        <f t="array" aca="1" ref="N114" ca="1">INDEX('SAP Customer Data'!$A:$AC,MATCH(بيانات_العملاء[[#This Row],[رمز شريك الأعمال]],'SAP Customer Data'!$B:$B,0),CELL("col",Table_Customer_Data[[#Headers],[LicTradNum]]))</f>
        <v>310317330400003</v>
      </c>
      <c r="O11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4" s="37" t="s">
        <v>856</v>
      </c>
      <c r="Q114" s="38"/>
      <c r="R11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4" s="37" t="s">
        <v>1080</v>
      </c>
      <c r="T114" s="40"/>
      <c r="U114" s="41"/>
      <c r="V11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4" s="37" cm="1">
        <f t="array" aca="1" ref="X114" ca="1">INDEX('SAP Customer Data'!$A:$AC,MATCH(بيانات_العملاء[[#This Row],[رمز شريك الأعمال]],'SAP Customer Data'!$B:$B,0),CELL("col",Table_Customer_Data[[#Headers],[CreditLine]]))</f>
        <v>0</v>
      </c>
      <c r="Y11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4" s="37"/>
      <c r="AA11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4" s="37" t="s">
        <v>856</v>
      </c>
      <c r="AC114" s="37"/>
      <c r="AD11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4" s="37" t="s">
        <v>856</v>
      </c>
      <c r="AF114" s="37"/>
      <c r="AG11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4" s="37" t="s">
        <v>856</v>
      </c>
      <c r="AI114" s="37"/>
      <c r="AJ11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4" s="37"/>
      <c r="AL114" s="38"/>
      <c r="AM11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4" s="37" t="s">
        <v>856</v>
      </c>
      <c r="AO114" s="41"/>
      <c r="AP11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4" s="37" t="s">
        <v>856</v>
      </c>
      <c r="AR114" s="37"/>
      <c r="AS11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4" s="41" cm="1">
        <f t="array" aca="1" ref="AT114" ca="1">INDEX('SAP Customer Data'!A:Z,MATCH(بيانات_العملاء[[#This Row],[رمز شريك الأعمال]],'SAP Customer Data'!B:B,0),CELL("col",Table_Customer_Data[[#Headers],[CreateDate]]))</f>
        <v>44536</v>
      </c>
      <c r="AU114" s="37"/>
      <c r="AV114" s="41"/>
      <c r="AW114" s="37" t="s">
        <v>2097</v>
      </c>
      <c r="AX114" s="37"/>
    </row>
    <row r="115" spans="1:50" x14ac:dyDescent="0.25">
      <c r="A115" s="36" t="str" cm="1">
        <f t="array" aca="1" ref="A115" ca="1">INDEX('SAP Customer Data'!$A:$AC,MATCH(بيانات_العملاء[[#This Row],[رمز شريك الأعمال]],'SAP Customer Data'!$B:$B,0),CELL("col",Table_Customer_Data[[#Headers],[GroupName]]))</f>
        <v>CS01</v>
      </c>
      <c r="B115" s="42" t="s">
        <v>557</v>
      </c>
      <c r="C115" s="37" t="str" cm="1">
        <f t="array" aca="1" ref="C115" ca="1">INDEX('SAP Customer Data'!$A:$AC,MATCH(بيانات_العملاء[[#This Row],[رمز شريك الأعمال]],'SAP Customer Data'!$B:$B,0),CELL("col",Table_Customer_Data[[#Headers],[CardName]]))</f>
        <v>مؤسسة احمد سليمان الطيار للتجارة - نقدي</v>
      </c>
      <c r="D115" s="37" t="str">
        <f ca="1">IF(بيانات_العملاء[[#This Row],[حد الائتمان على SAP]]&gt;0,"آجل","نقدى")</f>
        <v>نقدى</v>
      </c>
      <c r="E115" s="37"/>
      <c r="F115" s="37" t="s">
        <v>1082</v>
      </c>
      <c r="G115" s="37" t="s">
        <v>856</v>
      </c>
      <c r="H11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5" s="37" t="s">
        <v>856</v>
      </c>
      <c r="J115" s="38"/>
      <c r="K115" s="37"/>
      <c r="L115" s="37" t="str">
        <f ca="1">IF(AND(بيانات_العملاء[[#This Row],[السجل التجارى]]="موجود",TODAY()+'Other Data'!$B$23&lt;J115,بيانات_العملاء[[#This Row],[مطابقة اسم العميل بالاسم بالسجل التجارى]]="مطابق"), "سارى", "يجب اعادة طلبه")</f>
        <v>يجب اعادة طلبه</v>
      </c>
      <c r="M115" s="37" t="s">
        <v>854</v>
      </c>
      <c r="N115" s="39" t="str" cm="1">
        <f t="array" aca="1" ref="N115" ca="1">INDEX('SAP Customer Data'!$A:$AC,MATCH(بيانات_العملاء[[#This Row],[رمز شريك الأعمال]],'SAP Customer Data'!$B:$B,0),CELL("col",Table_Customer_Data[[#Headers],[LicTradNum]]))</f>
        <v>310351083200003</v>
      </c>
      <c r="O11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5" s="37" t="s">
        <v>856</v>
      </c>
      <c r="Q115" s="38"/>
      <c r="R11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5" s="37" t="s">
        <v>1080</v>
      </c>
      <c r="T115" s="40"/>
      <c r="U115" s="41"/>
      <c r="V11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5" s="37" cm="1">
        <f t="array" aca="1" ref="X115" ca="1">INDEX('SAP Customer Data'!$A:$AC,MATCH(بيانات_العملاء[[#This Row],[رمز شريك الأعمال]],'SAP Customer Data'!$B:$B,0),CELL("col",Table_Customer_Data[[#Headers],[CreditLine]]))</f>
        <v>0</v>
      </c>
      <c r="Y11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5" s="37"/>
      <c r="AA11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5" s="37" t="s">
        <v>856</v>
      </c>
      <c r="AC115" s="37"/>
      <c r="AD11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5" s="37" t="s">
        <v>856</v>
      </c>
      <c r="AF115" s="37"/>
      <c r="AG11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5" s="37" t="s">
        <v>856</v>
      </c>
      <c r="AI115" s="37"/>
      <c r="AJ11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5" s="37"/>
      <c r="AL115" s="38"/>
      <c r="AM11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5" s="37" t="s">
        <v>856</v>
      </c>
      <c r="AO115" s="41"/>
      <c r="AP11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5" s="37" t="s">
        <v>856</v>
      </c>
      <c r="AR115" s="37"/>
      <c r="AS11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5" s="41" cm="1">
        <f t="array" aca="1" ref="AT115" ca="1">INDEX('SAP Customer Data'!A:Z,MATCH(بيانات_العملاء[[#This Row],[رمز شريك الأعمال]],'SAP Customer Data'!B:B,0),CELL("col",Table_Customer_Data[[#Headers],[CreateDate]]))</f>
        <v>44054</v>
      </c>
      <c r="AU115" s="37"/>
      <c r="AV115" s="41"/>
      <c r="AW115" s="37" t="s">
        <v>2097</v>
      </c>
      <c r="AX115" s="37"/>
    </row>
    <row r="116" spans="1:50" x14ac:dyDescent="0.25">
      <c r="A116" s="36" t="str" cm="1">
        <f t="array" aca="1" ref="A116" ca="1">INDEX('SAP Customer Data'!$A:$AC,MATCH(بيانات_العملاء[[#This Row],[رمز شريك الأعمال]],'SAP Customer Data'!$B:$B,0),CELL("col",Table_Customer_Data[[#Headers],[GroupName]]))</f>
        <v>CS01</v>
      </c>
      <c r="B116" s="42" t="s">
        <v>445</v>
      </c>
      <c r="C116" s="37" t="str" cm="1">
        <f t="array" aca="1" ref="C116" ca="1">INDEX('SAP Customer Data'!$A:$AC,MATCH(بيانات_العملاء[[#This Row],[رمز شريك الأعمال]],'SAP Customer Data'!$B:$B,0),CELL("col",Table_Customer_Data[[#Headers],[CardName]]))</f>
        <v>مؤسسة شمس عنيزة - نقدي</v>
      </c>
      <c r="D116" s="37" t="str">
        <f ca="1">IF(بيانات_العملاء[[#This Row],[حد الائتمان على SAP]]&gt;0,"آجل","نقدى")</f>
        <v>نقدى</v>
      </c>
      <c r="E116" s="37"/>
      <c r="F116" s="37" t="s">
        <v>1082</v>
      </c>
      <c r="G116" s="37" t="s">
        <v>856</v>
      </c>
      <c r="H11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6" s="37" t="s">
        <v>856</v>
      </c>
      <c r="J116" s="38"/>
      <c r="K116" s="37"/>
      <c r="L116" s="37" t="str">
        <f ca="1">IF(AND(بيانات_العملاء[[#This Row],[السجل التجارى]]="موجود",TODAY()+'Other Data'!$B$23&lt;J116,بيانات_العملاء[[#This Row],[مطابقة اسم العميل بالاسم بالسجل التجارى]]="مطابق"), "سارى", "يجب اعادة طلبه")</f>
        <v>يجب اعادة طلبه</v>
      </c>
      <c r="M116" s="37" t="s">
        <v>854</v>
      </c>
      <c r="N116" s="39" t="str" cm="1">
        <f t="array" aca="1" ref="N116" ca="1">INDEX('SAP Customer Data'!$A:$AC,MATCH(بيانات_العملاء[[#This Row],[رمز شريك الأعمال]],'SAP Customer Data'!$B:$B,0),CELL("col",Table_Customer_Data[[#Headers],[LicTradNum]]))</f>
        <v>310362524500003</v>
      </c>
      <c r="O11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6" s="37" t="s">
        <v>856</v>
      </c>
      <c r="Q116" s="38"/>
      <c r="R11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6" s="37" t="s">
        <v>1080</v>
      </c>
      <c r="T116" s="40"/>
      <c r="U116" s="41"/>
      <c r="V11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6" s="37" cm="1">
        <f t="array" aca="1" ref="X116" ca="1">INDEX('SAP Customer Data'!$A:$AC,MATCH(بيانات_العملاء[[#This Row],[رمز شريك الأعمال]],'SAP Customer Data'!$B:$B,0),CELL("col",Table_Customer_Data[[#Headers],[CreditLine]]))</f>
        <v>0</v>
      </c>
      <c r="Y11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6" s="37"/>
      <c r="AA11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6" s="37" t="s">
        <v>856</v>
      </c>
      <c r="AC116" s="37"/>
      <c r="AD11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6" s="37" t="s">
        <v>856</v>
      </c>
      <c r="AF116" s="37"/>
      <c r="AG11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6" s="37" t="s">
        <v>856</v>
      </c>
      <c r="AI116" s="37"/>
      <c r="AJ11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6" s="37"/>
      <c r="AL116" s="38"/>
      <c r="AM11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6" s="37" t="s">
        <v>856</v>
      </c>
      <c r="AO116" s="41"/>
      <c r="AP11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6" s="37" t="s">
        <v>856</v>
      </c>
      <c r="AR116" s="37"/>
      <c r="AS11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6" s="41" cm="1">
        <f t="array" aca="1" ref="AT116" ca="1">INDEX('SAP Customer Data'!A:Z,MATCH(بيانات_العملاء[[#This Row],[رمز شريك الأعمال]],'SAP Customer Data'!B:B,0),CELL("col",Table_Customer_Data[[#Headers],[CreateDate]]))</f>
        <v>44115</v>
      </c>
      <c r="AU116" s="37"/>
      <c r="AV116" s="41"/>
      <c r="AW116" s="37" t="s">
        <v>2097</v>
      </c>
      <c r="AX116" s="37"/>
    </row>
    <row r="117" spans="1:50" x14ac:dyDescent="0.25">
      <c r="A117" s="36" t="str" cm="1">
        <f t="array" aca="1" ref="A117" ca="1">INDEX('SAP Customer Data'!$A:$AC,MATCH(بيانات_العملاء[[#This Row],[رمز شريك الأعمال]],'SAP Customer Data'!$B:$B,0),CELL("col",Table_Customer_Data[[#Headers],[GroupName]]))</f>
        <v>CS01</v>
      </c>
      <c r="B117" s="42" t="s">
        <v>205</v>
      </c>
      <c r="C117" s="37" t="str" cm="1">
        <f t="array" aca="1" ref="C117" ca="1">INDEX('SAP Customer Data'!$A:$AC,MATCH(بيانات_العملاء[[#This Row],[رمز شريك الأعمال]],'SAP Customer Data'!$B:$B,0),CELL("col",Table_Customer_Data[[#Headers],[CardName]]))</f>
        <v>بسام عبدالعزيز عبدالله الغفيلي- الرس - نقدي</v>
      </c>
      <c r="D117" s="37" t="str">
        <f ca="1">IF(بيانات_العملاء[[#This Row],[حد الائتمان على SAP]]&gt;0,"آجل","نقدى")</f>
        <v>نقدى</v>
      </c>
      <c r="E117" s="37"/>
      <c r="F117" s="37" t="s">
        <v>1082</v>
      </c>
      <c r="G117" s="37" t="s">
        <v>856</v>
      </c>
      <c r="H11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7" s="37" t="s">
        <v>856</v>
      </c>
      <c r="J117" s="38"/>
      <c r="K117" s="37"/>
      <c r="L117" s="37" t="str">
        <f ca="1">IF(AND(بيانات_العملاء[[#This Row],[السجل التجارى]]="موجود",TODAY()+'Other Data'!$B$23&lt;J117,بيانات_العملاء[[#This Row],[مطابقة اسم العميل بالاسم بالسجل التجارى]]="مطابق"), "سارى", "يجب اعادة طلبه")</f>
        <v>يجب اعادة طلبه</v>
      </c>
      <c r="M117" s="37" t="s">
        <v>854</v>
      </c>
      <c r="N117" s="39" t="str" cm="1">
        <f t="array" aca="1" ref="N117" ca="1">INDEX('SAP Customer Data'!$A:$AC,MATCH(بيانات_العملاء[[#This Row],[رمز شريك الأعمال]],'SAP Customer Data'!$B:$B,0),CELL("col",Table_Customer_Data[[#Headers],[LicTradNum]]))</f>
        <v>310374488500003</v>
      </c>
      <c r="O11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7" s="37" t="s">
        <v>856</v>
      </c>
      <c r="Q117" s="38"/>
      <c r="R11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7" s="37" t="s">
        <v>1080</v>
      </c>
      <c r="T117" s="40"/>
      <c r="U117" s="41"/>
      <c r="V11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7" s="37" cm="1">
        <f t="array" aca="1" ref="X117" ca="1">INDEX('SAP Customer Data'!$A:$AC,MATCH(بيانات_العملاء[[#This Row],[رمز شريك الأعمال]],'SAP Customer Data'!$B:$B,0),CELL("col",Table_Customer_Data[[#Headers],[CreditLine]]))</f>
        <v>0</v>
      </c>
      <c r="Y11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7" s="37"/>
      <c r="AA11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7" s="37" t="s">
        <v>856</v>
      </c>
      <c r="AC117" s="37"/>
      <c r="AD11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7" s="37" t="s">
        <v>856</v>
      </c>
      <c r="AF117" s="37"/>
      <c r="AG11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7" s="37" t="s">
        <v>856</v>
      </c>
      <c r="AI117" s="37"/>
      <c r="AJ11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7" s="37"/>
      <c r="AL117" s="38"/>
      <c r="AM11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7" s="37" t="s">
        <v>856</v>
      </c>
      <c r="AO117" s="41"/>
      <c r="AP11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7" s="37" t="s">
        <v>856</v>
      </c>
      <c r="AR117" s="37"/>
      <c r="AS11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7" s="41" cm="1">
        <f t="array" aca="1" ref="AT117" ca="1">INDEX('SAP Customer Data'!A:Z,MATCH(بيانات_العملاء[[#This Row],[رمز شريك الأعمال]],'SAP Customer Data'!B:B,0),CELL("col",Table_Customer_Data[[#Headers],[CreateDate]]))</f>
        <v>43581</v>
      </c>
      <c r="AU117" s="37"/>
      <c r="AV117" s="41"/>
      <c r="AW117" s="37" t="s">
        <v>2097</v>
      </c>
      <c r="AX117" s="37"/>
    </row>
    <row r="118" spans="1:50" x14ac:dyDescent="0.25">
      <c r="A118" s="36" t="str" cm="1">
        <f t="array" aca="1" ref="A118" ca="1">INDEX('SAP Customer Data'!$A:$AC,MATCH(بيانات_العملاء[[#This Row],[رمز شريك الأعمال]],'SAP Customer Data'!$B:$B,0),CELL("col",Table_Customer_Data[[#Headers],[GroupName]]))</f>
        <v>CS01</v>
      </c>
      <c r="B118" s="42" t="s">
        <v>210</v>
      </c>
      <c r="C118" s="37" t="str" cm="1">
        <f t="array" aca="1" ref="C118" ca="1">INDEX('SAP Customer Data'!$A:$AC,MATCH(بيانات_العملاء[[#This Row],[رمز شريك الأعمال]],'SAP Customer Data'!$B:$B,0),CELL("col",Table_Customer_Data[[#Headers],[CardName]]))</f>
        <v>مؤسسة استقرار الطاقة للتجارة -نقدي</v>
      </c>
      <c r="D118" s="37" t="str">
        <f ca="1">IF(بيانات_العملاء[[#This Row],[حد الائتمان على SAP]]&gt;0,"آجل","نقدى")</f>
        <v>نقدى</v>
      </c>
      <c r="E118" s="37"/>
      <c r="F118" s="37" t="s">
        <v>1082</v>
      </c>
      <c r="G118" s="37" t="s">
        <v>856</v>
      </c>
      <c r="H11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8" s="37" t="s">
        <v>856</v>
      </c>
      <c r="J118" s="38"/>
      <c r="K118" s="37"/>
      <c r="L118" s="37" t="str">
        <f ca="1">IF(AND(بيانات_العملاء[[#This Row],[السجل التجارى]]="موجود",TODAY()+'Other Data'!$B$23&lt;J118,بيانات_العملاء[[#This Row],[مطابقة اسم العميل بالاسم بالسجل التجارى]]="مطابق"), "سارى", "يجب اعادة طلبه")</f>
        <v>يجب اعادة طلبه</v>
      </c>
      <c r="M118" s="37" t="s">
        <v>854</v>
      </c>
      <c r="N118" s="39" t="str" cm="1">
        <f t="array" aca="1" ref="N118" ca="1">INDEX('SAP Customer Data'!$A:$AC,MATCH(بيانات_العملاء[[#This Row],[رمز شريك الأعمال]],'SAP Customer Data'!$B:$B,0),CELL("col",Table_Customer_Data[[#Headers],[LicTradNum]]))</f>
        <v>310714536800003</v>
      </c>
      <c r="O11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8" s="37" t="s">
        <v>856</v>
      </c>
      <c r="Q118" s="38"/>
      <c r="R11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8" s="37" t="s">
        <v>1080</v>
      </c>
      <c r="T118" s="40"/>
      <c r="U118" s="41"/>
      <c r="V11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8" s="37" cm="1">
        <f t="array" aca="1" ref="X118" ca="1">INDEX('SAP Customer Data'!$A:$AC,MATCH(بيانات_العملاء[[#This Row],[رمز شريك الأعمال]],'SAP Customer Data'!$B:$B,0),CELL("col",Table_Customer_Data[[#Headers],[CreditLine]]))</f>
        <v>0</v>
      </c>
      <c r="Y11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8" s="37"/>
      <c r="AA11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8" s="37" t="s">
        <v>856</v>
      </c>
      <c r="AC118" s="37"/>
      <c r="AD11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8" s="37" t="s">
        <v>856</v>
      </c>
      <c r="AF118" s="37"/>
      <c r="AG11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8" s="37" t="s">
        <v>856</v>
      </c>
      <c r="AI118" s="37"/>
      <c r="AJ11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8" s="37"/>
      <c r="AL118" s="38"/>
      <c r="AM11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8" s="37" t="s">
        <v>856</v>
      </c>
      <c r="AO118" s="41"/>
      <c r="AP11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8" s="37" t="s">
        <v>856</v>
      </c>
      <c r="AR118" s="37"/>
      <c r="AS11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8" s="41" cm="1">
        <f t="array" aca="1" ref="AT118" ca="1">INDEX('SAP Customer Data'!A:Z,MATCH(بيانات_العملاء[[#This Row],[رمز شريك الأعمال]],'SAP Customer Data'!B:B,0),CELL("col",Table_Customer_Data[[#Headers],[CreateDate]]))</f>
        <v>44298</v>
      </c>
      <c r="AU118" s="37"/>
      <c r="AV118" s="41"/>
      <c r="AW118" s="37" t="s">
        <v>2097</v>
      </c>
      <c r="AX118" s="37"/>
    </row>
    <row r="119" spans="1:50" x14ac:dyDescent="0.25">
      <c r="A119" s="36" t="str" cm="1">
        <f t="array" aca="1" ref="A119" ca="1">INDEX('SAP Customer Data'!$A:$AC,MATCH(بيانات_العملاء[[#This Row],[رمز شريك الأعمال]],'SAP Customer Data'!$B:$B,0),CELL("col",Table_Customer_Data[[#Headers],[GroupName]]))</f>
        <v>CS01</v>
      </c>
      <c r="B119" s="42" t="s">
        <v>539</v>
      </c>
      <c r="C119" s="37" t="str" cm="1">
        <f t="array" aca="1" ref="C119" ca="1">INDEX('SAP Customer Data'!$A:$AC,MATCH(بيانات_العملاء[[#This Row],[رمز شريك الأعمال]],'SAP Customer Data'!$B:$B,0),CELL("col",Table_Customer_Data[[#Headers],[CardName]]))</f>
        <v>محل شريفة سليمان محمد الدخيل للتجارة  - نقدي</v>
      </c>
      <c r="D119" s="37" t="str">
        <f ca="1">IF(بيانات_العملاء[[#This Row],[حد الائتمان على SAP]]&gt;0,"آجل","نقدى")</f>
        <v>نقدى</v>
      </c>
      <c r="E119" s="37"/>
      <c r="F119" s="37" t="s">
        <v>1082</v>
      </c>
      <c r="G119" s="37" t="s">
        <v>856</v>
      </c>
      <c r="H11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19" s="37" t="s">
        <v>856</v>
      </c>
      <c r="J119" s="38"/>
      <c r="K119" s="37"/>
      <c r="L119" s="37" t="str">
        <f ca="1">IF(AND(بيانات_العملاء[[#This Row],[السجل التجارى]]="موجود",TODAY()+'Other Data'!$B$23&lt;J119,بيانات_العملاء[[#This Row],[مطابقة اسم العميل بالاسم بالسجل التجارى]]="مطابق"), "سارى", "يجب اعادة طلبه")</f>
        <v>يجب اعادة طلبه</v>
      </c>
      <c r="M119" s="37" t="s">
        <v>854</v>
      </c>
      <c r="N119" s="39" t="str" cm="1">
        <f t="array" aca="1" ref="N119" ca="1">INDEX('SAP Customer Data'!$A:$AC,MATCH(بيانات_العملاء[[#This Row],[رمز شريك الأعمال]],'SAP Customer Data'!$B:$B,0),CELL("col",Table_Customer_Data[[#Headers],[LicTradNum]]))</f>
        <v>310834631500003</v>
      </c>
      <c r="O11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19" s="37" t="s">
        <v>856</v>
      </c>
      <c r="Q119" s="38"/>
      <c r="R11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19" s="37" t="s">
        <v>1080</v>
      </c>
      <c r="T119" s="40"/>
      <c r="U119" s="41"/>
      <c r="V11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1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19" s="37" cm="1">
        <f t="array" aca="1" ref="X119" ca="1">INDEX('SAP Customer Data'!$A:$AC,MATCH(بيانات_العملاء[[#This Row],[رمز شريك الأعمال]],'SAP Customer Data'!$B:$B,0),CELL("col",Table_Customer_Data[[#Headers],[CreditLine]]))</f>
        <v>0</v>
      </c>
      <c r="Y11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19" s="37"/>
      <c r="AA11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19" s="37" t="s">
        <v>856</v>
      </c>
      <c r="AC119" s="37"/>
      <c r="AD11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19" s="37" t="s">
        <v>856</v>
      </c>
      <c r="AF119" s="37"/>
      <c r="AG11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19" s="37" t="s">
        <v>856</v>
      </c>
      <c r="AI119" s="37"/>
      <c r="AJ11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19" s="37"/>
      <c r="AL119" s="38"/>
      <c r="AM11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19" s="37" t="s">
        <v>856</v>
      </c>
      <c r="AO119" s="41"/>
      <c r="AP11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19" s="37" t="s">
        <v>856</v>
      </c>
      <c r="AR119" s="37"/>
      <c r="AS11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19" s="41" cm="1">
        <f t="array" aca="1" ref="AT119" ca="1">INDEX('SAP Customer Data'!A:Z,MATCH(بيانات_العملاء[[#This Row],[رمز شريك الأعمال]],'SAP Customer Data'!B:B,0),CELL("col",Table_Customer_Data[[#Headers],[CreateDate]]))</f>
        <v>44531</v>
      </c>
      <c r="AU119" s="37"/>
      <c r="AV119" s="41"/>
      <c r="AW119" s="37" t="s">
        <v>2097</v>
      </c>
      <c r="AX119" s="37"/>
    </row>
    <row r="120" spans="1:50" x14ac:dyDescent="0.25">
      <c r="A120" s="36" t="str" cm="1">
        <f t="array" aca="1" ref="A120" ca="1">INDEX('SAP Customer Data'!$A:$AC,MATCH(بيانات_العملاء[[#This Row],[رمز شريك الأعمال]],'SAP Customer Data'!$B:$B,0),CELL("col",Table_Customer_Data[[#Headers],[GroupName]]))</f>
        <v>CS01</v>
      </c>
      <c r="B120" s="42" t="s">
        <v>566</v>
      </c>
      <c r="C120" s="37" t="str" cm="1">
        <f t="array" aca="1" ref="C120" ca="1">INDEX('SAP Customer Data'!$A:$AC,MATCH(بيانات_العملاء[[#This Row],[رمز شريك الأعمال]],'SAP Customer Data'!$B:$B,0),CELL("col",Table_Customer_Data[[#Headers],[CardName]]))</f>
        <v>شركة العبودي للاجهزة المنزلية والالكترونية-نقدي</v>
      </c>
      <c r="D120" s="37" t="str">
        <f ca="1">IF(بيانات_العملاء[[#This Row],[حد الائتمان على SAP]]&gt;0,"آجل","نقدى")</f>
        <v>نقدى</v>
      </c>
      <c r="E120" s="37"/>
      <c r="F120" s="37" t="s">
        <v>1082</v>
      </c>
      <c r="G120" s="37" t="s">
        <v>856</v>
      </c>
      <c r="H12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20" s="37" t="s">
        <v>856</v>
      </c>
      <c r="J120" s="38"/>
      <c r="K120" s="37"/>
      <c r="L120" s="37" t="str">
        <f ca="1">IF(AND(بيانات_العملاء[[#This Row],[السجل التجارى]]="موجود",TODAY()+'Other Data'!$B$23&lt;J120,بيانات_العملاء[[#This Row],[مطابقة اسم العميل بالاسم بالسجل التجارى]]="مطابق"), "سارى", "يجب اعادة طلبه")</f>
        <v>يجب اعادة طلبه</v>
      </c>
      <c r="M120" s="37" t="s">
        <v>854</v>
      </c>
      <c r="N120" s="39" t="str" cm="1">
        <f t="array" aca="1" ref="N120" ca="1">INDEX('SAP Customer Data'!$A:$AC,MATCH(بيانات_العملاء[[#This Row],[رمز شريك الأعمال]],'SAP Customer Data'!$B:$B,0),CELL("col",Table_Customer_Data[[#Headers],[LicTradNum]]))</f>
        <v>310892909800003</v>
      </c>
      <c r="O12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0" s="37" t="s">
        <v>856</v>
      </c>
      <c r="Q120" s="38"/>
      <c r="R12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20" s="37" t="s">
        <v>1080</v>
      </c>
      <c r="T120" s="40"/>
      <c r="U120" s="41"/>
      <c r="V12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20" s="37" cm="1">
        <f t="array" aca="1" ref="X120" ca="1">INDEX('SAP Customer Data'!$A:$AC,MATCH(بيانات_العملاء[[#This Row],[رمز شريك الأعمال]],'SAP Customer Data'!$B:$B,0),CELL("col",Table_Customer_Data[[#Headers],[CreditLine]]))</f>
        <v>0</v>
      </c>
      <c r="Y12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0" s="37"/>
      <c r="AA12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20" s="37" t="s">
        <v>856</v>
      </c>
      <c r="AC120" s="37"/>
      <c r="AD12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0" s="37" t="s">
        <v>856</v>
      </c>
      <c r="AF120" s="37"/>
      <c r="AG12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0" s="37" t="s">
        <v>856</v>
      </c>
      <c r="AI120" s="37"/>
      <c r="AJ12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0" s="37"/>
      <c r="AL120" s="38"/>
      <c r="AM12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0" s="37" t="s">
        <v>856</v>
      </c>
      <c r="AO120" s="41"/>
      <c r="AP12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0" s="37" t="s">
        <v>856</v>
      </c>
      <c r="AR120" s="37"/>
      <c r="AS12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0" s="41" cm="1">
        <f t="array" aca="1" ref="AT120" ca="1">INDEX('SAP Customer Data'!A:Z,MATCH(بيانات_العملاء[[#This Row],[رمز شريك الأعمال]],'SAP Customer Data'!B:B,0),CELL("col",Table_Customer_Data[[#Headers],[CreateDate]]))</f>
        <v>44550</v>
      </c>
      <c r="AU120" s="37"/>
      <c r="AV120" s="41"/>
      <c r="AW120" s="37" t="s">
        <v>2097</v>
      </c>
      <c r="AX120" s="37"/>
    </row>
    <row r="121" spans="1:50" x14ac:dyDescent="0.25">
      <c r="A121" s="36" t="str" cm="1">
        <f t="array" aca="1" ref="A121" ca="1">INDEX('SAP Customer Data'!$A:$AC,MATCH(بيانات_العملاء[[#This Row],[رمز شريك الأعمال]],'SAP Customer Data'!$B:$B,0),CELL("col",Table_Customer_Data[[#Headers],[GroupName]]))</f>
        <v>CS01</v>
      </c>
      <c r="B121" s="42" t="s">
        <v>270</v>
      </c>
      <c r="C121" s="37" t="str" cm="1">
        <f t="array" aca="1" ref="C121" ca="1">INDEX('SAP Customer Data'!$A:$AC,MATCH(بيانات_العملاء[[#This Row],[رمز شريك الأعمال]],'SAP Customer Data'!$B:$B,0),CELL("col",Table_Customer_Data[[#Headers],[CardName]]))</f>
        <v>شركة التاج المضيئ للمقاولات - نقدي</v>
      </c>
      <c r="D121" s="37" t="str">
        <f ca="1">IF(بيانات_العملاء[[#This Row],[حد الائتمان على SAP]]&gt;0,"آجل","نقدى")</f>
        <v>نقدى</v>
      </c>
      <c r="E121" s="37"/>
      <c r="F121" s="37" t="s">
        <v>1082</v>
      </c>
      <c r="G121" s="37" t="s">
        <v>856</v>
      </c>
      <c r="H12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21" s="37" t="s">
        <v>856</v>
      </c>
      <c r="J121" s="38"/>
      <c r="K121" s="37"/>
      <c r="L121" s="37" t="str">
        <f ca="1">IF(AND(بيانات_العملاء[[#This Row],[السجل التجارى]]="موجود",TODAY()+'Other Data'!$B$23&lt;J121,بيانات_العملاء[[#This Row],[مطابقة اسم العميل بالاسم بالسجل التجارى]]="مطابق"), "سارى", "يجب اعادة طلبه")</f>
        <v>يجب اعادة طلبه</v>
      </c>
      <c r="M121" s="37" t="s">
        <v>854</v>
      </c>
      <c r="N121" s="39" t="str" cm="1">
        <f t="array" aca="1" ref="N121" ca="1">INDEX('SAP Customer Data'!$A:$AC,MATCH(بيانات_العملاء[[#This Row],[رمز شريك الأعمال]],'SAP Customer Data'!$B:$B,0),CELL("col",Table_Customer_Data[[#Headers],[LicTradNum]]))</f>
        <v>311077626500003</v>
      </c>
      <c r="O12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1" s="37" t="s">
        <v>856</v>
      </c>
      <c r="Q121" s="38"/>
      <c r="R12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21" s="37" t="s">
        <v>1080</v>
      </c>
      <c r="T121" s="40"/>
      <c r="U121" s="41"/>
      <c r="V12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21" s="37" cm="1">
        <f t="array" aca="1" ref="X121" ca="1">INDEX('SAP Customer Data'!$A:$AC,MATCH(بيانات_العملاء[[#This Row],[رمز شريك الأعمال]],'SAP Customer Data'!$B:$B,0),CELL("col",Table_Customer_Data[[#Headers],[CreditLine]]))</f>
        <v>0</v>
      </c>
      <c r="Y12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1" s="37"/>
      <c r="AA12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21" s="37" t="s">
        <v>856</v>
      </c>
      <c r="AC121" s="37"/>
      <c r="AD12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1" s="37" t="s">
        <v>856</v>
      </c>
      <c r="AF121" s="37"/>
      <c r="AG12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1" s="37" t="s">
        <v>856</v>
      </c>
      <c r="AI121" s="37"/>
      <c r="AJ12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1" s="37"/>
      <c r="AL121" s="38"/>
      <c r="AM12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1" s="37" t="s">
        <v>856</v>
      </c>
      <c r="AO121" s="41"/>
      <c r="AP12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1" s="37" t="s">
        <v>856</v>
      </c>
      <c r="AR121" s="37"/>
      <c r="AS12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1" s="41" cm="1">
        <f t="array" aca="1" ref="AT121" ca="1">INDEX('SAP Customer Data'!A:Z,MATCH(بيانات_العملاء[[#This Row],[رمز شريك الأعمال]],'SAP Customer Data'!B:B,0),CELL("col",Table_Customer_Data[[#Headers],[CreateDate]]))</f>
        <v>44054</v>
      </c>
      <c r="AU121" s="37"/>
      <c r="AV121" s="41"/>
      <c r="AW121" s="37" t="s">
        <v>2097</v>
      </c>
      <c r="AX121" s="37"/>
    </row>
    <row r="122" spans="1:50" x14ac:dyDescent="0.25">
      <c r="A122" s="22" t="str" cm="1">
        <f t="array" aca="1" ref="A122" ca="1">INDEX('SAP Customer Data'!$A:$AC,MATCH(بيانات_العملاء[[#This Row],[رمز شريك الأعمال]],'SAP Customer Data'!$B:$B,0),CELL("col",Table_Customer_Data[[#Headers],[GroupName]]))</f>
        <v>CS03</v>
      </c>
      <c r="B122" s="23" t="s">
        <v>422</v>
      </c>
      <c r="C122" s="24" t="str" cm="1">
        <f t="array" aca="1" ref="C122" ca="1">INDEX('SAP Customer Data'!$A:$AC,MATCH(بيانات_العملاء[[#This Row],[رمز شريك الأعمال]],'SAP Customer Data'!$B:$B,0),CELL("col",Table_Customer_Data[[#Headers],[CardName]]))</f>
        <v>شركة زعيم الانارة للتجارة</v>
      </c>
      <c r="D122" s="24" t="str">
        <f ca="1">IF(بيانات_العملاء[[#This Row],[حد الائتمان على SAP]]&gt;0,"آجل","نقدى")</f>
        <v>آجل</v>
      </c>
      <c r="E122" s="24"/>
      <c r="F122" s="24" t="s">
        <v>908</v>
      </c>
      <c r="G122" s="24" t="s">
        <v>854</v>
      </c>
      <c r="H122" s="24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22" s="24" t="s">
        <v>854</v>
      </c>
      <c r="J122" s="25">
        <v>45665</v>
      </c>
      <c r="K122" s="24" t="s">
        <v>855</v>
      </c>
      <c r="L122" s="24" t="str">
        <f ca="1">IF(AND(بيانات_العملاء[[#This Row],[السجل التجارى]]="موجود",TODAY()+'Other Data'!$B$23&lt;J122,بيانات_العملاء[[#This Row],[مطابقة اسم العميل بالاسم بالسجل التجارى]]="مطابق"), "سارى", "يجب اعادة طلبه")</f>
        <v>سارى</v>
      </c>
      <c r="M122" s="24" t="s">
        <v>854</v>
      </c>
      <c r="N122" s="26" t="str" cm="1">
        <f t="array" aca="1" ref="N122" ca="1">INDEX('SAP Customer Data'!$A:$AC,MATCH(بيانات_العملاء[[#This Row],[رمز شريك الأعمال]],'SAP Customer Data'!$B:$B,0),CELL("col",Table_Customer_Data[[#Headers],[LicTradNum]]))</f>
        <v>311191051300003</v>
      </c>
      <c r="O122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2" s="15" t="s">
        <v>854</v>
      </c>
      <c r="Q122" s="25">
        <v>44868</v>
      </c>
      <c r="R122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22" s="15" t="s">
        <v>856</v>
      </c>
      <c r="T122" s="27"/>
      <c r="U122" s="11"/>
      <c r="V122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22" s="24" cm="1">
        <f t="array" aca="1" ref="X122" ca="1">INDEX('SAP Customer Data'!$A:$AC,MATCH(بيانات_العملاء[[#This Row],[رمز شريك الأعمال]],'SAP Customer Data'!$B:$B,0),CELL("col",Table_Customer_Data[[#Headers],[CreditLine]]))</f>
        <v>80000</v>
      </c>
      <c r="Y12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122" s="37"/>
      <c r="AA12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22" s="15" t="s">
        <v>856</v>
      </c>
      <c r="AC122" s="24"/>
      <c r="AD122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2" s="15" t="s">
        <v>856</v>
      </c>
      <c r="AF122" s="24"/>
      <c r="AG122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2" s="15" t="s">
        <v>856</v>
      </c>
      <c r="AI122" s="24"/>
      <c r="AJ122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2" s="24"/>
      <c r="AL122" s="25"/>
      <c r="AM122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2" s="15" t="s">
        <v>854</v>
      </c>
      <c r="AO122" s="11">
        <v>44722</v>
      </c>
      <c r="AP122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2" s="15" t="s">
        <v>856</v>
      </c>
      <c r="AR122" s="24"/>
      <c r="AS122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2" s="11" cm="1">
        <f t="array" aca="1" ref="AT122" ca="1">INDEX('SAP Customer Data'!A:Z,MATCH(بيانات_العملاء[[#This Row],[رمز شريك الأعمال]],'SAP Customer Data'!B:B,0),CELL("col",Table_Customer_Data[[#Headers],[CreateDate]]))</f>
        <v>44264</v>
      </c>
      <c r="AU122" s="82" t="s">
        <v>2408</v>
      </c>
      <c r="AV122" s="33" t="s">
        <v>920</v>
      </c>
      <c r="AW122" s="24" t="s">
        <v>2096</v>
      </c>
      <c r="AX122" s="24"/>
    </row>
    <row r="123" spans="1:50" x14ac:dyDescent="0.25">
      <c r="A123" s="36" t="str" cm="1">
        <f t="array" aca="1" ref="A123" ca="1">INDEX('SAP Customer Data'!$A:$AC,MATCH(بيانات_العملاء[[#This Row],[رمز شريك الأعمال]],'SAP Customer Data'!$B:$B,0),CELL("col",Table_Customer_Data[[#Headers],[GroupName]]))</f>
        <v>CS03</v>
      </c>
      <c r="B123" s="35" t="s">
        <v>236</v>
      </c>
      <c r="C123" s="37" t="str" cm="1">
        <f t="array" aca="1" ref="C123" ca="1">INDEX('SAP Customer Data'!$A:$AC,MATCH(بيانات_العملاء[[#This Row],[رمز شريك الأعمال]],'SAP Customer Data'!$B:$B,0),CELL("col",Table_Customer_Data[[#Headers],[CardName]]))</f>
        <v>مؤسسة بيت الاناره للتجارة</v>
      </c>
      <c r="D123" s="37" t="str">
        <f ca="1">IF(بيانات_العملاء[[#This Row],[حد الائتمان على SAP]]&gt;0,"آجل","نقدى")</f>
        <v>آجل</v>
      </c>
      <c r="E123" s="37" t="s">
        <v>2059</v>
      </c>
      <c r="F123" s="37" t="s">
        <v>1081</v>
      </c>
      <c r="G123" s="37" t="s">
        <v>854</v>
      </c>
      <c r="H12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23" s="37" t="s">
        <v>854</v>
      </c>
      <c r="J123" s="38">
        <v>45215</v>
      </c>
      <c r="K123" s="37" t="s">
        <v>855</v>
      </c>
      <c r="L123" s="37" t="str">
        <f ca="1">IF(AND(بيانات_العملاء[[#This Row],[السجل التجارى]]="موجود",TODAY()+'Other Data'!$B$23&lt;J123,بيانات_العملاء[[#This Row],[مطابقة اسم العميل بالاسم بالسجل التجارى]]="مطابق"), "سارى", "يجب اعادة طلبه")</f>
        <v>يجب اعادة طلبه</v>
      </c>
      <c r="M123" s="37" t="s">
        <v>854</v>
      </c>
      <c r="N123" s="39" t="str" cm="1">
        <f t="array" aca="1" ref="N123" ca="1">INDEX('SAP Customer Data'!$A:$AC,MATCH(بيانات_العملاء[[#This Row],[رمز شريك الأعمال]],'SAP Customer Data'!$B:$B,0),CELL("col",Table_Customer_Data[[#Headers],[LicTradNum]]))</f>
        <v>311011876800003</v>
      </c>
      <c r="O12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3" s="37" t="s">
        <v>854</v>
      </c>
      <c r="Q123" s="38">
        <v>44817</v>
      </c>
      <c r="R12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23" s="37" t="s">
        <v>854</v>
      </c>
      <c r="T123" s="40">
        <v>100000</v>
      </c>
      <c r="U123" s="41"/>
      <c r="V12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23" s="37" cm="1">
        <f t="array" aca="1" ref="X123" ca="1">INDEX('SAP Customer Data'!$A:$AC,MATCH(بيانات_العملاء[[#This Row],[رمز شريك الأعمال]],'SAP Customer Data'!$B:$B,0),CELL("col",Table_Customer_Data[[#Headers],[CreditLine]]))</f>
        <v>80000</v>
      </c>
      <c r="Y12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3" s="37" t="s">
        <v>855</v>
      </c>
      <c r="AA12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23" s="37" t="s">
        <v>854</v>
      </c>
      <c r="AC123" s="41">
        <v>44728</v>
      </c>
      <c r="AD12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3" s="37" t="s">
        <v>856</v>
      </c>
      <c r="AF123" s="37"/>
      <c r="AG12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3" s="37" t="s">
        <v>856</v>
      </c>
      <c r="AI123" s="37"/>
      <c r="AJ12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3" s="37" t="s">
        <v>856</v>
      </c>
      <c r="AL123" s="38"/>
      <c r="AM12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3" s="37" t="s">
        <v>854</v>
      </c>
      <c r="AO123" s="41"/>
      <c r="AP12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3" s="37" t="s">
        <v>856</v>
      </c>
      <c r="AR123" s="37"/>
      <c r="AS12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3" s="41" cm="1">
        <f t="array" aca="1" ref="AT123" ca="1">INDEX('SAP Customer Data'!A:Z,MATCH(بيانات_العملاء[[#This Row],[رمز شريك الأعمال]],'SAP Customer Data'!B:B,0),CELL("col",Table_Customer_Data[[#Headers],[CreateDate]]))</f>
        <v>44838</v>
      </c>
      <c r="AU123" s="37"/>
      <c r="AV123" s="41"/>
      <c r="AW123" s="37" t="s">
        <v>2097</v>
      </c>
      <c r="AX123" s="37"/>
    </row>
    <row r="124" spans="1:50" x14ac:dyDescent="0.25">
      <c r="A124" s="36" t="str" cm="1">
        <f t="array" aca="1" ref="A124" ca="1">INDEX('SAP Customer Data'!$A:$AC,MATCH(بيانات_العملاء[[#This Row],[رمز شريك الأعمال]],'SAP Customer Data'!$B:$B,0),CELL("col",Table_Customer_Data[[#Headers],[GroupName]]))</f>
        <v>CS03</v>
      </c>
      <c r="B124" s="35" t="s">
        <v>243</v>
      </c>
      <c r="C124" s="37" t="str" cm="1">
        <f t="array" aca="1" ref="C124" ca="1">INDEX('SAP Customer Data'!$A:$AC,MATCH(بيانات_العملاء[[#This Row],[رمز شريك الأعمال]],'SAP Customer Data'!$B:$B,0),CELL("col",Table_Customer_Data[[#Headers],[CardName]]))</f>
        <v>مؤسسة انوار العاصمة للتجارة</v>
      </c>
      <c r="D124" s="37" t="str">
        <f ca="1">IF(بيانات_العملاء[[#This Row],[حد الائتمان على SAP]]&gt;0,"آجل","نقدى")</f>
        <v>آجل</v>
      </c>
      <c r="E124" s="37" t="s">
        <v>2060</v>
      </c>
      <c r="F124" s="37" t="s">
        <v>1081</v>
      </c>
      <c r="G124" s="37" t="s">
        <v>854</v>
      </c>
      <c r="H12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24" s="37" t="s">
        <v>854</v>
      </c>
      <c r="J124" s="38">
        <v>45907</v>
      </c>
      <c r="K124" s="37" t="s">
        <v>855</v>
      </c>
      <c r="L124" s="37" t="str">
        <f ca="1">IF(AND(بيانات_العملاء[[#This Row],[السجل التجارى]]="موجود",TODAY()+'Other Data'!$B$23&lt;J124,بيانات_العملاء[[#This Row],[مطابقة اسم العميل بالاسم بالسجل التجارى]]="مطابق"), "سارى", "يجب اعادة طلبه")</f>
        <v>سارى</v>
      </c>
      <c r="M124" s="37" t="s">
        <v>854</v>
      </c>
      <c r="N124" s="39" t="str" cm="1">
        <f t="array" aca="1" ref="N124" ca="1">INDEX('SAP Customer Data'!$A:$AC,MATCH(بيانات_العملاء[[#This Row],[رمز شريك الأعمال]],'SAP Customer Data'!$B:$B,0),CELL("col",Table_Customer_Data[[#Headers],[LicTradNum]]))</f>
        <v>300095531500003</v>
      </c>
      <c r="O12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4" s="37" t="s">
        <v>854</v>
      </c>
      <c r="Q124" s="38">
        <v>44934</v>
      </c>
      <c r="R12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24" s="37" t="s">
        <v>1075</v>
      </c>
      <c r="T124" s="40">
        <v>15000</v>
      </c>
      <c r="U124" s="41"/>
      <c r="V12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15000</v>
      </c>
      <c r="X124" s="37" cm="1">
        <f t="array" aca="1" ref="X124" ca="1">INDEX('SAP Customer Data'!$A:$AC,MATCH(بيانات_العملاء[[#This Row],[رمز شريك الأعمال]],'SAP Customer Data'!$B:$B,0),CELL("col",Table_Customer_Data[[#Headers],[CreditLine]]))</f>
        <v>15000</v>
      </c>
      <c r="Y12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4" s="37"/>
      <c r="AA12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24" s="37" t="s">
        <v>856</v>
      </c>
      <c r="AC124" s="37"/>
      <c r="AD12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4" s="37" t="s">
        <v>856</v>
      </c>
      <c r="AF124" s="37"/>
      <c r="AG12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4" s="37" t="s">
        <v>856</v>
      </c>
      <c r="AI124" s="37"/>
      <c r="AJ12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4" s="37" t="s">
        <v>856</v>
      </c>
      <c r="AL124" s="38"/>
      <c r="AM12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4" s="37" t="s">
        <v>856</v>
      </c>
      <c r="AO124" s="41"/>
      <c r="AP12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4" s="37" t="s">
        <v>856</v>
      </c>
      <c r="AR124" s="37"/>
      <c r="AS12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4" s="41" cm="1">
        <f t="array" aca="1" ref="AT124" ca="1">INDEX('SAP Customer Data'!A:Z,MATCH(بيانات_العملاء[[#This Row],[رمز شريك الأعمال]],'SAP Customer Data'!B:B,0),CELL("col",Table_Customer_Data[[#Headers],[CreateDate]]))</f>
        <v>44546</v>
      </c>
      <c r="AU124" s="37"/>
      <c r="AV124" s="41"/>
      <c r="AW124" s="37" t="s">
        <v>2097</v>
      </c>
      <c r="AX124" s="37"/>
    </row>
    <row r="125" spans="1:50" x14ac:dyDescent="0.25">
      <c r="A125" s="36" t="str" cm="1">
        <f t="array" aca="1" ref="A125" ca="1">INDEX('SAP Customer Data'!$A:$AC,MATCH(بيانات_العملاء[[#This Row],[رمز شريك الأعمال]],'SAP Customer Data'!$B:$B,0),CELL("col",Table_Customer_Data[[#Headers],[GroupName]]))</f>
        <v>CS03</v>
      </c>
      <c r="B125" s="35" t="s">
        <v>244</v>
      </c>
      <c r="C125" s="37" t="str" cm="1">
        <f t="array" aca="1" ref="C125" ca="1">INDEX('SAP Customer Data'!$A:$AC,MATCH(بيانات_العملاء[[#This Row],[رمز شريك الأعمال]],'SAP Customer Data'!$B:$B,0),CELL("col",Table_Customer_Data[[#Headers],[CardName]]))</f>
        <v>شركة أعمال المرسلات التجارية-حي العارض</v>
      </c>
      <c r="D125" s="37" t="str">
        <f ca="1">IF(بيانات_العملاء[[#This Row],[حد الائتمان على SAP]]&gt;0,"آجل","نقدى")</f>
        <v>آجل</v>
      </c>
      <c r="E125" s="37"/>
      <c r="F125" s="37" t="s">
        <v>908</v>
      </c>
      <c r="G125" s="37" t="s">
        <v>854</v>
      </c>
      <c r="H12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25" s="37" t="s">
        <v>854</v>
      </c>
      <c r="J125" s="38">
        <v>45071</v>
      </c>
      <c r="K125" s="37" t="s">
        <v>855</v>
      </c>
      <c r="L125" s="37" t="str">
        <f ca="1">IF(AND(بيانات_العملاء[[#This Row],[السجل التجارى]]="موجود",TODAY()+'Other Data'!$B$23&lt;J125,بيانات_العملاء[[#This Row],[مطابقة اسم العميل بالاسم بالسجل التجارى]]="مطابق"), "سارى", "يجب اعادة طلبه")</f>
        <v>يجب اعادة طلبه</v>
      </c>
      <c r="M125" s="37" t="s">
        <v>854</v>
      </c>
      <c r="N125" s="39" t="str" cm="1">
        <f t="array" aca="1" ref="N125" ca="1">INDEX('SAP Customer Data'!$A:$AC,MATCH(بيانات_العملاء[[#This Row],[رمز شريك الأعمال]],'SAP Customer Data'!$B:$B,0),CELL("col",Table_Customer_Data[[#Headers],[LicTradNum]]))</f>
        <v>311078324700003</v>
      </c>
      <c r="O12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5" s="37" t="s">
        <v>856</v>
      </c>
      <c r="Q125" s="38"/>
      <c r="R12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25" s="37" t="s">
        <v>1075</v>
      </c>
      <c r="T125" s="40" cm="1">
        <f t="array" aca="1" ref="T125" ca="1">INDEX('SAP Customer Data'!$A:$AC,MATCH(بيانات_العملاء[[#This Row],[رمز شريك الأعمال]],'SAP Customer Data'!$B:$B,0),CELL("col",Table_Customer_Data[[#Headers],[CreditLine]]))</f>
        <v>9000</v>
      </c>
      <c r="U125" s="41"/>
      <c r="V12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5" s="37">
        <f ca="1"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9000</v>
      </c>
      <c r="X125" s="37" cm="1">
        <f t="array" aca="1" ref="X125" ca="1">INDEX('SAP Customer Data'!$A:$AC,MATCH(بيانات_العملاء[[#This Row],[رمز شريك الأعمال]],'SAP Customer Data'!$B:$B,0),CELL("col",Table_Customer_Data[[#Headers],[CreditLine]]))</f>
        <v>9000</v>
      </c>
      <c r="Y12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5" s="37"/>
      <c r="AA12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25" s="37" t="s">
        <v>856</v>
      </c>
      <c r="AC125" s="37"/>
      <c r="AD12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5" s="37" t="s">
        <v>856</v>
      </c>
      <c r="AF125" s="37"/>
      <c r="AG12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5" s="37" t="s">
        <v>856</v>
      </c>
      <c r="AI125" s="37"/>
      <c r="AJ12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5" s="37" t="s">
        <v>856</v>
      </c>
      <c r="AL125" s="38"/>
      <c r="AM12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5" s="37" t="s">
        <v>856</v>
      </c>
      <c r="AO125" s="41"/>
      <c r="AP12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5" s="37" t="s">
        <v>856</v>
      </c>
      <c r="AR125" s="37"/>
      <c r="AS12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5" s="41" cm="1">
        <f t="array" aca="1" ref="AT125" ca="1">INDEX('SAP Customer Data'!A:Z,MATCH(بيانات_العملاء[[#This Row],[رمز شريك الأعمال]],'SAP Customer Data'!B:B,0),CELL("col",Table_Customer_Data[[#Headers],[CreateDate]]))</f>
        <v>44819</v>
      </c>
      <c r="AU125" s="37"/>
      <c r="AV125" s="41"/>
      <c r="AW125" s="37" t="s">
        <v>2096</v>
      </c>
      <c r="AX125" s="37"/>
    </row>
    <row r="126" spans="1:50" x14ac:dyDescent="0.25">
      <c r="A126" s="36" t="str" cm="1">
        <f t="array" aca="1" ref="A126" ca="1">INDEX('SAP Customer Data'!$A:$AC,MATCH(بيانات_العملاء[[#This Row],[رمز شريك الأعمال]],'SAP Customer Data'!$B:$B,0),CELL("col",Table_Customer_Data[[#Headers],[GroupName]]))</f>
        <v>CS03</v>
      </c>
      <c r="B126" s="35" t="s">
        <v>245</v>
      </c>
      <c r="C126" s="37" t="str" cm="1">
        <f t="array" aca="1" ref="C126" ca="1">INDEX('SAP Customer Data'!$A:$AC,MATCH(بيانات_العملاء[[#This Row],[رمز شريك الأعمال]],'SAP Customer Data'!$B:$B,0),CELL("col",Table_Customer_Data[[#Headers],[CardName]]))</f>
        <v>شركة النظم الثلاثية للتجارة</v>
      </c>
      <c r="D126" s="37" t="str">
        <f ca="1">IF(بيانات_العملاء[[#This Row],[حد الائتمان على SAP]]&gt;0,"آجل","نقدى")</f>
        <v>آجل</v>
      </c>
      <c r="E126" s="37"/>
      <c r="F126" s="37" t="s">
        <v>908</v>
      </c>
      <c r="G126" s="37" t="s">
        <v>854</v>
      </c>
      <c r="H12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26" s="37" t="s">
        <v>854</v>
      </c>
      <c r="J126" s="38">
        <v>44995</v>
      </c>
      <c r="K126" s="37" t="s">
        <v>855</v>
      </c>
      <c r="L126" s="37" t="str">
        <f ca="1">IF(AND(بيانات_العملاء[[#This Row],[السجل التجارى]]="موجود",TODAY()+'Other Data'!$B$23&lt;J126,بيانات_العملاء[[#This Row],[مطابقة اسم العميل بالاسم بالسجل التجارى]]="مطابق"), "سارى", "يجب اعادة طلبه")</f>
        <v>يجب اعادة طلبه</v>
      </c>
      <c r="M126" s="37" t="s">
        <v>854</v>
      </c>
      <c r="N126" s="39" t="str" cm="1">
        <f t="array" aca="1" ref="N126" ca="1">INDEX('SAP Customer Data'!$A:$AC,MATCH(بيانات_العملاء[[#This Row],[رمز شريك الأعمال]],'SAP Customer Data'!$B:$B,0),CELL("col",Table_Customer_Data[[#Headers],[LicTradNum]]))</f>
        <v>311302319900003</v>
      </c>
      <c r="O12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6" s="37" t="s">
        <v>854</v>
      </c>
      <c r="Q126" s="38">
        <v>45756</v>
      </c>
      <c r="R12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26" s="37" t="s">
        <v>854</v>
      </c>
      <c r="T126" s="40">
        <v>20000</v>
      </c>
      <c r="U126" s="41"/>
      <c r="V12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126" s="37" cm="1">
        <f t="array" aca="1" ref="X126" ca="1">INDEX('SAP Customer Data'!$A:$AC,MATCH(بيانات_العملاء[[#This Row],[رمز شريك الأعمال]],'SAP Customer Data'!$B:$B,0),CELL("col",Table_Customer_Data[[#Headers],[CreditLine]]))</f>
        <v>16000</v>
      </c>
      <c r="Y12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6" s="37" t="s">
        <v>855</v>
      </c>
      <c r="AA12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26" s="37" t="s">
        <v>856</v>
      </c>
      <c r="AC126" s="37"/>
      <c r="AD12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6" s="37" t="s">
        <v>856</v>
      </c>
      <c r="AF126" s="37"/>
      <c r="AG12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6" s="37" t="s">
        <v>856</v>
      </c>
      <c r="AI126" s="37"/>
      <c r="AJ12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6" s="37" t="s">
        <v>856</v>
      </c>
      <c r="AL126" s="38"/>
      <c r="AM12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6" s="37" t="s">
        <v>856</v>
      </c>
      <c r="AO126" s="41"/>
      <c r="AP12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6" s="37" t="s">
        <v>856</v>
      </c>
      <c r="AR126" s="37"/>
      <c r="AS12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6" s="41" cm="1">
        <f t="array" aca="1" ref="AT126" ca="1">INDEX('SAP Customer Data'!A:Z,MATCH(بيانات_العملاء[[#This Row],[رمز شريك الأعمال]],'SAP Customer Data'!B:B,0),CELL("col",Table_Customer_Data[[#Headers],[CreateDate]]))</f>
        <v>44842</v>
      </c>
      <c r="AU126" s="37"/>
      <c r="AV126" s="41"/>
      <c r="AW126" s="37" t="s">
        <v>2097</v>
      </c>
      <c r="AX126" s="37"/>
    </row>
    <row r="127" spans="1:50" x14ac:dyDescent="0.25">
      <c r="A127" s="36" t="str" cm="1">
        <f t="array" aca="1" ref="A127" ca="1">INDEX('SAP Customer Data'!$A:$AC,MATCH(بيانات_العملاء[[#This Row],[رمز شريك الأعمال]],'SAP Customer Data'!$B:$B,0),CELL("col",Table_Customer_Data[[#Headers],[GroupName]]))</f>
        <v>CS03</v>
      </c>
      <c r="B127" s="35" t="s">
        <v>247</v>
      </c>
      <c r="C127" s="37" t="str" cm="1">
        <f t="array" aca="1" ref="C127" ca="1">INDEX('SAP Customer Data'!$A:$AC,MATCH(بيانات_العملاء[[#This Row],[رمز شريك الأعمال]],'SAP Customer Data'!$B:$B,0),CELL("col",Table_Customer_Data[[#Headers],[CardName]]))</f>
        <v>مؤسسة متاجر ذوق للتجارة</v>
      </c>
      <c r="D127" s="37" t="str">
        <f ca="1">IF(بيانات_العملاء[[#This Row],[حد الائتمان على SAP]]&gt;0,"آجل","نقدى")</f>
        <v>آجل</v>
      </c>
      <c r="E127" s="37" t="s">
        <v>2061</v>
      </c>
      <c r="F127" s="37" t="s">
        <v>1081</v>
      </c>
      <c r="G127" s="37" t="s">
        <v>854</v>
      </c>
      <c r="H12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27" s="37" t="s">
        <v>854</v>
      </c>
      <c r="J127" s="38">
        <v>45160</v>
      </c>
      <c r="K127" s="37" t="s">
        <v>855</v>
      </c>
      <c r="L127" s="37" t="str">
        <f ca="1">IF(AND(بيانات_العملاء[[#This Row],[السجل التجارى]]="موجود",TODAY()+'Other Data'!$B$23&lt;J127,بيانات_العملاء[[#This Row],[مطابقة اسم العميل بالاسم بالسجل التجارى]]="مطابق"), "سارى", "يجب اعادة طلبه")</f>
        <v>يجب اعادة طلبه</v>
      </c>
      <c r="M127" s="37" t="s">
        <v>854</v>
      </c>
      <c r="N127" s="39" t="str" cm="1">
        <f t="array" aca="1" ref="N127" ca="1">INDEX('SAP Customer Data'!$A:$AC,MATCH(بيانات_العملاء[[#This Row],[رمز شريك الأعمال]],'SAP Customer Data'!$B:$B,0),CELL("col",Table_Customer_Data[[#Headers],[LicTradNum]]))</f>
        <v>301314068200003</v>
      </c>
      <c r="O12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7" s="37" t="s">
        <v>854</v>
      </c>
      <c r="Q127" s="38">
        <v>45317</v>
      </c>
      <c r="R12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27" s="37" t="s">
        <v>854</v>
      </c>
      <c r="T127" s="40">
        <v>20000</v>
      </c>
      <c r="U127" s="41"/>
      <c r="V12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127" s="37" cm="1">
        <f t="array" aca="1" ref="X127" ca="1">INDEX('SAP Customer Data'!$A:$AC,MATCH(بيانات_العملاء[[#This Row],[رمز شريك الأعمال]],'SAP Customer Data'!$B:$B,0),CELL("col",Table_Customer_Data[[#Headers],[CreditLine]]))</f>
        <v>16000</v>
      </c>
      <c r="Y12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7" s="37" t="s">
        <v>855</v>
      </c>
      <c r="AA12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27" s="37" t="s">
        <v>856</v>
      </c>
      <c r="AC127" s="37"/>
      <c r="AD12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7" s="37" t="s">
        <v>856</v>
      </c>
      <c r="AF127" s="37"/>
      <c r="AG12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7" s="37" t="s">
        <v>856</v>
      </c>
      <c r="AI127" s="37"/>
      <c r="AJ12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7" s="37" t="s">
        <v>856</v>
      </c>
      <c r="AL127" s="38"/>
      <c r="AM12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7" s="37" t="s">
        <v>854</v>
      </c>
      <c r="AO127" s="41"/>
      <c r="AP12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7" s="37" t="s">
        <v>856</v>
      </c>
      <c r="AR127" s="37"/>
      <c r="AS12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7" s="41" cm="1">
        <f t="array" aca="1" ref="AT127" ca="1">INDEX('SAP Customer Data'!A:Z,MATCH(بيانات_العملاء[[#This Row],[رمز شريك الأعمال]],'SAP Customer Data'!B:B,0),CELL("col",Table_Customer_Data[[#Headers],[CreateDate]]))</f>
        <v>44845</v>
      </c>
      <c r="AU127" s="37"/>
      <c r="AV127" s="41"/>
      <c r="AW127" s="37" t="s">
        <v>2097</v>
      </c>
      <c r="AX127" s="37"/>
    </row>
    <row r="128" spans="1:50" x14ac:dyDescent="0.25">
      <c r="A128" s="36" t="str" cm="1">
        <f t="array" aca="1" ref="A128" ca="1">INDEX('SAP Customer Data'!$A:$AC,MATCH(بيانات_العملاء[[#This Row],[رمز شريك الأعمال]],'SAP Customer Data'!$B:$B,0),CELL("col",Table_Customer_Data[[#Headers],[GroupName]]))</f>
        <v>CS03</v>
      </c>
      <c r="B128" s="35" t="s">
        <v>249</v>
      </c>
      <c r="C128" s="37" t="str" cm="1">
        <f t="array" aca="1" ref="C128" ca="1">INDEX('SAP Customer Data'!$A:$AC,MATCH(بيانات_العملاء[[#This Row],[رمز شريك الأعمال]],'SAP Customer Data'!$B:$B,0),CELL("col",Table_Customer_Data[[#Headers],[CardName]]))</f>
        <v>شركة لؤلؤه الاقتصاد للتجارة شركة شخص واحد</v>
      </c>
      <c r="D128" s="37" t="str">
        <f ca="1">IF(بيانات_العملاء[[#This Row],[حد الائتمان على SAP]]&gt;0,"آجل","نقدى")</f>
        <v>آجل</v>
      </c>
      <c r="E128" s="37"/>
      <c r="F128" s="37" t="s">
        <v>996</v>
      </c>
      <c r="G128" s="37" t="s">
        <v>854</v>
      </c>
      <c r="H12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28" s="37" t="s">
        <v>854</v>
      </c>
      <c r="J128" s="38">
        <v>45302</v>
      </c>
      <c r="K128" s="37" t="s">
        <v>855</v>
      </c>
      <c r="L128" s="37" t="str">
        <f ca="1">IF(AND(بيانات_العملاء[[#This Row],[السجل التجارى]]="موجود",TODAY()+'Other Data'!$B$23&lt;J128,بيانات_العملاء[[#This Row],[مطابقة اسم العميل بالاسم بالسجل التجارى]]="مطابق"), "سارى", "يجب اعادة طلبه")</f>
        <v>سارى</v>
      </c>
      <c r="M128" s="37" t="s">
        <v>854</v>
      </c>
      <c r="N128" s="39" t="str" cm="1">
        <f t="array" aca="1" ref="N128" ca="1">INDEX('SAP Customer Data'!$A:$AC,MATCH(بيانات_العملاء[[#This Row],[رمز شريك الأعمال]],'SAP Customer Data'!$B:$B,0),CELL("col",Table_Customer_Data[[#Headers],[LicTradNum]]))</f>
        <v>311201838900003</v>
      </c>
      <c r="O12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8" s="37" t="s">
        <v>854</v>
      </c>
      <c r="Q128" s="38">
        <v>45368</v>
      </c>
      <c r="R12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28" s="37" t="s">
        <v>854</v>
      </c>
      <c r="T128" s="40">
        <v>100000</v>
      </c>
      <c r="U128" s="41">
        <v>44973</v>
      </c>
      <c r="V128" s="41">
        <f>IF(بيانات_العملاء[[#This Row],[تاريخ انشاء سند الامر او الاستثناء]]="",0,بيانات_العملاء[[#This Row],[تاريخ انشاء سند الامر او الاستثناء]]+365*3)</f>
        <v>46068</v>
      </c>
      <c r="W12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28" s="37" cm="1">
        <f t="array" aca="1" ref="X128" ca="1">INDEX('SAP Customer Data'!$A:$AC,MATCH(بيانات_العملاء[[#This Row],[رمز شريك الأعمال]],'SAP Customer Data'!$B:$B,0),CELL("col",Table_Customer_Data[[#Headers],[CreditLine]]))</f>
        <v>80000</v>
      </c>
      <c r="Y12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8" s="37" t="s">
        <v>855</v>
      </c>
      <c r="AA12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28" s="37" t="s">
        <v>856</v>
      </c>
      <c r="AC128" s="37"/>
      <c r="AD12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8" s="37" t="s">
        <v>856</v>
      </c>
      <c r="AF128" s="37"/>
      <c r="AG12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8" s="37" t="s">
        <v>856</v>
      </c>
      <c r="AI128" s="37"/>
      <c r="AJ12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8" s="37" t="s">
        <v>856</v>
      </c>
      <c r="AL128" s="38"/>
      <c r="AM12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8" s="37" t="s">
        <v>854</v>
      </c>
      <c r="AO128" s="41">
        <v>42761</v>
      </c>
      <c r="AP12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8" s="37" t="s">
        <v>856</v>
      </c>
      <c r="AR128" s="37"/>
      <c r="AS12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8" s="41" cm="1">
        <f t="array" aca="1" ref="AT128" ca="1">INDEX('SAP Customer Data'!A:Z,MATCH(بيانات_العملاء[[#This Row],[رمز شريك الأعمال]],'SAP Customer Data'!B:B,0),CELL("col",Table_Customer_Data[[#Headers],[CreateDate]]))</f>
        <v>44545</v>
      </c>
      <c r="AU128" s="37"/>
      <c r="AV128" s="41"/>
      <c r="AW128" s="37" t="s">
        <v>2097</v>
      </c>
      <c r="AX128" s="37"/>
    </row>
    <row r="129" spans="1:50" x14ac:dyDescent="0.25">
      <c r="A129" s="36" t="str" cm="1">
        <f t="array" aca="1" ref="A129" ca="1">INDEX('SAP Customer Data'!$A:$AC,MATCH(بيانات_العملاء[[#This Row],[رمز شريك الأعمال]],'SAP Customer Data'!$B:$B,0),CELL("col",Table_Customer_Data[[#Headers],[GroupName]]))</f>
        <v>CS03</v>
      </c>
      <c r="B129" s="35" t="s">
        <v>250</v>
      </c>
      <c r="C129" s="37" t="str" cm="1">
        <f t="array" aca="1" ref="C129" ca="1">INDEX('SAP Customer Data'!$A:$AC,MATCH(بيانات_العملاء[[#This Row],[رمز شريك الأعمال]],'SAP Customer Data'!$B:$B,0),CELL("col",Table_Customer_Data[[#Headers],[CardName]]))</f>
        <v>مؤسسة محمد ناصر السيد للتجارة الفرع الرئيسئ</v>
      </c>
      <c r="D129" s="37" t="str">
        <f ca="1">IF(بيانات_العملاء[[#This Row],[حد الائتمان على SAP]]&gt;0,"آجل","نقدى")</f>
        <v>آجل</v>
      </c>
      <c r="E129" s="37" t="s">
        <v>2104</v>
      </c>
      <c r="F129" s="37" t="s">
        <v>1081</v>
      </c>
      <c r="G129" s="37" t="s">
        <v>854</v>
      </c>
      <c r="H12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29" s="37" t="s">
        <v>854</v>
      </c>
      <c r="J129" s="38">
        <v>45184</v>
      </c>
      <c r="K129" s="37" t="s">
        <v>855</v>
      </c>
      <c r="L129" s="37" t="str">
        <f ca="1">IF(AND(بيانات_العملاء[[#This Row],[السجل التجارى]]="موجود",TODAY()+'Other Data'!$B$23&lt;J129,بيانات_العملاء[[#This Row],[مطابقة اسم العميل بالاسم بالسجل التجارى]]="مطابق"), "سارى", "يجب اعادة طلبه")</f>
        <v>يجب اعادة طلبه</v>
      </c>
      <c r="M129" s="37" t="s">
        <v>854</v>
      </c>
      <c r="N129" s="39" t="str" cm="1">
        <f t="array" aca="1" ref="N129" ca="1">INDEX('SAP Customer Data'!$A:$AC,MATCH(بيانات_العملاء[[#This Row],[رمز شريك الأعمال]],'SAP Customer Data'!$B:$B,0),CELL("col",Table_Customer_Data[[#Headers],[LicTradNum]]))</f>
        <v>302178551700003</v>
      </c>
      <c r="O12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29" s="37" t="s">
        <v>854</v>
      </c>
      <c r="Q129" s="38">
        <v>43371</v>
      </c>
      <c r="R12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29" s="37" t="s">
        <v>854</v>
      </c>
      <c r="T129" s="40">
        <v>37500</v>
      </c>
      <c r="U129" s="41"/>
      <c r="V12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2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30000</v>
      </c>
      <c r="X129" s="37" cm="1">
        <f t="array" aca="1" ref="X129" ca="1">INDEX('SAP Customer Data'!$A:$AC,MATCH(بيانات_العملاء[[#This Row],[رمز شريك الأعمال]],'SAP Customer Data'!$B:$B,0),CELL("col",Table_Customer_Data[[#Headers],[CreditLine]]))</f>
        <v>30000</v>
      </c>
      <c r="Y12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29" s="37" t="s">
        <v>855</v>
      </c>
      <c r="AA12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29" s="37" t="s">
        <v>856</v>
      </c>
      <c r="AC129" s="37"/>
      <c r="AD12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29" s="37" t="s">
        <v>856</v>
      </c>
      <c r="AF129" s="37"/>
      <c r="AG12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29" s="37" t="s">
        <v>856</v>
      </c>
      <c r="AI129" s="37"/>
      <c r="AJ12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29" s="37" t="s">
        <v>856</v>
      </c>
      <c r="AL129" s="38"/>
      <c r="AM12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29" s="37" t="s">
        <v>856</v>
      </c>
      <c r="AO129" s="41"/>
      <c r="AP12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29" s="37" t="s">
        <v>856</v>
      </c>
      <c r="AR129" s="37"/>
      <c r="AS12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29" s="41" cm="1">
        <f t="array" aca="1" ref="AT129" ca="1">INDEX('SAP Customer Data'!A:Z,MATCH(بيانات_العملاء[[#This Row],[رمز شريك الأعمال]],'SAP Customer Data'!B:B,0),CELL("col",Table_Customer_Data[[#Headers],[CreateDate]]))</f>
        <v>44845</v>
      </c>
      <c r="AU129" s="37"/>
      <c r="AV129" s="41"/>
      <c r="AW129" s="37" t="s">
        <v>2096</v>
      </c>
      <c r="AX129" s="37">
        <v>100000</v>
      </c>
    </row>
    <row r="130" spans="1:50" x14ac:dyDescent="0.25">
      <c r="A130" s="36" t="str" cm="1">
        <f t="array" aca="1" ref="A130" ca="1">INDEX('SAP Customer Data'!$A:$AC,MATCH(بيانات_العملاء[[#This Row],[رمز شريك الأعمال]],'SAP Customer Data'!$B:$B,0),CELL("col",Table_Customer_Data[[#Headers],[GroupName]]))</f>
        <v>CS03</v>
      </c>
      <c r="B130" s="35" t="s">
        <v>252</v>
      </c>
      <c r="C130" s="37" t="str" cm="1">
        <f t="array" aca="1" ref="C130" ca="1">INDEX('SAP Customer Data'!$A:$AC,MATCH(بيانات_العملاء[[#This Row],[رمز شريك الأعمال]],'SAP Customer Data'!$B:$B,0),CELL("col",Table_Customer_Data[[#Headers],[CardName]]))</f>
        <v>مؤسسة محمد ناصر السيد للتجارة فرع الاصالة</v>
      </c>
      <c r="D130" s="37" t="str">
        <f ca="1">IF(بيانات_العملاء[[#This Row],[حد الائتمان على SAP]]&gt;0,"آجل","نقدى")</f>
        <v>آجل</v>
      </c>
      <c r="E130" s="37" t="s">
        <v>2387</v>
      </c>
      <c r="F130" s="37" t="s">
        <v>1081</v>
      </c>
      <c r="G130" s="37" t="s">
        <v>854</v>
      </c>
      <c r="H13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30" s="37" t="s">
        <v>854</v>
      </c>
      <c r="J130" s="38">
        <v>45184</v>
      </c>
      <c r="K130" s="37" t="s">
        <v>855</v>
      </c>
      <c r="L130" s="37" t="str">
        <f ca="1">IF(AND(بيانات_العملاء[[#This Row],[السجل التجارى]]="موجود",TODAY()+'Other Data'!$B$23&lt;J130,بيانات_العملاء[[#This Row],[مطابقة اسم العميل بالاسم بالسجل التجارى]]="مطابق"), "سارى", "يجب اعادة طلبه")</f>
        <v>يجب اعادة طلبه</v>
      </c>
      <c r="M130" s="37" t="s">
        <v>854</v>
      </c>
      <c r="N130" s="39" t="str" cm="1">
        <f t="array" aca="1" ref="N130" ca="1">INDEX('SAP Customer Data'!$A:$AC,MATCH(بيانات_العملاء[[#This Row],[رمز شريك الأعمال]],'SAP Customer Data'!$B:$B,0),CELL("col",Table_Customer_Data[[#Headers],[LicTradNum]]))</f>
        <v>302178551700003</v>
      </c>
      <c r="O13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0" s="37" t="s">
        <v>856</v>
      </c>
      <c r="Q130" s="38"/>
      <c r="R13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0" s="37" t="s">
        <v>854</v>
      </c>
      <c r="T130" s="40">
        <v>37500</v>
      </c>
      <c r="U130" s="41"/>
      <c r="V13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30000</v>
      </c>
      <c r="X130" s="37" cm="1">
        <f t="array" aca="1" ref="X130" ca="1">INDEX('SAP Customer Data'!$A:$AC,MATCH(بيانات_العملاء[[#This Row],[رمز شريك الأعمال]],'SAP Customer Data'!$B:$B,0),CELL("col",Table_Customer_Data[[#Headers],[CreditLine]]))</f>
        <v>30000</v>
      </c>
      <c r="Y13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0" s="37" t="s">
        <v>855</v>
      </c>
      <c r="AA13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30" s="37" t="s">
        <v>856</v>
      </c>
      <c r="AC130" s="37"/>
      <c r="AD13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0" s="37" t="s">
        <v>856</v>
      </c>
      <c r="AF130" s="37"/>
      <c r="AG13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0" s="37" t="s">
        <v>856</v>
      </c>
      <c r="AI130" s="37"/>
      <c r="AJ13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0" s="37" t="s">
        <v>856</v>
      </c>
      <c r="AL130" s="38"/>
      <c r="AM13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0" s="37" t="s">
        <v>856</v>
      </c>
      <c r="AO130" s="41"/>
      <c r="AP13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0" s="37" t="s">
        <v>856</v>
      </c>
      <c r="AR130" s="37"/>
      <c r="AS13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0" s="41" cm="1">
        <f t="array" aca="1" ref="AT130" ca="1">INDEX('SAP Customer Data'!A:Z,MATCH(بيانات_العملاء[[#This Row],[رمز شريك الأعمال]],'SAP Customer Data'!B:B,0),CELL("col",Table_Customer_Data[[#Headers],[CreateDate]]))</f>
        <v>44845</v>
      </c>
      <c r="AU130" s="37"/>
      <c r="AV130" s="41"/>
      <c r="AW130" s="37" t="s">
        <v>2096</v>
      </c>
      <c r="AX130" s="37">
        <v>100000</v>
      </c>
    </row>
    <row r="131" spans="1:50" x14ac:dyDescent="0.25">
      <c r="A131" s="22" t="str" cm="1">
        <f t="array" aca="1" ref="A131" ca="1">INDEX('SAP Customer Data'!$A:$AC,MATCH(بيانات_العملاء[[#This Row],[رمز شريك الأعمال]],'SAP Customer Data'!$B:$B,0),CELL("col",Table_Customer_Data[[#Headers],[GroupName]]))</f>
        <v>CS03</v>
      </c>
      <c r="B131" s="23" t="s">
        <v>262</v>
      </c>
      <c r="C131" s="24" t="str" cm="1">
        <f t="array" aca="1" ref="C131" ca="1">INDEX('SAP Customer Data'!$A:$AC,MATCH(بيانات_العملاء[[#This Row],[رمز شريك الأعمال]],'SAP Customer Data'!$B:$B,0),CELL("col",Table_Customer_Data[[#Headers],[CardName]]))</f>
        <v>مؤسسة حمد محمد الموسي</v>
      </c>
      <c r="D131" s="24" t="str">
        <f ca="1">IF(بيانات_العملاء[[#This Row],[حد الائتمان على SAP]]&gt;0,"آجل","نقدى")</f>
        <v>آجل</v>
      </c>
      <c r="E131" s="24" t="s">
        <v>2062</v>
      </c>
      <c r="F131" s="24" t="s">
        <v>1081</v>
      </c>
      <c r="G131" s="24" t="s">
        <v>856</v>
      </c>
      <c r="H131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31" s="24" t="s">
        <v>854</v>
      </c>
      <c r="J131" s="25">
        <v>44929</v>
      </c>
      <c r="K131" s="24" t="s">
        <v>855</v>
      </c>
      <c r="L131" s="24" t="str">
        <f ca="1">IF(AND(بيانات_العملاء[[#This Row],[السجل التجارى]]="موجود",TODAY()+'Other Data'!$B$23&lt;J131,بيانات_العملاء[[#This Row],[مطابقة اسم العميل بالاسم بالسجل التجارى]]="مطابق"), "سارى", "يجب اعادة طلبه")</f>
        <v>يجب اعادة طلبه</v>
      </c>
      <c r="M131" s="24" t="s">
        <v>854</v>
      </c>
      <c r="N131" s="26" t="str" cm="1">
        <f t="array" aca="1" ref="N131" ca="1">INDEX('SAP Customer Data'!$A:$AC,MATCH(بيانات_العملاء[[#This Row],[رمز شريك الأعمال]],'SAP Customer Data'!$B:$B,0),CELL("col",Table_Customer_Data[[#Headers],[LicTradNum]]))</f>
        <v>300580757400003</v>
      </c>
      <c r="O131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1" s="24" t="s">
        <v>854</v>
      </c>
      <c r="Q131" s="25">
        <v>44743</v>
      </c>
      <c r="R131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1" s="24" t="s">
        <v>856</v>
      </c>
      <c r="T131" s="27"/>
      <c r="U131" s="11"/>
      <c r="V131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31" s="24" cm="1">
        <f t="array" aca="1" ref="X131" ca="1">INDEX('SAP Customer Data'!$A:$AC,MATCH(بيانات_العملاء[[#This Row],[رمز شريك الأعمال]],'SAP Customer Data'!$B:$B,0),CELL("col",Table_Customer_Data[[#Headers],[CreditLine]]))</f>
        <v>75000</v>
      </c>
      <c r="Y13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131" s="37"/>
      <c r="AA13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31" s="24" t="s">
        <v>856</v>
      </c>
      <c r="AC131" s="24"/>
      <c r="AD131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1" s="24" t="s">
        <v>856</v>
      </c>
      <c r="AF131" s="24"/>
      <c r="AG131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1" s="24" t="s">
        <v>856</v>
      </c>
      <c r="AI131" s="24"/>
      <c r="AJ131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1" s="24" t="s">
        <v>856</v>
      </c>
      <c r="AL131" s="25"/>
      <c r="AM131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1" s="24" t="s">
        <v>854</v>
      </c>
      <c r="AO131" s="11">
        <v>44756</v>
      </c>
      <c r="AP131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1" s="24" t="s">
        <v>856</v>
      </c>
      <c r="AR131" s="24"/>
      <c r="AS131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1" s="11" cm="1">
        <f t="array" aca="1" ref="AT131" ca="1">INDEX('SAP Customer Data'!A:Z,MATCH(بيانات_العملاء[[#This Row],[رمز شريك الأعمال]],'SAP Customer Data'!B:B,0),CELL("col",Table_Customer_Data[[#Headers],[CreateDate]]))</f>
        <v>44564</v>
      </c>
      <c r="AU131" s="24"/>
      <c r="AV131" s="33" t="s">
        <v>920</v>
      </c>
      <c r="AW131" s="24" t="s">
        <v>2097</v>
      </c>
      <c r="AX131" s="24"/>
    </row>
    <row r="132" spans="1:50" x14ac:dyDescent="0.25">
      <c r="A132" s="36" t="str" cm="1">
        <f t="array" aca="1" ref="A132" ca="1">INDEX('SAP Customer Data'!$A:$AC,MATCH(بيانات_العملاء[[#This Row],[رمز شريك الأعمال]],'SAP Customer Data'!$B:$B,0),CELL("col",Table_Customer_Data[[#Headers],[GroupName]]))</f>
        <v>CS03</v>
      </c>
      <c r="B132" s="35" t="s">
        <v>256</v>
      </c>
      <c r="C132" s="37" t="str" cm="1">
        <f t="array" aca="1" ref="C132" ca="1">INDEX('SAP Customer Data'!$A:$AC,MATCH(بيانات_العملاء[[#This Row],[رمز شريك الأعمال]],'SAP Customer Data'!$B:$B,0),CELL("col",Table_Customer_Data[[#Headers],[CardName]]))</f>
        <v>مؤسسة صفوة البراق للتجارة-نقدي</v>
      </c>
      <c r="D132" s="37" t="str">
        <f ca="1">IF(بيانات_العملاء[[#This Row],[حد الائتمان على SAP]]&gt;0,"آجل","نقدى")</f>
        <v>نقدى</v>
      </c>
      <c r="E132" s="37" t="s">
        <v>2481</v>
      </c>
      <c r="F132" s="37" t="s">
        <v>908</v>
      </c>
      <c r="G132" s="37" t="s">
        <v>854</v>
      </c>
      <c r="H13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32" s="37" t="s">
        <v>854</v>
      </c>
      <c r="J132" s="38">
        <v>44661</v>
      </c>
      <c r="K132" s="37" t="s">
        <v>855</v>
      </c>
      <c r="L132" s="37" t="str">
        <f ca="1">IF(AND(بيانات_العملاء[[#This Row],[السجل التجارى]]="موجود",TODAY()+'Other Data'!$B$23&lt;J132,بيانات_العملاء[[#This Row],[مطابقة اسم العميل بالاسم بالسجل التجارى]]="مطابق"), "سارى", "يجب اعادة طلبه")</f>
        <v>يجب اعادة طلبه</v>
      </c>
      <c r="M132" s="37" t="s">
        <v>854</v>
      </c>
      <c r="N132" s="39" t="str" cm="1">
        <f t="array" aca="1" ref="N132" ca="1">INDEX('SAP Customer Data'!$A:$AC,MATCH(بيانات_العملاء[[#This Row],[رمز شريك الأعمال]],'SAP Customer Data'!$B:$B,0),CELL("col",Table_Customer_Data[[#Headers],[LicTradNum]]))</f>
        <v>300009306500003</v>
      </c>
      <c r="O13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2" s="37" t="s">
        <v>854</v>
      </c>
      <c r="Q132" s="38">
        <v>45011</v>
      </c>
      <c r="R13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2" s="37" t="s">
        <v>1080</v>
      </c>
      <c r="T132" s="40"/>
      <c r="U132" s="41"/>
      <c r="V13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32" s="37" cm="1">
        <f t="array" aca="1" ref="X132" ca="1">INDEX('SAP Customer Data'!$A:$AC,MATCH(بيانات_العملاء[[#This Row],[رمز شريك الأعمال]],'SAP Customer Data'!$B:$B,0),CELL("col",Table_Customer_Data[[#Headers],[CreditLine]]))</f>
        <v>0</v>
      </c>
      <c r="Y13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2" s="37"/>
      <c r="AA13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32" s="37"/>
      <c r="AC132" s="37"/>
      <c r="AD13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2" s="37"/>
      <c r="AF132" s="37"/>
      <c r="AG13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2" s="37"/>
      <c r="AI132" s="37"/>
      <c r="AJ13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2" s="37"/>
      <c r="AL132" s="38"/>
      <c r="AM13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2" s="37" t="s">
        <v>854</v>
      </c>
      <c r="AO132" s="41">
        <v>45116</v>
      </c>
      <c r="AP13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2" s="37"/>
      <c r="AR132" s="37"/>
      <c r="AS13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2" s="41" cm="1">
        <f t="array" aca="1" ref="AT132" ca="1">INDEX('SAP Customer Data'!A:Z,MATCH(بيانات_العملاء[[#This Row],[رمز شريك الأعمال]],'SAP Customer Data'!B:B,0),CELL("col",Table_Customer_Data[[#Headers],[CreateDate]]))</f>
        <v>44555</v>
      </c>
      <c r="AU132" s="37"/>
      <c r="AV132" s="41"/>
      <c r="AW132" s="37" t="s">
        <v>2097</v>
      </c>
      <c r="AX132" s="37"/>
    </row>
    <row r="133" spans="1:50" x14ac:dyDescent="0.25">
      <c r="A133" s="36" t="str" cm="1">
        <f t="array" aca="1" ref="A133" ca="1">INDEX('SAP Customer Data'!$A:$AC,MATCH(بيانات_العملاء[[#This Row],[رمز شريك الأعمال]],'SAP Customer Data'!$B:$B,0),CELL("col",Table_Customer_Data[[#Headers],[GroupName]]))</f>
        <v>CS03</v>
      </c>
      <c r="B133" s="42" t="s">
        <v>432</v>
      </c>
      <c r="C133" s="37" t="str" cm="1">
        <f t="array" aca="1" ref="C133" ca="1">INDEX('SAP Customer Data'!$A:$AC,MATCH(بيانات_العملاء[[#This Row],[رمز شريك الأعمال]],'SAP Customer Data'!$B:$B,0),CELL("col",Table_Customer_Data[[#Headers],[CardName]]))</f>
        <v>مؤسسة فن الترف للمقاولات - نقدي</v>
      </c>
      <c r="D133" s="37" t="str">
        <f ca="1">IF(بيانات_العملاء[[#This Row],[حد الائتمان على SAP]]&gt;0,"آجل","نقدى")</f>
        <v>نقدى</v>
      </c>
      <c r="E133" s="37"/>
      <c r="F133" s="37" t="s">
        <v>1082</v>
      </c>
      <c r="G133" s="37"/>
      <c r="H13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33" s="37" t="s">
        <v>856</v>
      </c>
      <c r="J133" s="38"/>
      <c r="K133" s="37"/>
      <c r="L133" s="37" t="str">
        <f ca="1">IF(AND(بيانات_العملاء[[#This Row],[السجل التجارى]]="موجود",TODAY()+'Other Data'!$B$23&lt;J133,بيانات_العملاء[[#This Row],[مطابقة اسم العميل بالاسم بالسجل التجارى]]="مطابق"), "سارى", "يجب اعادة طلبه")</f>
        <v>يجب اعادة طلبه</v>
      </c>
      <c r="M133" s="37" t="s">
        <v>854</v>
      </c>
      <c r="N133" s="39" t="str" cm="1">
        <f t="array" aca="1" ref="N133" ca="1">INDEX('SAP Customer Data'!$A:$AC,MATCH(بيانات_العملاء[[#This Row],[رمز شريك الأعمال]],'SAP Customer Data'!$B:$B,0),CELL("col",Table_Customer_Data[[#Headers],[LicTradNum]]))</f>
        <v>300015823600003</v>
      </c>
      <c r="O13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3" s="37"/>
      <c r="Q133" s="38"/>
      <c r="R13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3" s="37" t="s">
        <v>1080</v>
      </c>
      <c r="T133" s="40"/>
      <c r="U133" s="41"/>
      <c r="V13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33" s="37" cm="1">
        <f t="array" aca="1" ref="X133" ca="1">INDEX('SAP Customer Data'!$A:$AC,MATCH(بيانات_العملاء[[#This Row],[رمز شريك الأعمال]],'SAP Customer Data'!$B:$B,0),CELL("col",Table_Customer_Data[[#Headers],[CreditLine]]))</f>
        <v>0</v>
      </c>
      <c r="Y13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3" s="37"/>
      <c r="AA13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33" s="37"/>
      <c r="AC133" s="37"/>
      <c r="AD13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3" s="37"/>
      <c r="AF133" s="37"/>
      <c r="AG13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3" s="37"/>
      <c r="AI133" s="37"/>
      <c r="AJ13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3" s="37"/>
      <c r="AL133" s="38"/>
      <c r="AM13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3" s="37"/>
      <c r="AO133" s="41"/>
      <c r="AP13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3" s="37"/>
      <c r="AR133" s="37"/>
      <c r="AS13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3" s="41" cm="1">
        <f t="array" aca="1" ref="AT133" ca="1">INDEX('SAP Customer Data'!A:Z,MATCH(بيانات_العملاء[[#This Row],[رمز شريك الأعمال]],'SAP Customer Data'!B:B,0),CELL("col",Table_Customer_Data[[#Headers],[CreateDate]]))</f>
        <v>43983</v>
      </c>
      <c r="AU133" s="37"/>
      <c r="AV133" s="41"/>
      <c r="AW133" s="37" t="s">
        <v>2097</v>
      </c>
      <c r="AX133" s="37"/>
    </row>
    <row r="134" spans="1:50" x14ac:dyDescent="0.25">
      <c r="A134" s="36" t="str" cm="1">
        <f t="array" aca="1" ref="A134" ca="1">INDEX('SAP Customer Data'!$A:$AC,MATCH(بيانات_العملاء[[#This Row],[رمز شريك الأعمال]],'SAP Customer Data'!$B:$B,0),CELL("col",Table_Customer_Data[[#Headers],[GroupName]]))</f>
        <v>CS03</v>
      </c>
      <c r="B134" s="35" t="s">
        <v>272</v>
      </c>
      <c r="C134" s="37" t="str" cm="1">
        <f t="array" aca="1" ref="C134" ca="1">INDEX('SAP Customer Data'!$A:$AC,MATCH(بيانات_العملاء[[#This Row],[رمز شريك الأعمال]],'SAP Customer Data'!$B:$B,0),CELL("col",Table_Customer_Data[[#Headers],[CardName]]))</f>
        <v>شركة الكهرباء المشعة للتجارة فرع 1</v>
      </c>
      <c r="D134" s="37" t="str">
        <f ca="1">IF(بيانات_العملاء[[#This Row],[حد الائتمان على SAP]]&gt;0,"آجل","نقدى")</f>
        <v>آجل</v>
      </c>
      <c r="E134" s="37"/>
      <c r="F134" s="37" t="s">
        <v>1082</v>
      </c>
      <c r="G134" s="37" t="s">
        <v>854</v>
      </c>
      <c r="H13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34" s="37" t="s">
        <v>856</v>
      </c>
      <c r="J134" s="38"/>
      <c r="K134" s="37"/>
      <c r="L134" s="37" t="str">
        <f ca="1">IF(AND(بيانات_العملاء[[#This Row],[السجل التجارى]]="موجود",TODAY()+'Other Data'!$B$23&lt;J134,بيانات_العملاء[[#This Row],[مطابقة اسم العميل بالاسم بالسجل التجارى]]="مطابق"), "سارى", "يجب اعادة طلبه")</f>
        <v>يجب اعادة طلبه</v>
      </c>
      <c r="M134" s="37" t="s">
        <v>854</v>
      </c>
      <c r="N134" s="39" t="str" cm="1">
        <f t="array" aca="1" ref="N134" ca="1">INDEX('SAP Customer Data'!$A:$AC,MATCH(بيانات_العملاء[[#This Row],[رمز شريك الأعمال]],'SAP Customer Data'!$B:$B,0),CELL("col",Table_Customer_Data[[#Headers],[LicTradNum]]))</f>
        <v>311295104900003</v>
      </c>
      <c r="O13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4" s="37" t="s">
        <v>856</v>
      </c>
      <c r="Q134" s="38"/>
      <c r="R13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4" s="37" t="s">
        <v>854</v>
      </c>
      <c r="T134" s="40">
        <v>100000</v>
      </c>
      <c r="U134" s="41"/>
      <c r="V13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34" s="37" cm="1">
        <f t="array" aca="1" ref="X134" ca="1">INDEX('SAP Customer Data'!$A:$AC,MATCH(بيانات_العملاء[[#This Row],[رمز شريك الأعمال]],'SAP Customer Data'!$B:$B,0),CELL("col",Table_Customer_Data[[#Headers],[CreditLine]]))</f>
        <v>80000</v>
      </c>
      <c r="Y13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4" s="37" t="s">
        <v>859</v>
      </c>
      <c r="AA13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34" s="37" t="s">
        <v>856</v>
      </c>
      <c r="AC134" s="37"/>
      <c r="AD13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4" s="37" t="s">
        <v>856</v>
      </c>
      <c r="AF134" s="37"/>
      <c r="AG13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4" s="37" t="s">
        <v>856</v>
      </c>
      <c r="AI134" s="37"/>
      <c r="AJ13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4" s="37" t="s">
        <v>856</v>
      </c>
      <c r="AL134" s="38"/>
      <c r="AM13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4" s="37" t="s">
        <v>856</v>
      </c>
      <c r="AO134" s="41"/>
      <c r="AP13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4" s="37" t="s">
        <v>856</v>
      </c>
      <c r="AR134" s="37"/>
      <c r="AS13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4" s="41" cm="1">
        <f t="array" aca="1" ref="AT134" ca="1">INDEX('SAP Customer Data'!A:Z,MATCH(بيانات_العملاء[[#This Row],[رمز شريك الأعمال]],'SAP Customer Data'!B:B,0),CELL("col",Table_Customer_Data[[#Headers],[CreateDate]]))</f>
        <v>44418</v>
      </c>
      <c r="AU134" s="37"/>
      <c r="AV134" s="41"/>
      <c r="AW134" s="37" t="s">
        <v>2096</v>
      </c>
      <c r="AX134" s="37">
        <v>200000</v>
      </c>
    </row>
    <row r="135" spans="1:50" x14ac:dyDescent="0.25">
      <c r="A135" s="36" t="str" cm="1">
        <f t="array" aca="1" ref="A135" ca="1">INDEX('SAP Customer Data'!$A:$AC,MATCH(بيانات_العملاء[[#This Row],[رمز شريك الأعمال]],'SAP Customer Data'!$B:$B,0),CELL("col",Table_Customer_Data[[#Headers],[GroupName]]))</f>
        <v>CS03</v>
      </c>
      <c r="B135" s="42" t="s">
        <v>258</v>
      </c>
      <c r="C135" s="37" t="str" cm="1">
        <f t="array" aca="1" ref="C135" ca="1">INDEX('SAP Customer Data'!$A:$AC,MATCH(بيانات_العملاء[[#This Row],[رمز شريك الأعمال]],'SAP Customer Data'!$B:$B,0),CELL("col",Table_Customer_Data[[#Headers],[CardName]]))</f>
        <v>مؤسسة سيول الانارة التجارية-نقدي</v>
      </c>
      <c r="D135" s="37" t="str">
        <f ca="1">IF(بيانات_العملاء[[#This Row],[حد الائتمان على SAP]]&gt;0,"آجل","نقدى")</f>
        <v>نقدى</v>
      </c>
      <c r="E135" s="37"/>
      <c r="F135" s="37" t="s">
        <v>1082</v>
      </c>
      <c r="G135" s="37"/>
      <c r="H13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35" s="37" t="s">
        <v>856</v>
      </c>
      <c r="J135" s="38"/>
      <c r="K135" s="37"/>
      <c r="L135" s="37" t="str">
        <f ca="1">IF(AND(بيانات_العملاء[[#This Row],[السجل التجارى]]="موجود",TODAY()+'Other Data'!$B$23&lt;J135,بيانات_العملاء[[#This Row],[مطابقة اسم العميل بالاسم بالسجل التجارى]]="مطابق"), "سارى", "يجب اعادة طلبه")</f>
        <v>يجب اعادة طلبه</v>
      </c>
      <c r="M135" s="37" t="s">
        <v>854</v>
      </c>
      <c r="N135" s="39" t="str" cm="1">
        <f t="array" aca="1" ref="N135" ca="1">INDEX('SAP Customer Data'!$A:$AC,MATCH(بيانات_العملاء[[#This Row],[رمز شريك الأعمال]],'SAP Customer Data'!$B:$B,0),CELL("col",Table_Customer_Data[[#Headers],[LicTradNum]]))</f>
        <v>300026838600003</v>
      </c>
      <c r="O13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5" s="37"/>
      <c r="Q135" s="38"/>
      <c r="R13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5" s="37" t="s">
        <v>1080</v>
      </c>
      <c r="T135" s="40"/>
      <c r="U135" s="41"/>
      <c r="V13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35" s="37" cm="1">
        <f t="array" aca="1" ref="X135" ca="1">INDEX('SAP Customer Data'!$A:$AC,MATCH(بيانات_العملاء[[#This Row],[رمز شريك الأعمال]],'SAP Customer Data'!$B:$B,0),CELL("col",Table_Customer_Data[[#Headers],[CreditLine]]))</f>
        <v>0</v>
      </c>
      <c r="Y13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5" s="37"/>
      <c r="AA13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35" s="37"/>
      <c r="AC135" s="37"/>
      <c r="AD13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5" s="37"/>
      <c r="AF135" s="37"/>
      <c r="AG13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5" s="37"/>
      <c r="AI135" s="37"/>
      <c r="AJ13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5" s="37"/>
      <c r="AL135" s="38"/>
      <c r="AM13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5" s="37"/>
      <c r="AO135" s="41"/>
      <c r="AP13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5" s="37"/>
      <c r="AR135" s="37"/>
      <c r="AS13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5" s="41" cm="1">
        <f t="array" aca="1" ref="AT135" ca="1">INDEX('SAP Customer Data'!A:Z,MATCH(بيانات_العملاء[[#This Row],[رمز شريك الأعمال]],'SAP Customer Data'!B:B,0),CELL("col",Table_Customer_Data[[#Headers],[CreateDate]]))</f>
        <v>44557</v>
      </c>
      <c r="AU135" s="37"/>
      <c r="AV135" s="41"/>
      <c r="AW135" s="37" t="s">
        <v>2097</v>
      </c>
      <c r="AX135" s="37"/>
    </row>
    <row r="136" spans="1:50" x14ac:dyDescent="0.25">
      <c r="A136" s="36" t="str" cm="1">
        <f t="array" aca="1" ref="A136" ca="1">INDEX('SAP Customer Data'!$A:$AC,MATCH(بيانات_العملاء[[#This Row],[رمز شريك الأعمال]],'SAP Customer Data'!$B:$B,0),CELL("col",Table_Customer_Data[[#Headers],[GroupName]]))</f>
        <v>CS03</v>
      </c>
      <c r="B136" s="35" t="s">
        <v>282</v>
      </c>
      <c r="C136" s="37" t="str" cm="1">
        <f t="array" aca="1" ref="C136" ca="1">INDEX('SAP Customer Data'!$A:$AC,MATCH(بيانات_العملاء[[#This Row],[رمز شريك الأعمال]],'SAP Customer Data'!$B:$B,0),CELL("col",Table_Customer_Data[[#Headers],[CardName]]))</f>
        <v>شركة انارة الصحافة للادوات الكهربائية</v>
      </c>
      <c r="D136" s="37" t="str">
        <f ca="1">IF(بيانات_العملاء[[#This Row],[حد الائتمان على SAP]]&gt;0,"آجل","نقدى")</f>
        <v>آجل</v>
      </c>
      <c r="E136" s="37"/>
      <c r="F136" s="37" t="s">
        <v>1082</v>
      </c>
      <c r="G136" s="37" t="s">
        <v>854</v>
      </c>
      <c r="H13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36" s="37" t="s">
        <v>856</v>
      </c>
      <c r="J136" s="38"/>
      <c r="K136" s="37"/>
      <c r="L136" s="37" t="str">
        <f ca="1">IF(AND(بيانات_العملاء[[#This Row],[السجل التجارى]]="موجود",TODAY()+'Other Data'!$B$23&lt;J136,بيانات_العملاء[[#This Row],[مطابقة اسم العميل بالاسم بالسجل التجارى]]="مطابق"), "سارى", "يجب اعادة طلبه")</f>
        <v>يجب اعادة طلبه</v>
      </c>
      <c r="M136" s="37" t="s">
        <v>854</v>
      </c>
      <c r="N136" s="39" t="str" cm="1">
        <f t="array" aca="1" ref="N136" ca="1">INDEX('SAP Customer Data'!$A:$AC,MATCH(بيانات_العملاء[[#This Row],[رمز شريك الأعمال]],'SAP Customer Data'!$B:$B,0),CELL("col",Table_Customer_Data[[#Headers],[LicTradNum]]))</f>
        <v>311191051300003</v>
      </c>
      <c r="O13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6" s="37" t="s">
        <v>854</v>
      </c>
      <c r="Q136" s="38">
        <v>45439</v>
      </c>
      <c r="R13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36" s="37" t="s">
        <v>854</v>
      </c>
      <c r="T136" s="40">
        <v>50000</v>
      </c>
      <c r="U136" s="41"/>
      <c r="V13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136" s="37" cm="1">
        <f t="array" aca="1" ref="X136" ca="1">INDEX('SAP Customer Data'!$A:$AC,MATCH(بيانات_العملاء[[#This Row],[رمز شريك الأعمال]],'SAP Customer Data'!$B:$B,0),CELL("col",Table_Customer_Data[[#Headers],[CreditLine]]))</f>
        <v>40000</v>
      </c>
      <c r="Y13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6" s="37" t="s">
        <v>859</v>
      </c>
      <c r="AA13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36" s="37" t="s">
        <v>856</v>
      </c>
      <c r="AC136" s="37"/>
      <c r="AD13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6" s="37" t="s">
        <v>856</v>
      </c>
      <c r="AF136" s="37"/>
      <c r="AG13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6" s="37" t="s">
        <v>856</v>
      </c>
      <c r="AI136" s="37"/>
      <c r="AJ13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6" s="37" t="s">
        <v>856</v>
      </c>
      <c r="AL136" s="38"/>
      <c r="AM13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6" s="37" t="s">
        <v>854</v>
      </c>
      <c r="AO136" s="41">
        <v>44901</v>
      </c>
      <c r="AP13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6" s="37" t="s">
        <v>856</v>
      </c>
      <c r="AR136" s="37"/>
      <c r="AS13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6" s="41" cm="1">
        <f t="array" aca="1" ref="AT136" ca="1">INDEX('SAP Customer Data'!A:Z,MATCH(بيانات_العملاء[[#This Row],[رمز شريك الأعمال]],'SAP Customer Data'!B:B,0),CELL("col",Table_Customer_Data[[#Headers],[CreateDate]]))</f>
        <v>44845</v>
      </c>
      <c r="AU136" s="37"/>
      <c r="AV136" s="41"/>
      <c r="AW136" s="37" t="s">
        <v>2096</v>
      </c>
      <c r="AX136" s="37"/>
    </row>
    <row r="137" spans="1:50" x14ac:dyDescent="0.25">
      <c r="A137" s="36" t="str" cm="1">
        <f t="array" aca="1" ref="A137" ca="1">INDEX('SAP Customer Data'!$A:$AC,MATCH(بيانات_العملاء[[#This Row],[رمز شريك الأعمال]],'SAP Customer Data'!$B:$B,0),CELL("col",Table_Customer_Data[[#Headers],[GroupName]]))</f>
        <v>CS03</v>
      </c>
      <c r="B137" s="35" t="s">
        <v>284</v>
      </c>
      <c r="C137" s="37" t="str" cm="1">
        <f t="array" aca="1" ref="C137" ca="1">INDEX('SAP Customer Data'!$A:$AC,MATCH(بيانات_العملاء[[#This Row],[رمز شريك الأعمال]],'SAP Customer Data'!$B:$B,0),CELL("col",Table_Customer_Data[[#Headers],[CardName]]))</f>
        <v>شركة الكهرباء المشعة للتجارة الفرع الرئيسي</v>
      </c>
      <c r="D137" s="37" t="str">
        <f ca="1">IF(بيانات_العملاء[[#This Row],[حد الائتمان على SAP]]&gt;0,"آجل","نقدى")</f>
        <v>آجل</v>
      </c>
      <c r="E137" s="37"/>
      <c r="F137" s="37" t="s">
        <v>908</v>
      </c>
      <c r="G137" s="37" t="s">
        <v>854</v>
      </c>
      <c r="H13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37" s="37" t="s">
        <v>854</v>
      </c>
      <c r="J137" s="38">
        <v>44955</v>
      </c>
      <c r="K137" s="37" t="s">
        <v>855</v>
      </c>
      <c r="L137" s="37" t="str">
        <f ca="1">IF(AND(بيانات_العملاء[[#This Row],[السجل التجارى]]="موجود",TODAY()+'Other Data'!$B$23&lt;J137,بيانات_العملاء[[#This Row],[مطابقة اسم العميل بالاسم بالسجل التجارى]]="مطابق"), "سارى", "يجب اعادة طلبه")</f>
        <v>يجب اعادة طلبه</v>
      </c>
      <c r="M137" s="37" t="s">
        <v>854</v>
      </c>
      <c r="N137" s="39" t="str" cm="1">
        <f t="array" aca="1" ref="N137" ca="1">INDEX('SAP Customer Data'!$A:$AC,MATCH(بيانات_العملاء[[#This Row],[رمز شريك الأعمال]],'SAP Customer Data'!$B:$B,0),CELL("col",Table_Customer_Data[[#Headers],[LicTradNum]]))</f>
        <v>311295104900003</v>
      </c>
      <c r="O13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7" s="37" t="s">
        <v>854</v>
      </c>
      <c r="Q137" s="38">
        <v>46787</v>
      </c>
      <c r="R13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37" s="37" t="s">
        <v>854</v>
      </c>
      <c r="T137" s="40">
        <v>100000</v>
      </c>
      <c r="U137" s="41"/>
      <c r="V13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37" s="37" cm="1">
        <f t="array" aca="1" ref="X137" ca="1">INDEX('SAP Customer Data'!$A:$AC,MATCH(بيانات_العملاء[[#This Row],[رمز شريك الأعمال]],'SAP Customer Data'!$B:$B,0),CELL("col",Table_Customer_Data[[#Headers],[CreditLine]]))</f>
        <v>80000</v>
      </c>
      <c r="Y13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7" s="37" t="s">
        <v>855</v>
      </c>
      <c r="AA13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37" s="37" t="s">
        <v>856</v>
      </c>
      <c r="AC137" s="37"/>
      <c r="AD13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7" s="37" t="s">
        <v>856</v>
      </c>
      <c r="AF137" s="37"/>
      <c r="AG13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7" s="37" t="s">
        <v>856</v>
      </c>
      <c r="AI137" s="37"/>
      <c r="AJ13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7" s="37" t="s">
        <v>856</v>
      </c>
      <c r="AL137" s="38"/>
      <c r="AM13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7" s="37" t="s">
        <v>854</v>
      </c>
      <c r="AO137" s="41">
        <v>44926</v>
      </c>
      <c r="AP13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7" s="37" t="s">
        <v>856</v>
      </c>
      <c r="AR137" s="37"/>
      <c r="AS13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7" s="41" cm="1">
        <f t="array" aca="1" ref="AT137" ca="1">INDEX('SAP Customer Data'!A:Z,MATCH(بيانات_العملاء[[#This Row],[رمز شريك الأعمال]],'SAP Customer Data'!B:B,0),CELL("col",Table_Customer_Data[[#Headers],[CreateDate]]))</f>
        <v>44858</v>
      </c>
      <c r="AU137" s="37"/>
      <c r="AV137" s="41"/>
      <c r="AW137" s="37" t="s">
        <v>2096</v>
      </c>
      <c r="AX137" s="37">
        <v>200000</v>
      </c>
    </row>
    <row r="138" spans="1:50" x14ac:dyDescent="0.25">
      <c r="A138" s="36" t="str" cm="1">
        <f t="array" aca="1" ref="A138" ca="1">INDEX('SAP Customer Data'!$A:$AC,MATCH(بيانات_العملاء[[#This Row],[رمز شريك الأعمال]],'SAP Customer Data'!$B:$B,0),CELL("col",Table_Customer_Data[[#Headers],[GroupName]]))</f>
        <v>CS03</v>
      </c>
      <c r="B138" s="35" t="s">
        <v>286</v>
      </c>
      <c r="C138" s="37" t="str" cm="1">
        <f t="array" aca="1" ref="C138" ca="1">INDEX('SAP Customer Data'!$A:$AC,MATCH(بيانات_العملاء[[#This Row],[رمز شريك الأعمال]],'SAP Customer Data'!$B:$B,0),CELL("col",Table_Customer_Data[[#Headers],[CardName]]))</f>
        <v>شركة الحاتمي للتجارة -نقدي</v>
      </c>
      <c r="D138" s="37" t="str">
        <f ca="1">IF(بيانات_العملاء[[#This Row],[حد الائتمان على SAP]]&gt;0,"آجل","نقدى")</f>
        <v>نقدى</v>
      </c>
      <c r="E138" s="37"/>
      <c r="F138" s="37" t="s">
        <v>996</v>
      </c>
      <c r="G138" s="37" t="s">
        <v>856</v>
      </c>
      <c r="H13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38" s="37" t="s">
        <v>854</v>
      </c>
      <c r="J138" s="38">
        <v>44941</v>
      </c>
      <c r="K138" s="37" t="s">
        <v>855</v>
      </c>
      <c r="L138" s="37" t="str">
        <f ca="1">IF(AND(بيانات_العملاء[[#This Row],[السجل التجارى]]="موجود",TODAY()+'Other Data'!$B$23&lt;J138,بيانات_العملاء[[#This Row],[مطابقة اسم العميل بالاسم بالسجل التجارى]]="مطابق"), "سارى", "يجب اعادة طلبه")</f>
        <v>يجب اعادة طلبه</v>
      </c>
      <c r="M138" s="37" t="s">
        <v>854</v>
      </c>
      <c r="N138" s="39" t="str" cm="1">
        <f t="array" aca="1" ref="N138" ca="1">INDEX('SAP Customer Data'!$A:$AC,MATCH(بيانات_العملاء[[#This Row],[رمز شريك الأعمال]],'SAP Customer Data'!$B:$B,0),CELL("col",Table_Customer_Data[[#Headers],[LicTradNum]]))</f>
        <v>311178726500003</v>
      </c>
      <c r="O13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8" s="37" t="s">
        <v>856</v>
      </c>
      <c r="Q138" s="38"/>
      <c r="R13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8" s="37" t="s">
        <v>1080</v>
      </c>
      <c r="T138" s="40"/>
      <c r="U138" s="41"/>
      <c r="V13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38" s="37" cm="1">
        <f t="array" aca="1" ref="X138" ca="1">INDEX('SAP Customer Data'!$A:$AC,MATCH(بيانات_العملاء[[#This Row],[رمز شريك الأعمال]],'SAP Customer Data'!$B:$B,0),CELL("col",Table_Customer_Data[[#Headers],[CreditLine]]))</f>
        <v>0</v>
      </c>
      <c r="Y13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8" s="37"/>
      <c r="AA13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38" s="37" t="s">
        <v>856</v>
      </c>
      <c r="AC138" s="37"/>
      <c r="AD13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8" s="37" t="s">
        <v>856</v>
      </c>
      <c r="AF138" s="37"/>
      <c r="AG13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8" s="37" t="s">
        <v>856</v>
      </c>
      <c r="AI138" s="37"/>
      <c r="AJ13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8" s="37" t="s">
        <v>856</v>
      </c>
      <c r="AL138" s="38"/>
      <c r="AM13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8" s="37" t="s">
        <v>854</v>
      </c>
      <c r="AO138" s="41">
        <v>44569</v>
      </c>
      <c r="AP13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8" s="37" t="s">
        <v>856</v>
      </c>
      <c r="AR138" s="37"/>
      <c r="AS13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8" s="41" cm="1">
        <f t="array" aca="1" ref="AT138" ca="1">INDEX('SAP Customer Data'!A:Z,MATCH(بيانات_العملاء[[#This Row],[رمز شريك الأعمال]],'SAP Customer Data'!B:B,0),CELL("col",Table_Customer_Data[[#Headers],[CreateDate]]))</f>
        <v>44922</v>
      </c>
      <c r="AU138" s="37"/>
      <c r="AV138" s="41"/>
      <c r="AW138" s="37" t="s">
        <v>2097</v>
      </c>
      <c r="AX138" s="37"/>
    </row>
    <row r="139" spans="1:50" x14ac:dyDescent="0.25">
      <c r="A139" s="36" t="str" cm="1">
        <f t="array" aca="1" ref="A139" ca="1">INDEX('SAP Customer Data'!$A:$AC,MATCH(بيانات_العملاء[[#This Row],[رمز شريك الأعمال]],'SAP Customer Data'!$B:$B,0),CELL("col",Table_Customer_Data[[#Headers],[GroupName]]))</f>
        <v>CS03</v>
      </c>
      <c r="B139" s="35" t="s">
        <v>293</v>
      </c>
      <c r="C139" s="37" t="str" cm="1">
        <f t="array" aca="1" ref="C139" ca="1">INDEX('SAP Customer Data'!$A:$AC,MATCH(بيانات_العملاء[[#This Row],[رمز شريك الأعمال]],'SAP Customer Data'!$B:$B,0),CELL("col",Table_Customer_Data[[#Headers],[CardName]]))</f>
        <v>مؤسسة الضوء النقي للتجارة</v>
      </c>
      <c r="D139" s="37" t="str">
        <f ca="1">IF(بيانات_العملاء[[#This Row],[حد الائتمان على SAP]]&gt;0,"آجل","نقدى")</f>
        <v>آجل</v>
      </c>
      <c r="E139" s="37" t="s">
        <v>2064</v>
      </c>
      <c r="F139" s="37" t="s">
        <v>1081</v>
      </c>
      <c r="G139" s="37" t="s">
        <v>854</v>
      </c>
      <c r="H13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39" s="37" t="s">
        <v>854</v>
      </c>
      <c r="J139" s="38">
        <v>44955</v>
      </c>
      <c r="K139" s="37" t="s">
        <v>855</v>
      </c>
      <c r="L139" s="37" t="str">
        <f ca="1">IF(AND(بيانات_العملاء[[#This Row],[السجل التجارى]]="موجود",TODAY()+'Other Data'!$B$23&lt;J139,بيانات_العملاء[[#This Row],[مطابقة اسم العميل بالاسم بالسجل التجارى]]="مطابق"), "سارى", "يجب اعادة طلبه")</f>
        <v>يجب اعادة طلبه</v>
      </c>
      <c r="M139" s="37" t="s">
        <v>854</v>
      </c>
      <c r="N139" s="39" t="str" cm="1">
        <f t="array" aca="1" ref="N139" ca="1">INDEX('SAP Customer Data'!$A:$AC,MATCH(بيانات_العملاء[[#This Row],[رمز شريك الأعمال]],'SAP Customer Data'!$B:$B,0),CELL("col",Table_Customer_Data[[#Headers],[LicTradNum]]))</f>
        <v>311332188800003</v>
      </c>
      <c r="O13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39" s="37" t="s">
        <v>854</v>
      </c>
      <c r="Q139" s="38">
        <v>45117</v>
      </c>
      <c r="R13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39" s="37" t="s">
        <v>854</v>
      </c>
      <c r="T139" s="40">
        <v>50000</v>
      </c>
      <c r="U139" s="41"/>
      <c r="V13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3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139" s="37" cm="1">
        <f t="array" aca="1" ref="X139" ca="1">INDEX('SAP Customer Data'!$A:$AC,MATCH(بيانات_العملاء[[#This Row],[رمز شريك الأعمال]],'SAP Customer Data'!$B:$B,0),CELL("col",Table_Customer_Data[[#Headers],[CreditLine]]))</f>
        <v>40000</v>
      </c>
      <c r="Y13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39" s="37" t="s">
        <v>855</v>
      </c>
      <c r="AA13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39" s="37" t="s">
        <v>856</v>
      </c>
      <c r="AC139" s="37"/>
      <c r="AD13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39" s="37" t="s">
        <v>856</v>
      </c>
      <c r="AF139" s="37"/>
      <c r="AG13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39" s="37" t="s">
        <v>856</v>
      </c>
      <c r="AI139" s="37"/>
      <c r="AJ13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39" s="37" t="s">
        <v>856</v>
      </c>
      <c r="AL139" s="38"/>
      <c r="AM13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39" s="37" t="s">
        <v>854</v>
      </c>
      <c r="AO139" s="41"/>
      <c r="AP13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39" s="37" t="s">
        <v>856</v>
      </c>
      <c r="AR139" s="37"/>
      <c r="AS13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39" s="41" cm="1">
        <f t="array" aca="1" ref="AT139" ca="1">INDEX('SAP Customer Data'!A:Z,MATCH(بيانات_العملاء[[#This Row],[رمز شريك الأعمال]],'SAP Customer Data'!B:B,0),CELL("col",Table_Customer_Data[[#Headers],[CreateDate]]))</f>
        <v>44485</v>
      </c>
      <c r="AU139" s="37"/>
      <c r="AV139" s="41"/>
      <c r="AW139" s="37" t="s">
        <v>2097</v>
      </c>
      <c r="AX139" s="37"/>
    </row>
    <row r="140" spans="1:50" x14ac:dyDescent="0.25">
      <c r="A140" s="36" t="str" cm="1">
        <f t="array" aca="1" ref="A140" ca="1">INDEX('SAP Customer Data'!$A:$AC,MATCH(بيانات_العملاء[[#This Row],[رمز شريك الأعمال]],'SAP Customer Data'!$B:$B,0),CELL("col",Table_Customer_Data[[#Headers],[GroupName]]))</f>
        <v>CS03</v>
      </c>
      <c r="B140" s="42" t="s">
        <v>460</v>
      </c>
      <c r="C140" s="37" t="str" cm="1">
        <f t="array" aca="1" ref="C140" ca="1">INDEX('SAP Customer Data'!$A:$AC,MATCH(بيانات_العملاء[[#This Row],[رمز شريك الأعمال]],'SAP Customer Data'!$B:$B,0),CELL("col",Table_Customer_Data[[#Headers],[CardName]]))</f>
        <v>مؤسسة دار البناء للتجارة - نقدي</v>
      </c>
      <c r="D140" s="37" t="str">
        <f ca="1">IF(بيانات_العملاء[[#This Row],[حد الائتمان على SAP]]&gt;0,"آجل","نقدى")</f>
        <v>نقدى</v>
      </c>
      <c r="E140" s="37"/>
      <c r="F140" s="37" t="s">
        <v>1082</v>
      </c>
      <c r="G140" s="37"/>
      <c r="H14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40" s="37" t="s">
        <v>856</v>
      </c>
      <c r="J140" s="38"/>
      <c r="K140" s="37"/>
      <c r="L140" s="37" t="str">
        <f ca="1">IF(AND(بيانات_العملاء[[#This Row],[السجل التجارى]]="موجود",TODAY()+'Other Data'!$B$23&lt;J140,بيانات_العملاء[[#This Row],[مطابقة اسم العميل بالاسم بالسجل التجارى]]="مطابق"), "سارى", "يجب اعادة طلبه")</f>
        <v>يجب اعادة طلبه</v>
      </c>
      <c r="M140" s="37" t="s">
        <v>854</v>
      </c>
      <c r="N140" s="39" t="str" cm="1">
        <f t="array" aca="1" ref="N140" ca="1">INDEX('SAP Customer Data'!$A:$AC,MATCH(بيانات_العملاء[[#This Row],[رمز شريك الأعمال]],'SAP Customer Data'!$B:$B,0),CELL("col",Table_Customer_Data[[#Headers],[LicTradNum]]))</f>
        <v>300049588400003</v>
      </c>
      <c r="O14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0" s="37"/>
      <c r="Q140" s="38"/>
      <c r="R14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0" s="37" t="s">
        <v>1080</v>
      </c>
      <c r="T140" s="40"/>
      <c r="U140" s="41"/>
      <c r="V14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4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40" s="37" cm="1">
        <f t="array" aca="1" ref="X140" ca="1">INDEX('SAP Customer Data'!$A:$AC,MATCH(بيانات_العملاء[[#This Row],[رمز شريك الأعمال]],'SAP Customer Data'!$B:$B,0),CELL("col",Table_Customer_Data[[#Headers],[CreditLine]]))</f>
        <v>0</v>
      </c>
      <c r="Y14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40" s="37"/>
      <c r="AA14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40" s="37"/>
      <c r="AC140" s="37"/>
      <c r="AD14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0" s="37"/>
      <c r="AF140" s="37"/>
      <c r="AG14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0" s="37"/>
      <c r="AI140" s="37"/>
      <c r="AJ14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0" s="37"/>
      <c r="AL140" s="38"/>
      <c r="AM14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0" s="37"/>
      <c r="AO140" s="41"/>
      <c r="AP14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0" s="37"/>
      <c r="AR140" s="37"/>
      <c r="AS14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0" s="41" cm="1">
        <f t="array" aca="1" ref="AT140" ca="1">INDEX('SAP Customer Data'!A:Z,MATCH(بيانات_العملاء[[#This Row],[رمز شريك الأعمال]],'SAP Customer Data'!B:B,0),CELL("col",Table_Customer_Data[[#Headers],[CreateDate]]))</f>
        <v>44072</v>
      </c>
      <c r="AU140" s="37"/>
      <c r="AV140" s="41"/>
      <c r="AW140" s="37" t="s">
        <v>2097</v>
      </c>
      <c r="AX140" s="37"/>
    </row>
    <row r="141" spans="1:50" s="71" customFormat="1" x14ac:dyDescent="0.25">
      <c r="A141" s="36" t="str" cm="1">
        <f t="array" aca="1" ref="A141" ca="1">INDEX('SAP Customer Data'!$A:$AC,MATCH(بيانات_العملاء[[#This Row],[رمز شريك الأعمال]],'SAP Customer Data'!$B:$B,0),CELL("col",Table_Customer_Data[[#Headers],[GroupName]]))</f>
        <v>CS03</v>
      </c>
      <c r="B141" s="35" t="s">
        <v>300</v>
      </c>
      <c r="C141" s="37" t="str" cm="1">
        <f t="array" aca="1" ref="C141" ca="1">INDEX('SAP Customer Data'!$A:$AC,MATCH(بيانات_العملاء[[#This Row],[رمز شريك الأعمال]],'SAP Customer Data'!$B:$B,0),CELL("col",Table_Customer_Data[[#Headers],[CardName]]))</f>
        <v>مؤسسة دار جريف للتجارة</v>
      </c>
      <c r="D141" s="37" t="str">
        <f ca="1">IF(بيانات_العملاء[[#This Row],[حد الائتمان على SAP]]&gt;0,"آجل","نقدى")</f>
        <v>آجل</v>
      </c>
      <c r="E141" s="37"/>
      <c r="F141" s="37" t="s">
        <v>1082</v>
      </c>
      <c r="G141" s="37" t="s">
        <v>854</v>
      </c>
      <c r="H14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41" s="37" t="s">
        <v>856</v>
      </c>
      <c r="J141" s="38"/>
      <c r="K141" s="37"/>
      <c r="L141" s="37" t="str">
        <f ca="1">IF(AND(بيانات_العملاء[[#This Row],[السجل التجارى]]="موجود",TODAY()+'Other Data'!$B$23&lt;J141,بيانات_العملاء[[#This Row],[مطابقة اسم العميل بالاسم بالسجل التجارى]]="مطابق"), "سارى", "يجب اعادة طلبه")</f>
        <v>يجب اعادة طلبه</v>
      </c>
      <c r="M141" s="37" t="s">
        <v>854</v>
      </c>
      <c r="N141" s="39" t="str" cm="1">
        <f t="array" aca="1" ref="N141" ca="1">INDEX('SAP Customer Data'!$A:$AC,MATCH(بيانات_العملاء[[#This Row],[رمز شريك الأعمال]],'SAP Customer Data'!$B:$B,0),CELL("col",Table_Customer_Data[[#Headers],[LicTradNum]]))</f>
        <v>300032946900003</v>
      </c>
      <c r="O14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1" s="37" t="s">
        <v>856</v>
      </c>
      <c r="Q141" s="38"/>
      <c r="R14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1" s="37" t="s">
        <v>1075</v>
      </c>
      <c r="T141" s="40">
        <v>70000</v>
      </c>
      <c r="U141" s="41">
        <v>43907</v>
      </c>
      <c r="V141" s="41">
        <f>IF(بيانات_العملاء[[#This Row],[تاريخ انشاء سند الامر او الاستثناء]]="",0,بيانات_العملاء[[#This Row],[تاريخ انشاء سند الامر او الاستثناء]]+365*3)</f>
        <v>45002</v>
      </c>
      <c r="W14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70000</v>
      </c>
      <c r="X141" s="37" cm="1">
        <f t="array" aca="1" ref="X141" ca="1">INDEX('SAP Customer Data'!$A:$AC,MATCH(بيانات_العملاء[[#This Row],[رمز شريك الأعمال]],'SAP Customer Data'!$B:$B,0),CELL("col",Table_Customer_Data[[#Headers],[CreditLine]]))</f>
        <v>70000</v>
      </c>
      <c r="Y14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41" s="37"/>
      <c r="AA14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41" s="37" t="s">
        <v>856</v>
      </c>
      <c r="AC141" s="37"/>
      <c r="AD14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1" s="37" t="s">
        <v>856</v>
      </c>
      <c r="AF141" s="37"/>
      <c r="AG14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1" s="37" t="s">
        <v>856</v>
      </c>
      <c r="AI141" s="37"/>
      <c r="AJ14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1" s="37" t="s">
        <v>856</v>
      </c>
      <c r="AL141" s="38"/>
      <c r="AM14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1" s="37" t="s">
        <v>856</v>
      </c>
      <c r="AO141" s="41"/>
      <c r="AP14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1" s="37" t="s">
        <v>856</v>
      </c>
      <c r="AR141" s="37"/>
      <c r="AS14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1" s="41" cm="1">
        <f t="array" aca="1" ref="AT141" ca="1">INDEX('SAP Customer Data'!A:Z,MATCH(بيانات_العملاء[[#This Row],[رمز شريك الأعمال]],'SAP Customer Data'!B:B,0),CELL("col",Table_Customer_Data[[#Headers],[CreateDate]]))</f>
        <v>43904</v>
      </c>
      <c r="AU141" s="37"/>
      <c r="AV141" s="41"/>
      <c r="AW141" s="37" t="s">
        <v>2097</v>
      </c>
      <c r="AX141" s="37"/>
    </row>
    <row r="142" spans="1:50" x14ac:dyDescent="0.25">
      <c r="A142" s="36" t="str" cm="1">
        <f t="array" aca="1" ref="A142" ca="1">INDEX('SAP Customer Data'!$A:$AC,MATCH(بيانات_العملاء[[#This Row],[رمز شريك الأعمال]],'SAP Customer Data'!$B:$B,0),CELL("col",Table_Customer_Data[[#Headers],[GroupName]]))</f>
        <v>CS03</v>
      </c>
      <c r="B142" s="35" t="s">
        <v>305</v>
      </c>
      <c r="C142" s="37" t="str" cm="1">
        <f t="array" aca="1" ref="C142" ca="1">INDEX('SAP Customer Data'!$A:$AC,MATCH(بيانات_العملاء[[#This Row],[رمز شريك الأعمال]],'SAP Customer Data'!$B:$B,0),CELL("col",Table_Customer_Data[[#Headers],[CardName]]))</f>
        <v>شركة روافد الكهرباء للتجارة</v>
      </c>
      <c r="D142" s="37" t="str">
        <f ca="1">IF(بيانات_العملاء[[#This Row],[حد الائتمان على SAP]]&gt;0,"آجل","نقدى")</f>
        <v>آجل</v>
      </c>
      <c r="E142" s="37"/>
      <c r="F142" s="37" t="s">
        <v>908</v>
      </c>
      <c r="G142" s="37" t="s">
        <v>854</v>
      </c>
      <c r="H14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42" s="37" t="s">
        <v>854</v>
      </c>
      <c r="J142" s="43">
        <v>45082</v>
      </c>
      <c r="K142" s="37" t="s">
        <v>855</v>
      </c>
      <c r="L142" s="37" t="str">
        <f ca="1">IF(AND(بيانات_العملاء[[#This Row],[السجل التجارى]]="موجود",TODAY()+'Other Data'!$B$23&lt;J142,بيانات_العملاء[[#This Row],[مطابقة اسم العميل بالاسم بالسجل التجارى]]="مطابق"), "سارى", "يجب اعادة طلبه")</f>
        <v>يجب اعادة طلبه</v>
      </c>
      <c r="M142" s="37" t="s">
        <v>854</v>
      </c>
      <c r="N142" s="39" t="str" cm="1">
        <f t="array" aca="1" ref="N142" ca="1">INDEX('SAP Customer Data'!$A:$AC,MATCH(بيانات_العملاء[[#This Row],[رمز شريك الأعمال]],'SAP Customer Data'!$B:$B,0),CELL("col",Table_Customer_Data[[#Headers],[LicTradNum]]))</f>
        <v>311097919300003</v>
      </c>
      <c r="O14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2" s="37" t="s">
        <v>854</v>
      </c>
      <c r="Q142" s="43">
        <v>45249</v>
      </c>
      <c r="R14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42" s="37" t="s">
        <v>854</v>
      </c>
      <c r="T142" s="40">
        <v>100000</v>
      </c>
      <c r="U142" s="41">
        <v>45076</v>
      </c>
      <c r="V142" s="41">
        <f>IF(بيانات_العملاء[[#This Row],[تاريخ انشاء سند الامر او الاستثناء]]="",0,بيانات_العملاء[[#This Row],[تاريخ انشاء سند الامر او الاستثناء]]+365*3)</f>
        <v>46171</v>
      </c>
      <c r="W14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42" s="37" cm="1">
        <f t="array" aca="1" ref="X142" ca="1">INDEX('SAP Customer Data'!$A:$AC,MATCH(بيانات_العملاء[[#This Row],[رمز شريك الأعمال]],'SAP Customer Data'!$B:$B,0),CELL("col",Table_Customer_Data[[#Headers],[CreditLine]]))</f>
        <v>80000</v>
      </c>
      <c r="Y14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42" s="37" t="s">
        <v>855</v>
      </c>
      <c r="AA14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42" s="37" t="s">
        <v>856</v>
      </c>
      <c r="AC142" s="37"/>
      <c r="AD14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2" s="37" t="s">
        <v>856</v>
      </c>
      <c r="AF142" s="37"/>
      <c r="AG14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2" s="37" t="s">
        <v>856</v>
      </c>
      <c r="AI142" s="37"/>
      <c r="AJ14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2" s="37" t="s">
        <v>856</v>
      </c>
      <c r="AL142" s="38"/>
      <c r="AM14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2" s="37" t="s">
        <v>854</v>
      </c>
      <c r="AO142" s="41">
        <v>44712</v>
      </c>
      <c r="AP14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2" s="37" t="s">
        <v>856</v>
      </c>
      <c r="AR142" s="37"/>
      <c r="AS14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2" s="41" cm="1">
        <f t="array" aca="1" ref="AT142" ca="1">INDEX('SAP Customer Data'!A:Z,MATCH(بيانات_العملاء[[#This Row],[رمز شريك الأعمال]],'SAP Customer Data'!B:B,0),CELL("col",Table_Customer_Data[[#Headers],[CreateDate]]))</f>
        <v>43598</v>
      </c>
      <c r="AU142" s="37" t="s">
        <v>2043</v>
      </c>
      <c r="AV142" s="41"/>
      <c r="AW142" s="37" t="s">
        <v>2097</v>
      </c>
      <c r="AX142" s="37"/>
    </row>
    <row r="143" spans="1:50" x14ac:dyDescent="0.25">
      <c r="A143" s="36" t="str" cm="1">
        <f t="array" aca="1" ref="A143" ca="1">INDEX('SAP Customer Data'!$A:$AC,MATCH(بيانات_العملاء[[#This Row],[رمز شريك الأعمال]],'SAP Customer Data'!$B:$B,0),CELL("col",Table_Customer_Data[[#Headers],[GroupName]]))</f>
        <v>CS03</v>
      </c>
      <c r="B143" s="35" t="s">
        <v>306</v>
      </c>
      <c r="C143" s="37" t="str" cm="1">
        <f t="array" aca="1" ref="C143" ca="1">INDEX('SAP Customer Data'!$A:$AC,MATCH(بيانات_العملاء[[#This Row],[رمز شريك الأعمال]],'SAP Customer Data'!$B:$B,0),CELL("col",Table_Customer_Data[[#Headers],[CardName]]))</f>
        <v>مؤسسة اصول الانارة للتجارة</v>
      </c>
      <c r="D143" s="37" t="str">
        <f ca="1">IF(بيانات_العملاء[[#This Row],[حد الائتمان على SAP]]&gt;0,"آجل","نقدى")</f>
        <v>آجل</v>
      </c>
      <c r="E143" s="37" t="s">
        <v>2065</v>
      </c>
      <c r="F143" s="37" t="s">
        <v>1081</v>
      </c>
      <c r="G143" s="37" t="s">
        <v>854</v>
      </c>
      <c r="H14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43" s="37" t="s">
        <v>854</v>
      </c>
      <c r="J143" s="38">
        <v>44881</v>
      </c>
      <c r="K143" s="37" t="s">
        <v>855</v>
      </c>
      <c r="L143" s="37" t="str">
        <f ca="1">IF(AND(بيانات_العملاء[[#This Row],[السجل التجارى]]="موجود",TODAY()+'Other Data'!$B$23&lt;J143,بيانات_العملاء[[#This Row],[مطابقة اسم العميل بالاسم بالسجل التجارى]]="مطابق"), "سارى", "يجب اعادة طلبه")</f>
        <v>يجب اعادة طلبه</v>
      </c>
      <c r="M143" s="37" t="s">
        <v>854</v>
      </c>
      <c r="N143" s="39" t="str" cm="1">
        <f t="array" aca="1" ref="N143" ca="1">INDEX('SAP Customer Data'!$A:$AC,MATCH(بيانات_العملاء[[#This Row],[رمز شريك الأعمال]],'SAP Customer Data'!$B:$B,0),CELL("col",Table_Customer_Data[[#Headers],[LicTradNum]]))</f>
        <v>302210974500003</v>
      </c>
      <c r="O14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3" s="37" t="s">
        <v>856</v>
      </c>
      <c r="Q143" s="38"/>
      <c r="R14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3" s="37" t="s">
        <v>854</v>
      </c>
      <c r="T143" s="40">
        <v>250000</v>
      </c>
      <c r="U143" s="41">
        <v>43606</v>
      </c>
      <c r="V143" s="41">
        <f>IF(بيانات_العملاء[[#This Row],[تاريخ انشاء سند الامر او الاستثناء]]="",0,بيانات_العملاء[[#This Row],[تاريخ انشاء سند الامر او الاستثناء]]+365*3)</f>
        <v>44701</v>
      </c>
      <c r="W14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200000</v>
      </c>
      <c r="X143" s="37" cm="1">
        <f t="array" aca="1" ref="X143" ca="1">INDEX('SAP Customer Data'!$A:$AC,MATCH(بيانات_العملاء[[#This Row],[رمز شريك الأعمال]],'SAP Customer Data'!$B:$B,0),CELL("col",Table_Customer_Data[[#Headers],[CreditLine]]))</f>
        <v>200000</v>
      </c>
      <c r="Y14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43" s="37" t="s">
        <v>855</v>
      </c>
      <c r="AA14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43" s="37" t="s">
        <v>856</v>
      </c>
      <c r="AC143" s="37"/>
      <c r="AD14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3" s="37" t="s">
        <v>856</v>
      </c>
      <c r="AF143" s="37"/>
      <c r="AG14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3" s="37" t="s">
        <v>856</v>
      </c>
      <c r="AI143" s="37"/>
      <c r="AJ14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3" s="37" t="s">
        <v>856</v>
      </c>
      <c r="AL143" s="38"/>
      <c r="AM14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3" s="37" t="s">
        <v>854</v>
      </c>
      <c r="AO143" s="41"/>
      <c r="AP14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3" s="37" t="s">
        <v>856</v>
      </c>
      <c r="AR143" s="37"/>
      <c r="AS14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3" s="41" cm="1">
        <f t="array" aca="1" ref="AT143" ca="1">INDEX('SAP Customer Data'!A:Z,MATCH(بيانات_العملاء[[#This Row],[رمز شريك الأعمال]],'SAP Customer Data'!B:B,0),CELL("col",Table_Customer_Data[[#Headers],[CreateDate]]))</f>
        <v>43599</v>
      </c>
      <c r="AU143" s="37"/>
      <c r="AV143" s="41"/>
      <c r="AW143" s="37" t="s">
        <v>2097</v>
      </c>
      <c r="AX143" s="37"/>
    </row>
    <row r="144" spans="1:50" x14ac:dyDescent="0.25">
      <c r="A144" s="36" t="str" cm="1">
        <f t="array" aca="1" ref="A144" ca="1">INDEX('SAP Customer Data'!$A:$AC,MATCH(بيانات_العملاء[[#This Row],[رمز شريك الأعمال]],'SAP Customer Data'!$B:$B,0),CELL("col",Table_Customer_Data[[#Headers],[GroupName]]))</f>
        <v>CS03</v>
      </c>
      <c r="B144" s="35" t="s">
        <v>319</v>
      </c>
      <c r="C144" s="37" t="str" cm="1">
        <f t="array" aca="1" ref="C144" ca="1">INDEX('SAP Customer Data'!$A:$AC,MATCH(بيانات_العملاء[[#This Row],[رمز شريك الأعمال]],'SAP Customer Data'!$B:$B,0),CELL("col",Table_Customer_Data[[#Headers],[CardName]]))</f>
        <v>مؤسسة الاضاءة السريعة/الروضة</v>
      </c>
      <c r="D144" s="37" t="str">
        <f ca="1">IF(بيانات_العملاء[[#This Row],[حد الائتمان على SAP]]&gt;0,"آجل","نقدى")</f>
        <v>آجل</v>
      </c>
      <c r="E144" s="37" t="s">
        <v>2105</v>
      </c>
      <c r="F144" s="37" t="s">
        <v>1081</v>
      </c>
      <c r="G144" s="37" t="s">
        <v>854</v>
      </c>
      <c r="H14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44" s="37" t="s">
        <v>854</v>
      </c>
      <c r="J144" s="38">
        <v>45499</v>
      </c>
      <c r="K144" s="37" t="s">
        <v>855</v>
      </c>
      <c r="L144" s="37" t="str">
        <f ca="1">IF(AND(بيانات_العملاء[[#This Row],[السجل التجارى]]="موجود",TODAY()+'Other Data'!$B$23&lt;J144,بيانات_العملاء[[#This Row],[مطابقة اسم العميل بالاسم بالسجل التجارى]]="مطابق"), "سارى", "يجب اعادة طلبه")</f>
        <v>سارى</v>
      </c>
      <c r="M144" s="37" t="s">
        <v>854</v>
      </c>
      <c r="N144" s="39" t="str" cm="1">
        <f t="array" aca="1" ref="N144" ca="1">INDEX('SAP Customer Data'!$A:$AC,MATCH(بيانات_العملاء[[#This Row],[رمز شريك الأعمال]],'SAP Customer Data'!$B:$B,0),CELL("col",Table_Customer_Data[[#Headers],[LicTradNum]]))</f>
        <v>310078680500003</v>
      </c>
      <c r="O14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4" s="37" t="s">
        <v>854</v>
      </c>
      <c r="Q144" s="38">
        <v>44810</v>
      </c>
      <c r="R14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4" s="37" t="s">
        <v>1075</v>
      </c>
      <c r="T144" s="40">
        <v>50000</v>
      </c>
      <c r="U144" s="41">
        <v>43701</v>
      </c>
      <c r="V144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14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144" s="37" cm="1">
        <f t="array" aca="1" ref="X144" ca="1">INDEX('SAP Customer Data'!$A:$AC,MATCH(بيانات_العملاء[[#This Row],[رمز شريك الأعمال]],'SAP Customer Data'!$B:$B,0),CELL("col",Table_Customer_Data[[#Headers],[CreditLine]]))</f>
        <v>50000</v>
      </c>
      <c r="Y14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44" s="37"/>
      <c r="AA14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44" s="37" t="s">
        <v>856</v>
      </c>
      <c r="AC144" s="37"/>
      <c r="AD14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4" s="37" t="s">
        <v>856</v>
      </c>
      <c r="AF144" s="37"/>
      <c r="AG14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4" s="37" t="s">
        <v>856</v>
      </c>
      <c r="AI144" s="37"/>
      <c r="AJ14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4" s="37" t="s">
        <v>856</v>
      </c>
      <c r="AL144" s="38"/>
      <c r="AM14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4" s="37" t="s">
        <v>856</v>
      </c>
      <c r="AO144" s="41"/>
      <c r="AP14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4" s="37" t="s">
        <v>856</v>
      </c>
      <c r="AR144" s="37"/>
      <c r="AS14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4" s="41" cm="1">
        <f t="array" aca="1" ref="AT144" ca="1">INDEX('SAP Customer Data'!A:Z,MATCH(بيانات_العملاء[[#This Row],[رمز شريك الأعمال]],'SAP Customer Data'!B:B,0),CELL("col",Table_Customer_Data[[#Headers],[CreateDate]]))</f>
        <v>43659</v>
      </c>
      <c r="AU144" s="37"/>
      <c r="AV144" s="41"/>
      <c r="AW144" s="37" t="s">
        <v>2096</v>
      </c>
      <c r="AX144" s="37">
        <v>100000</v>
      </c>
    </row>
    <row r="145" spans="1:50" x14ac:dyDescent="0.25">
      <c r="A145" s="36" t="str" cm="1">
        <f t="array" aca="1" ref="A145" ca="1">INDEX('SAP Customer Data'!$A:$AC,MATCH(بيانات_العملاء[[#This Row],[رمز شريك الأعمال]],'SAP Customer Data'!$B:$B,0),CELL("col",Table_Customer_Data[[#Headers],[GroupName]]))</f>
        <v>CS03</v>
      </c>
      <c r="B145" s="35" t="s">
        <v>327</v>
      </c>
      <c r="C145" s="37" t="str" cm="1">
        <f t="array" aca="1" ref="C145" ca="1">INDEX('SAP Customer Data'!$A:$AC,MATCH(بيانات_العملاء[[#This Row],[رمز شريك الأعمال]],'SAP Customer Data'!$B:$B,0),CELL("col",Table_Customer_Data[[#Headers],[CardName]]))</f>
        <v>التوريد الفوري فرع الصحافة</v>
      </c>
      <c r="D145" s="37" t="str">
        <f ca="1">IF(بيانات_العملاء[[#This Row],[حد الائتمان على SAP]]&gt;0,"آجل","نقدى")</f>
        <v>آجل</v>
      </c>
      <c r="E145" s="37" t="s">
        <v>2101</v>
      </c>
      <c r="F145" s="37" t="s">
        <v>1081</v>
      </c>
      <c r="G145" s="37" t="s">
        <v>854</v>
      </c>
      <c r="H14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45" s="37" t="s">
        <v>854</v>
      </c>
      <c r="J145" s="38">
        <v>45094</v>
      </c>
      <c r="K145" s="37" t="s">
        <v>855</v>
      </c>
      <c r="L145" s="37" t="str">
        <f ca="1">IF(AND(بيانات_العملاء[[#This Row],[السجل التجارى]]="موجود",TODAY()+'Other Data'!$B$23&lt;J145,بيانات_العملاء[[#This Row],[مطابقة اسم العميل بالاسم بالسجل التجارى]]="مطابق"), "سارى", "يجب اعادة طلبه")</f>
        <v>يجب اعادة طلبه</v>
      </c>
      <c r="M145" s="37" t="s">
        <v>854</v>
      </c>
      <c r="N145" s="39" t="str" cm="1">
        <f t="array" aca="1" ref="N145" ca="1">INDEX('SAP Customer Data'!$A:$AC,MATCH(بيانات_العملاء[[#This Row],[رمز شريك الأعمال]],'SAP Customer Data'!$B:$B,0),CELL("col",Table_Customer_Data[[#Headers],[LicTradNum]]))</f>
        <v>300024635700003</v>
      </c>
      <c r="O14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5" s="37" t="s">
        <v>854</v>
      </c>
      <c r="Q145" s="38">
        <v>44837</v>
      </c>
      <c r="R14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5" s="37" t="s">
        <v>854</v>
      </c>
      <c r="T145" s="40">
        <v>100000</v>
      </c>
      <c r="U145" s="41">
        <v>43678</v>
      </c>
      <c r="V145" s="41">
        <f>IF(بيانات_العملاء[[#This Row],[تاريخ انشاء سند الامر او الاستثناء]]="",0,بيانات_العملاء[[#This Row],[تاريخ انشاء سند الامر او الاستثناء]]+365*3)</f>
        <v>44773</v>
      </c>
      <c r="W14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45" s="37" cm="1">
        <f t="array" aca="1" ref="X145" ca="1">INDEX('SAP Customer Data'!$A:$AC,MATCH(بيانات_العملاء[[#This Row],[رمز شريك الأعمال]],'SAP Customer Data'!$B:$B,0),CELL("col",Table_Customer_Data[[#Headers],[CreditLine]]))</f>
        <v>80000</v>
      </c>
      <c r="Y14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45" s="37" t="s">
        <v>859</v>
      </c>
      <c r="AA14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45" s="37" t="s">
        <v>856</v>
      </c>
      <c r="AC145" s="37"/>
      <c r="AD14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5" s="37" t="s">
        <v>856</v>
      </c>
      <c r="AF145" s="37"/>
      <c r="AG14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5" s="37" t="s">
        <v>856</v>
      </c>
      <c r="AI145" s="37"/>
      <c r="AJ14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5" s="37" t="s">
        <v>856</v>
      </c>
      <c r="AL145" s="38"/>
      <c r="AM14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5" s="37" t="s">
        <v>854</v>
      </c>
      <c r="AO145" s="41"/>
      <c r="AP14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5" s="37" t="s">
        <v>856</v>
      </c>
      <c r="AR145" s="37"/>
      <c r="AS14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5" s="41" cm="1">
        <f t="array" aca="1" ref="AT145" ca="1">INDEX('SAP Customer Data'!A:Z,MATCH(بيانات_العملاء[[#This Row],[رمز شريك الأعمال]],'SAP Customer Data'!B:B,0),CELL("col",Table_Customer_Data[[#Headers],[CreateDate]]))</f>
        <v>43674</v>
      </c>
      <c r="AU145" s="37"/>
      <c r="AV145" s="41" t="s">
        <v>2479</v>
      </c>
      <c r="AW145" s="37" t="s">
        <v>2096</v>
      </c>
      <c r="AX145" s="37">
        <v>240000</v>
      </c>
    </row>
    <row r="146" spans="1:50" x14ac:dyDescent="0.25">
      <c r="A146" s="36" t="str" cm="1">
        <f t="array" aca="1" ref="A146" ca="1">INDEX('SAP Customer Data'!$A:$AC,MATCH(بيانات_العملاء[[#This Row],[رمز شريك الأعمال]],'SAP Customer Data'!$B:$B,0),CELL("col",Table_Customer_Data[[#Headers],[GroupName]]))</f>
        <v>CS03</v>
      </c>
      <c r="B146" s="35" t="s">
        <v>1275</v>
      </c>
      <c r="C146" s="37" t="str" cm="1">
        <f t="array" aca="1" ref="C146" ca="1">INDEX('SAP Customer Data'!$A:$AC,MATCH(بيانات_العملاء[[#This Row],[رمز شريك الأعمال]],'SAP Customer Data'!$B:$B,0),CELL("col",Table_Customer_Data[[#Headers],[CardName]]))</f>
        <v>عميل بضمان المندوب CS03</v>
      </c>
      <c r="D146" s="37" t="str">
        <f ca="1">IF(بيانات_العملاء[[#This Row],[حد الائتمان على SAP]]&gt;0,"آجل","نقدى")</f>
        <v>نقدى</v>
      </c>
      <c r="E146" s="37"/>
      <c r="F146" s="37"/>
      <c r="G146" s="37"/>
      <c r="H14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46" s="37"/>
      <c r="J146" s="38"/>
      <c r="K146" s="41" t="str">
        <f>IF(بيانات_العملاء[[#This Row],[السجل التجارى]]="غير موجود", "غير مطابق", "")</f>
        <v/>
      </c>
      <c r="L146" s="37" t="str">
        <f ca="1">IF(AND(بيانات_العملاء[[#This Row],[السجل التجارى]]="موجود",TODAY()+'Other Data'!$B$23&lt;J146,بيانات_العملاء[[#This Row],[مطابقة اسم العميل بالاسم بالسجل التجارى]]="مطابق"), "سارى", "يجب اعادة طلبه")</f>
        <v>يجب اعادة طلبه</v>
      </c>
      <c r="M146" s="37"/>
      <c r="N146" s="39" t="str" cm="1">
        <f t="array" aca="1" ref="N146" ca="1">INDEX('SAP Customer Data'!$A:$AC,MATCH(بيانات_العملاء[[#This Row],[رمز شريك الأعمال]],'SAP Customer Data'!$B:$B,0),CELL("col",Table_Customer_Data[[#Headers],[LicTradNum]]))</f>
        <v>عمر الشرعبي</v>
      </c>
      <c r="O14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46" s="37"/>
      <c r="Q146" s="38"/>
      <c r="R146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146" s="37" t="s">
        <v>1080</v>
      </c>
      <c r="T146" s="40"/>
      <c r="U146" s="41"/>
      <c r="V14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4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46" s="37" cm="1">
        <f t="array" aca="1" ref="X146" ca="1">INDEX('SAP Customer Data'!$A:$AC,MATCH(بيانات_العملاء[[#This Row],[رمز شريك الأعمال]],'SAP Customer Data'!$B:$B,0),CELL("col",Table_Customer_Data[[#Headers],[CreditLine]]))</f>
        <v>0</v>
      </c>
      <c r="Y14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46" s="37"/>
      <c r="AA14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46" s="37"/>
      <c r="AC146" s="37"/>
      <c r="AD146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6" s="37"/>
      <c r="AF146" s="37"/>
      <c r="AG14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146" s="37"/>
      <c r="AI146" s="37"/>
      <c r="AJ14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146" s="37"/>
      <c r="AL146" s="38"/>
      <c r="AM14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6" s="37"/>
      <c r="AO146" s="41"/>
      <c r="AP14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6" s="37"/>
      <c r="AR146" s="37"/>
      <c r="AS14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146" s="41" cm="1">
        <f t="array" aca="1" ref="AT146" ca="1">INDEX('SAP Customer Data'!A:Z,MATCH(بيانات_العملاء[[#This Row],[رمز شريك الأعمال]],'SAP Customer Data'!B:B,0),CELL("col",Table_Customer_Data[[#Headers],[CreateDate]]))</f>
        <v>43680</v>
      </c>
      <c r="AU146" s="41"/>
      <c r="AV146" s="41"/>
      <c r="AW146" s="37" t="s">
        <v>2097</v>
      </c>
      <c r="AX146" s="37"/>
    </row>
    <row r="147" spans="1:50" x14ac:dyDescent="0.25">
      <c r="A147" s="36" t="str" cm="1">
        <f t="array" aca="1" ref="A147" ca="1">INDEX('SAP Customer Data'!$A:$AC,MATCH(بيانات_العملاء[[#This Row],[رمز شريك الأعمال]],'SAP Customer Data'!$B:$B,0),CELL("col",Table_Customer_Data[[#Headers],[GroupName]]))</f>
        <v>CS03</v>
      </c>
      <c r="B147" s="35" t="s">
        <v>329</v>
      </c>
      <c r="C147" s="37" t="str" cm="1">
        <f t="array" aca="1" ref="C147" ca="1">INDEX('SAP Customer Data'!$A:$AC,MATCH(بيانات_العملاء[[#This Row],[رمز شريك الأعمال]],'SAP Customer Data'!$B:$B,0),CELL("col",Table_Customer_Data[[#Headers],[CardName]]))</f>
        <v>مؤسسة طلال خالد السقاف (المرسلات)</v>
      </c>
      <c r="D147" s="37" t="str">
        <f ca="1">IF(بيانات_العملاء[[#This Row],[حد الائتمان على SAP]]&gt;0,"آجل","نقدى")</f>
        <v>آجل</v>
      </c>
      <c r="E147" s="37" t="s">
        <v>2103</v>
      </c>
      <c r="F147" s="37" t="s">
        <v>1081</v>
      </c>
      <c r="G147" s="37" t="s">
        <v>854</v>
      </c>
      <c r="H14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47" s="37" t="s">
        <v>854</v>
      </c>
      <c r="J147" s="38">
        <v>44390</v>
      </c>
      <c r="K147" s="37" t="s">
        <v>855</v>
      </c>
      <c r="L147" s="37" t="str">
        <f ca="1">IF(AND(بيانات_العملاء[[#This Row],[السجل التجارى]]="موجود",TODAY()+'Other Data'!$B$23&lt;J147,بيانات_العملاء[[#This Row],[مطابقة اسم العميل بالاسم بالسجل التجارى]]="مطابق"), "سارى", "يجب اعادة طلبه")</f>
        <v>يجب اعادة طلبه</v>
      </c>
      <c r="M147" s="37" t="s">
        <v>854</v>
      </c>
      <c r="N147" s="39" t="str" cm="1">
        <f t="array" aca="1" ref="N147" ca="1">INDEX('SAP Customer Data'!$A:$AC,MATCH(بيانات_العملاء[[#This Row],[رمز شريك الأعمال]],'SAP Customer Data'!$B:$B,0),CELL("col",Table_Customer_Data[[#Headers],[LicTradNum]]))</f>
        <v>300685483200003</v>
      </c>
      <c r="O14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7" s="37" t="s">
        <v>856</v>
      </c>
      <c r="Q147" s="38"/>
      <c r="R14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7" s="37" t="s">
        <v>854</v>
      </c>
      <c r="T147" s="40">
        <v>60000</v>
      </c>
      <c r="U147" s="41"/>
      <c r="V14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4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48000</v>
      </c>
      <c r="X147" s="37" cm="1">
        <f t="array" aca="1" ref="X147" ca="1">INDEX('SAP Customer Data'!$A:$AC,MATCH(بيانات_العملاء[[#This Row],[رمز شريك الأعمال]],'SAP Customer Data'!$B:$B,0),CELL("col",Table_Customer_Data[[#Headers],[CreditLine]]))</f>
        <v>40000</v>
      </c>
      <c r="Y14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147" s="37" t="s">
        <v>855</v>
      </c>
      <c r="AA14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47" s="37" t="s">
        <v>856</v>
      </c>
      <c r="AC147" s="37"/>
      <c r="AD14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7" s="37" t="s">
        <v>856</v>
      </c>
      <c r="AF147" s="37"/>
      <c r="AG14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7" s="37" t="s">
        <v>856</v>
      </c>
      <c r="AI147" s="37"/>
      <c r="AJ14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7" s="37" t="s">
        <v>856</v>
      </c>
      <c r="AL147" s="38"/>
      <c r="AM14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7" s="37" t="s">
        <v>856</v>
      </c>
      <c r="AO147" s="41"/>
      <c r="AP14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7" s="37" t="s">
        <v>856</v>
      </c>
      <c r="AR147" s="37"/>
      <c r="AS14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7" s="41" cm="1">
        <f t="array" aca="1" ref="AT147" ca="1">INDEX('SAP Customer Data'!A:Z,MATCH(بيانات_العملاء[[#This Row],[رمز شريك الأعمال]],'SAP Customer Data'!B:B,0),CELL("col",Table_Customer_Data[[#Headers],[CreateDate]]))</f>
        <v>43691</v>
      </c>
      <c r="AU147" s="37"/>
      <c r="AV147" s="41"/>
      <c r="AW147" s="37" t="s">
        <v>2096</v>
      </c>
      <c r="AX147" s="37">
        <v>120000</v>
      </c>
    </row>
    <row r="148" spans="1:50" x14ac:dyDescent="0.25">
      <c r="A148" s="36" t="str" cm="1">
        <f t="array" aca="1" ref="A148" ca="1">INDEX('SAP Customer Data'!$A:$AC,MATCH(بيانات_العملاء[[#This Row],[رمز شريك الأعمال]],'SAP Customer Data'!$B:$B,0),CELL("col",Table_Customer_Data[[#Headers],[GroupName]]))</f>
        <v>CS03</v>
      </c>
      <c r="B148" s="35" t="s">
        <v>331</v>
      </c>
      <c r="C148" s="37" t="str" cm="1">
        <f t="array" aca="1" ref="C148" ca="1">INDEX('SAP Customer Data'!$A:$AC,MATCH(بيانات_العملاء[[#This Row],[رمز شريك الأعمال]],'SAP Customer Data'!$B:$B,0),CELL("col",Table_Customer_Data[[#Headers],[CardName]]))</f>
        <v>مؤسسة طلال خالد السقاف (الصحافة)</v>
      </c>
      <c r="D148" s="37" t="str">
        <f ca="1">IF(بيانات_العملاء[[#This Row],[حد الائتمان على SAP]]&gt;0,"آجل","نقدى")</f>
        <v>آجل</v>
      </c>
      <c r="E148" s="37" t="s">
        <v>2103</v>
      </c>
      <c r="F148" s="37" t="s">
        <v>1081</v>
      </c>
      <c r="G148" s="37" t="s">
        <v>854</v>
      </c>
      <c r="H14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48" s="37" t="s">
        <v>854</v>
      </c>
      <c r="J148" s="38">
        <v>44390</v>
      </c>
      <c r="K148" s="37" t="s">
        <v>855</v>
      </c>
      <c r="L148" s="37" t="str">
        <f ca="1">IF(AND(بيانات_العملاء[[#This Row],[السجل التجارى]]="موجود",TODAY()+'Other Data'!$B$23&lt;J148,بيانات_العملاء[[#This Row],[مطابقة اسم العميل بالاسم بالسجل التجارى]]="مطابق"), "سارى", "يجب اعادة طلبه")</f>
        <v>يجب اعادة طلبه</v>
      </c>
      <c r="M148" s="37" t="s">
        <v>854</v>
      </c>
      <c r="N148" s="39" t="str" cm="1">
        <f t="array" aca="1" ref="N148" ca="1">INDEX('SAP Customer Data'!$A:$AC,MATCH(بيانات_العملاء[[#This Row],[رمز شريك الأعمال]],'SAP Customer Data'!$B:$B,0),CELL("col",Table_Customer_Data[[#Headers],[LicTradNum]]))</f>
        <v>300685483200003</v>
      </c>
      <c r="O14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8" s="37" t="s">
        <v>856</v>
      </c>
      <c r="Q148" s="38"/>
      <c r="R14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8" s="37" t="s">
        <v>854</v>
      </c>
      <c r="T148" s="40">
        <v>60000</v>
      </c>
      <c r="U148" s="41"/>
      <c r="V14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4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48000</v>
      </c>
      <c r="X148" s="37" cm="1">
        <f t="array" aca="1" ref="X148" ca="1">INDEX('SAP Customer Data'!$A:$AC,MATCH(بيانات_العملاء[[#This Row],[رمز شريك الأعمال]],'SAP Customer Data'!$B:$B,0),CELL("col",Table_Customer_Data[[#Headers],[CreditLine]]))</f>
        <v>40000</v>
      </c>
      <c r="Y14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148" s="37" t="s">
        <v>855</v>
      </c>
      <c r="AA14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48" s="37" t="s">
        <v>856</v>
      </c>
      <c r="AC148" s="37"/>
      <c r="AD14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8" s="37" t="s">
        <v>856</v>
      </c>
      <c r="AF148" s="37"/>
      <c r="AG14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8" s="37" t="s">
        <v>856</v>
      </c>
      <c r="AI148" s="37"/>
      <c r="AJ14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8" s="37" t="s">
        <v>856</v>
      </c>
      <c r="AL148" s="38"/>
      <c r="AM14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8" s="37" t="s">
        <v>856</v>
      </c>
      <c r="AO148" s="41"/>
      <c r="AP14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8" s="37" t="s">
        <v>856</v>
      </c>
      <c r="AR148" s="37"/>
      <c r="AS14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8" s="41" cm="1">
        <f t="array" aca="1" ref="AT148" ca="1">INDEX('SAP Customer Data'!A:Z,MATCH(بيانات_العملاء[[#This Row],[رمز شريك الأعمال]],'SAP Customer Data'!B:B,0),CELL("col",Table_Customer_Data[[#Headers],[CreateDate]]))</f>
        <v>43691</v>
      </c>
      <c r="AU148" s="37"/>
      <c r="AV148" s="41"/>
      <c r="AW148" s="37" t="s">
        <v>2096</v>
      </c>
      <c r="AX148" s="37">
        <v>120000</v>
      </c>
    </row>
    <row r="149" spans="1:50" s="72" customFormat="1" x14ac:dyDescent="0.25">
      <c r="A149" s="16" t="str" cm="1">
        <f t="array" aca="1" ref="A149" ca="1">INDEX('SAP Customer Data'!$A:$AC,MATCH(بيانات_العملاء[[#This Row],[رمز شريك الأعمال]],'SAP Customer Data'!$B:$B,0),CELL("col",Table_Customer_Data[[#Headers],[GroupName]]))</f>
        <v>CS03</v>
      </c>
      <c r="B149" s="17" t="s">
        <v>333</v>
      </c>
      <c r="C149" s="15" t="str" cm="1">
        <f t="array" aca="1" ref="C149" ca="1">INDEX('SAP Customer Data'!$A:$AC,MATCH(بيانات_العملاء[[#This Row],[رمز شريك الأعمال]],'SAP Customer Data'!$B:$B,0),CELL("col",Table_Customer_Data[[#Headers],[CardName]]))</f>
        <v>مؤسسة طلال خالد السقاف</v>
      </c>
      <c r="D149" s="15" t="str">
        <f ca="1">IF(بيانات_العملاء[[#This Row],[حد الائتمان على SAP]]&gt;0,"آجل","نقدى")</f>
        <v>آجل</v>
      </c>
      <c r="E149" s="15"/>
      <c r="F149" s="15" t="s">
        <v>1082</v>
      </c>
      <c r="G149" s="15" t="s">
        <v>856</v>
      </c>
      <c r="H149" s="15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49" s="15" t="s">
        <v>856</v>
      </c>
      <c r="J149" s="18"/>
      <c r="K149" s="15"/>
      <c r="L149" s="15" t="str">
        <f ca="1">IF(AND(بيانات_العملاء[[#This Row],[السجل التجارى]]="موجود",TODAY()+'Other Data'!$B$23&lt;J149,بيانات_العملاء[[#This Row],[مطابقة اسم العميل بالاسم بالسجل التجارى]]="مطابق"), "سارى", "يجب اعادة طلبه")</f>
        <v>يجب اعادة طلبه</v>
      </c>
      <c r="M149" s="15" t="s">
        <v>854</v>
      </c>
      <c r="N149" s="19" t="str" cm="1">
        <f t="array" aca="1" ref="N149" ca="1">INDEX('SAP Customer Data'!$A:$AC,MATCH(بيانات_العملاء[[#This Row],[رمز شريك الأعمال]],'SAP Customer Data'!$B:$B,0),CELL("col",Table_Customer_Data[[#Headers],[LicTradNum]]))</f>
        <v>300685483200003</v>
      </c>
      <c r="O149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49" s="15" t="s">
        <v>856</v>
      </c>
      <c r="Q149" s="18"/>
      <c r="R149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49" s="15" t="s">
        <v>856</v>
      </c>
      <c r="T149" s="27"/>
      <c r="U149" s="8"/>
      <c r="V149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49" s="15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49" s="15" cm="1">
        <f t="array" aca="1" ref="X149" ca="1">INDEX('SAP Customer Data'!$A:$AC,MATCH(بيانات_العملاء[[#This Row],[رمز شريك الأعمال]],'SAP Customer Data'!$B:$B,0),CELL("col",Table_Customer_Data[[#Headers],[CreditLine]]))</f>
        <v>16000</v>
      </c>
      <c r="Y149" s="15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149" s="37"/>
      <c r="AA14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49" s="15" t="s">
        <v>856</v>
      </c>
      <c r="AC149" s="15"/>
      <c r="AD149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49" s="15" t="s">
        <v>856</v>
      </c>
      <c r="AF149" s="15"/>
      <c r="AG149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49" s="15" t="s">
        <v>856</v>
      </c>
      <c r="AI149" s="15"/>
      <c r="AJ149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49" s="15" t="s">
        <v>856</v>
      </c>
      <c r="AL149" s="18"/>
      <c r="AM149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49" s="15" t="s">
        <v>856</v>
      </c>
      <c r="AO149" s="8"/>
      <c r="AP149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49" s="15" t="s">
        <v>856</v>
      </c>
      <c r="AR149" s="15"/>
      <c r="AS149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49" s="8" cm="1">
        <f t="array" aca="1" ref="AT149" ca="1">INDEX('SAP Customer Data'!A:Z,MATCH(بيانات_العملاء[[#This Row],[رمز شريك الأعمال]],'SAP Customer Data'!B:B,0),CELL("col",Table_Customer_Data[[#Headers],[CreateDate]]))</f>
        <v>43691</v>
      </c>
      <c r="AU149" s="15"/>
      <c r="AV149" s="33" t="s">
        <v>920</v>
      </c>
      <c r="AW149" s="15" t="s">
        <v>2096</v>
      </c>
      <c r="AX149" s="15">
        <v>120000</v>
      </c>
    </row>
    <row r="150" spans="1:50" x14ac:dyDescent="0.25">
      <c r="A150" s="36" t="str" cm="1">
        <f t="array" aca="1" ref="A150" ca="1">INDEX('SAP Customer Data'!$A:$AC,MATCH(بيانات_العملاء[[#This Row],[رمز شريك الأعمال]],'SAP Customer Data'!$B:$B,0),CELL("col",Table_Customer_Data[[#Headers],[GroupName]]))</f>
        <v>CS03</v>
      </c>
      <c r="B150" s="35" t="s">
        <v>335</v>
      </c>
      <c r="C150" s="37" t="str" cm="1">
        <f t="array" aca="1" ref="C150" ca="1">INDEX('SAP Customer Data'!$A:$AC,MATCH(بيانات_العملاء[[#This Row],[رمز شريك الأعمال]],'SAP Customer Data'!$B:$B,0),CELL("col",Table_Customer_Data[[#Headers],[CardName]]))</f>
        <v>مؤسسة ابلاج للتجارة</v>
      </c>
      <c r="D150" s="37" t="str">
        <f ca="1">IF(بيانات_العملاء[[#This Row],[حد الائتمان على SAP]]&gt;0,"آجل","نقدى")</f>
        <v>آجل</v>
      </c>
      <c r="E150" s="37" t="s">
        <v>2084</v>
      </c>
      <c r="F150" s="37" t="s">
        <v>1081</v>
      </c>
      <c r="G150" s="37" t="s">
        <v>918</v>
      </c>
      <c r="H15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50" s="37" t="s">
        <v>854</v>
      </c>
      <c r="J150" s="38">
        <v>45845</v>
      </c>
      <c r="K150" s="37" t="s">
        <v>855</v>
      </c>
      <c r="L150" s="37" t="str">
        <f ca="1">IF(AND(بيانات_العملاء[[#This Row],[السجل التجارى]]="موجود",TODAY()+'Other Data'!$B$23&lt;J150,بيانات_العملاء[[#This Row],[مطابقة اسم العميل بالاسم بالسجل التجارى]]="مطابق"), "سارى", "يجب اعادة طلبه")</f>
        <v>سارى</v>
      </c>
      <c r="M150" s="37" t="s">
        <v>856</v>
      </c>
      <c r="N150" s="39" t="str" cm="1">
        <f t="array" aca="1" ref="N150" ca="1">INDEX('SAP Customer Data'!$A:$AC,MATCH(بيانات_العملاء[[#This Row],[رمز شريك الأعمال]],'SAP Customer Data'!$B:$B,0),CELL("col",Table_Customer_Data[[#Headers],[LicTradNum]]))</f>
        <v>300399196500003</v>
      </c>
      <c r="O15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50" s="37" t="s">
        <v>854</v>
      </c>
      <c r="Q150" s="38">
        <v>45184</v>
      </c>
      <c r="R15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0" s="37" t="s">
        <v>1075</v>
      </c>
      <c r="T150" s="40">
        <v>300000</v>
      </c>
      <c r="U150" s="41"/>
      <c r="V15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5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300000</v>
      </c>
      <c r="X150" s="37" cm="1">
        <f t="array" aca="1" ref="X150" ca="1">INDEX('SAP Customer Data'!$A:$AC,MATCH(بيانات_العملاء[[#This Row],[رمز شريك الأعمال]],'SAP Customer Data'!$B:$B,0),CELL("col",Table_Customer_Data[[#Headers],[CreditLine]]))</f>
        <v>300000</v>
      </c>
      <c r="Y15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0" s="37"/>
      <c r="AA15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50" s="37" t="s">
        <v>856</v>
      </c>
      <c r="AC150" s="37"/>
      <c r="AD15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0" s="37" t="s">
        <v>856</v>
      </c>
      <c r="AF150" s="37"/>
      <c r="AG15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0" s="37" t="s">
        <v>856</v>
      </c>
      <c r="AI150" s="37"/>
      <c r="AJ15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0" s="37" t="s">
        <v>856</v>
      </c>
      <c r="AL150" s="38"/>
      <c r="AM15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0" s="37" t="s">
        <v>856</v>
      </c>
      <c r="AO150" s="41"/>
      <c r="AP15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0" s="37" t="s">
        <v>856</v>
      </c>
      <c r="AR150" s="37"/>
      <c r="AS15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0" s="41" cm="1">
        <f t="array" aca="1" ref="AT150" ca="1">INDEX('SAP Customer Data'!A:Z,MATCH(بيانات_العملاء[[#This Row],[رمز شريك الأعمال]],'SAP Customer Data'!B:B,0),CELL("col",Table_Customer_Data[[#Headers],[CreateDate]]))</f>
        <v>43717</v>
      </c>
      <c r="AU150" s="37"/>
      <c r="AV150" s="41" t="s">
        <v>2271</v>
      </c>
      <c r="AW150" s="37" t="s">
        <v>2097</v>
      </c>
      <c r="AX150" s="37"/>
    </row>
    <row r="151" spans="1:50" x14ac:dyDescent="0.25">
      <c r="A151" s="36" t="str" cm="1">
        <f t="array" aca="1" ref="A151" ca="1">INDEX('SAP Customer Data'!$A:$AC,MATCH(بيانات_العملاء[[#This Row],[رمز شريك الأعمال]],'SAP Customer Data'!$B:$B,0),CELL("col",Table_Customer_Data[[#Headers],[GroupName]]))</f>
        <v>CS03</v>
      </c>
      <c r="B151" s="42" t="s">
        <v>464</v>
      </c>
      <c r="C151" s="37" t="str" cm="1">
        <f t="array" aca="1" ref="C151" ca="1">INDEX('SAP Customer Data'!$A:$AC,MATCH(بيانات_العملاء[[#This Row],[رمز شريك الأعمال]],'SAP Customer Data'!$B:$B,0),CELL("col",Table_Customer_Data[[#Headers],[CardName]]))</f>
        <v>مؤسسة البابطين للانارة-نقدي</v>
      </c>
      <c r="D151" s="37" t="str">
        <f ca="1">IF(بيانات_العملاء[[#This Row],[حد الائتمان على SAP]]&gt;0,"آجل","نقدى")</f>
        <v>نقدى</v>
      </c>
      <c r="E151" s="37"/>
      <c r="F151" s="37" t="s">
        <v>1082</v>
      </c>
      <c r="G151" s="37"/>
      <c r="H15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51" s="37" t="s">
        <v>856</v>
      </c>
      <c r="J151" s="38"/>
      <c r="K151" s="37"/>
      <c r="L151" s="37" t="str">
        <f ca="1">IF(AND(بيانات_العملاء[[#This Row],[السجل التجارى]]="موجود",TODAY()+'Other Data'!$B$23&lt;J151,بيانات_العملاء[[#This Row],[مطابقة اسم العميل بالاسم بالسجل التجارى]]="مطابق"), "سارى", "يجب اعادة طلبه")</f>
        <v>يجب اعادة طلبه</v>
      </c>
      <c r="M151" s="37" t="s">
        <v>854</v>
      </c>
      <c r="N151" s="39" t="str" cm="1">
        <f t="array" aca="1" ref="N151" ca="1">INDEX('SAP Customer Data'!$A:$AC,MATCH(بيانات_العملاء[[#This Row],[رمز شريك الأعمال]],'SAP Customer Data'!$B:$B,0),CELL("col",Table_Customer_Data[[#Headers],[LicTradNum]]))</f>
        <v>300135172600003</v>
      </c>
      <c r="O15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51" s="37"/>
      <c r="Q151" s="38"/>
      <c r="R15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1" s="37" t="s">
        <v>1080</v>
      </c>
      <c r="T151" s="40"/>
      <c r="U151" s="41"/>
      <c r="V15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5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51" s="37" cm="1">
        <f t="array" aca="1" ref="X151" ca="1">INDEX('SAP Customer Data'!$A:$AC,MATCH(بيانات_العملاء[[#This Row],[رمز شريك الأعمال]],'SAP Customer Data'!$B:$B,0),CELL("col",Table_Customer_Data[[#Headers],[CreditLine]]))</f>
        <v>0</v>
      </c>
      <c r="Y15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1" s="37"/>
      <c r="AA15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51" s="37"/>
      <c r="AC151" s="37"/>
      <c r="AD15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1" s="37"/>
      <c r="AF151" s="37"/>
      <c r="AG15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1" s="37"/>
      <c r="AI151" s="37"/>
      <c r="AJ15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1" s="37"/>
      <c r="AL151" s="38"/>
      <c r="AM15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1" s="37"/>
      <c r="AO151" s="41"/>
      <c r="AP15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1" s="37"/>
      <c r="AR151" s="37"/>
      <c r="AS15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1" s="41" cm="1">
        <f t="array" aca="1" ref="AT151" ca="1">INDEX('SAP Customer Data'!A:Z,MATCH(بيانات_العملاء[[#This Row],[رمز شريك الأعمال]],'SAP Customer Data'!B:B,0),CELL("col",Table_Customer_Data[[#Headers],[CreateDate]]))</f>
        <v>44165</v>
      </c>
      <c r="AU151" s="37"/>
      <c r="AV151" s="41"/>
      <c r="AW151" s="37" t="s">
        <v>2097</v>
      </c>
      <c r="AX151" s="37"/>
    </row>
    <row r="152" spans="1:50" x14ac:dyDescent="0.25">
      <c r="A152" s="36" t="str" cm="1">
        <f t="array" aca="1" ref="A152" ca="1">INDEX('SAP Customer Data'!$A:$AC,MATCH(بيانات_العملاء[[#This Row],[رمز شريك الأعمال]],'SAP Customer Data'!$B:$B,0),CELL("col",Table_Customer_Data[[#Headers],[GroupName]]))</f>
        <v>CS03</v>
      </c>
      <c r="B152" s="35" t="s">
        <v>337</v>
      </c>
      <c r="C152" s="37" t="str" cm="1">
        <f t="array" aca="1" ref="C152" ca="1">INDEX('SAP Customer Data'!$A:$AC,MATCH(بيانات_العملاء[[#This Row],[رمز شريك الأعمال]],'SAP Customer Data'!$B:$B,0),CELL("col",Table_Customer_Data[[#Headers],[CardName]]))</f>
        <v>مؤسسة عبدالعزيز حمد البريثن التجارية ( سبوت لابت )</v>
      </c>
      <c r="D152" s="37" t="str">
        <f ca="1">IF(بيانات_العملاء[[#This Row],[حد الائتمان على SAP]]&gt;0,"آجل","نقدى")</f>
        <v>آجل</v>
      </c>
      <c r="E152" s="37" t="s">
        <v>2085</v>
      </c>
      <c r="F152" s="37" t="s">
        <v>1081</v>
      </c>
      <c r="G152" s="37" t="s">
        <v>854</v>
      </c>
      <c r="H15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52" s="37" t="s">
        <v>854</v>
      </c>
      <c r="J152" s="38">
        <v>44538</v>
      </c>
      <c r="K152" s="37" t="s">
        <v>855</v>
      </c>
      <c r="L152" s="37" t="str">
        <f ca="1">IF(AND(بيانات_العملاء[[#This Row],[السجل التجارى]]="موجود",TODAY()+'Other Data'!$B$23&lt;J152,بيانات_العملاء[[#This Row],[مطابقة اسم العميل بالاسم بالسجل التجارى]]="مطابق"), "سارى", "يجب اعادة طلبه")</f>
        <v>يجب اعادة طلبه</v>
      </c>
      <c r="M152" s="37" t="s">
        <v>854</v>
      </c>
      <c r="N152" s="39" t="str" cm="1">
        <f t="array" aca="1" ref="N152" ca="1">INDEX('SAP Customer Data'!$A:$AC,MATCH(بيانات_العملاء[[#This Row],[رمز شريك الأعمال]],'SAP Customer Data'!$B:$B,0),CELL("col",Table_Customer_Data[[#Headers],[LicTradNum]]))</f>
        <v>300951457900003</v>
      </c>
      <c r="O15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52" s="37" t="s">
        <v>856</v>
      </c>
      <c r="Q152" s="38"/>
      <c r="R15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2" s="37" t="s">
        <v>1075</v>
      </c>
      <c r="T152" s="40">
        <v>50000</v>
      </c>
      <c r="U152" s="41"/>
      <c r="V15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5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152" s="37" cm="1">
        <f t="array" aca="1" ref="X152" ca="1">INDEX('SAP Customer Data'!$A:$AC,MATCH(بيانات_العملاء[[#This Row],[رمز شريك الأعمال]],'SAP Customer Data'!$B:$B,0),CELL("col",Table_Customer_Data[[#Headers],[CreditLine]]))</f>
        <v>50000</v>
      </c>
      <c r="Y15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2" s="37"/>
      <c r="AA15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52" s="37" t="s">
        <v>856</v>
      </c>
      <c r="AC152" s="37"/>
      <c r="AD15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2" s="37" t="s">
        <v>856</v>
      </c>
      <c r="AF152" s="37"/>
      <c r="AG15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2" s="37" t="s">
        <v>856</v>
      </c>
      <c r="AI152" s="37"/>
      <c r="AJ15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2" s="37" t="s">
        <v>856</v>
      </c>
      <c r="AL152" s="38"/>
      <c r="AM15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2" s="37" t="s">
        <v>856</v>
      </c>
      <c r="AO152" s="41"/>
      <c r="AP15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2" s="37" t="s">
        <v>856</v>
      </c>
      <c r="AR152" s="37"/>
      <c r="AS15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2" s="41" cm="1">
        <f t="array" aca="1" ref="AT152" ca="1">INDEX('SAP Customer Data'!A:Z,MATCH(بيانات_العملاء[[#This Row],[رمز شريك الأعمال]],'SAP Customer Data'!B:B,0),CELL("col",Table_Customer_Data[[#Headers],[CreateDate]]))</f>
        <v>43717</v>
      </c>
      <c r="AU152" s="37"/>
      <c r="AV152" s="41"/>
      <c r="AW152" s="37" t="s">
        <v>2097</v>
      </c>
      <c r="AX152" s="37"/>
    </row>
    <row r="153" spans="1:50" x14ac:dyDescent="0.25">
      <c r="A153" s="36" t="str" cm="1">
        <f t="array" aca="1" ref="A153" ca="1">INDEX('SAP Customer Data'!$A:$AC,MATCH(بيانات_العملاء[[#This Row],[رمز شريك الأعمال]],'SAP Customer Data'!$B:$B,0),CELL("col",Table_Customer_Data[[#Headers],[GroupName]]))</f>
        <v>CS03</v>
      </c>
      <c r="B153" s="35" t="s">
        <v>339</v>
      </c>
      <c r="C153" s="37" t="str" cm="1">
        <f t="array" aca="1" ref="C153" ca="1">INDEX('SAP Customer Data'!$A:$AC,MATCH(بيانات_العملاء[[#This Row],[رمز شريك الأعمال]],'SAP Customer Data'!$B:$B,0),CELL("col",Table_Customer_Data[[#Headers],[CardName]]))</f>
        <v>مؤسسة جوهرة قرطبة للتجارة</v>
      </c>
      <c r="D153" s="37" t="str">
        <f ca="1">IF(بيانات_العملاء[[#This Row],[حد الائتمان على SAP]]&gt;0,"آجل","نقدى")</f>
        <v>آجل</v>
      </c>
      <c r="E153" s="37" t="s">
        <v>2089</v>
      </c>
      <c r="F153" s="37" t="s">
        <v>1081</v>
      </c>
      <c r="G153" s="37" t="s">
        <v>854</v>
      </c>
      <c r="H15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53" s="37" t="s">
        <v>854</v>
      </c>
      <c r="J153" s="38">
        <v>43888</v>
      </c>
      <c r="K153" s="37" t="s">
        <v>855</v>
      </c>
      <c r="L153" s="37" t="str">
        <f ca="1">IF(AND(بيانات_العملاء[[#This Row],[السجل التجارى]]="موجود",TODAY()+'Other Data'!$B$23&lt;J153,بيانات_العملاء[[#This Row],[مطابقة اسم العميل بالاسم بالسجل التجارى]]="مطابق"), "سارى", "يجب اعادة طلبه")</f>
        <v>يجب اعادة طلبه</v>
      </c>
      <c r="M153" s="37" t="s">
        <v>856</v>
      </c>
      <c r="N153" s="39" cm="1">
        <f t="array" aca="1" ref="N153" ca="1">INDEX('SAP Customer Data'!$A:$AC,MATCH(بيانات_العملاء[[#This Row],[رمز شريك الأعمال]],'SAP Customer Data'!$B:$B,0),CELL("col",Table_Customer_Data[[#Headers],[LicTradNum]]))</f>
        <v>0</v>
      </c>
      <c r="O15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53" s="37" t="s">
        <v>856</v>
      </c>
      <c r="Q153" s="38"/>
      <c r="R15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3" s="37" t="s">
        <v>854</v>
      </c>
      <c r="T153" s="40">
        <v>50000</v>
      </c>
      <c r="U153" s="41"/>
      <c r="V15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5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153" s="37" cm="1">
        <f t="array" aca="1" ref="X153" ca="1">INDEX('SAP Customer Data'!$A:$AC,MATCH(بيانات_العملاء[[#This Row],[رمز شريك الأعمال]],'SAP Customer Data'!$B:$B,0),CELL("col",Table_Customer_Data[[#Headers],[CreditLine]]))</f>
        <v>40000</v>
      </c>
      <c r="Y15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3" s="37" t="s">
        <v>855</v>
      </c>
      <c r="AA15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53" s="37" t="s">
        <v>856</v>
      </c>
      <c r="AC153" s="37"/>
      <c r="AD15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3" s="37" t="s">
        <v>856</v>
      </c>
      <c r="AF153" s="37"/>
      <c r="AG15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3" s="37" t="s">
        <v>856</v>
      </c>
      <c r="AI153" s="37"/>
      <c r="AJ15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3" s="37" t="s">
        <v>856</v>
      </c>
      <c r="AL153" s="38"/>
      <c r="AM15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3" s="37" t="s">
        <v>856</v>
      </c>
      <c r="AO153" s="41"/>
      <c r="AP15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3" s="37" t="s">
        <v>856</v>
      </c>
      <c r="AR153" s="37"/>
      <c r="AS15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3" s="41" cm="1">
        <f t="array" aca="1" ref="AT153" ca="1">INDEX('SAP Customer Data'!A:Z,MATCH(بيانات_العملاء[[#This Row],[رمز شريك الأعمال]],'SAP Customer Data'!B:B,0),CELL("col",Table_Customer_Data[[#Headers],[CreateDate]]))</f>
        <v>43723</v>
      </c>
      <c r="AU153" s="37"/>
      <c r="AV153" s="41"/>
      <c r="AW153" s="37" t="s">
        <v>2097</v>
      </c>
      <c r="AX153" s="37"/>
    </row>
    <row r="154" spans="1:50" x14ac:dyDescent="0.25">
      <c r="A154" s="36" t="str" cm="1">
        <f t="array" aca="1" ref="A154" ca="1">INDEX('SAP Customer Data'!$A:$AC,MATCH(بيانات_العملاء[[#This Row],[رمز شريك الأعمال]],'SAP Customer Data'!$B:$B,0),CELL("col",Table_Customer_Data[[#Headers],[GroupName]]))</f>
        <v>CS03</v>
      </c>
      <c r="B154" s="35" t="s">
        <v>341</v>
      </c>
      <c r="C154" s="37" t="str" cm="1">
        <f t="array" aca="1" ref="C154" ca="1">INDEX('SAP Customer Data'!$A:$AC,MATCH(بيانات_العملاء[[#This Row],[رمز شريك الأعمال]],'SAP Customer Data'!$B:$B,0),CELL("col",Table_Customer_Data[[#Headers],[CardName]]))</f>
        <v>مؤسسة اول اعمار للتجارة/ الصحافة)</v>
      </c>
      <c r="D154" s="37" t="str">
        <f ca="1">IF(بيانات_العملاء[[#This Row],[حد الائتمان على SAP]]&gt;0,"آجل","نقدى")</f>
        <v>آجل</v>
      </c>
      <c r="E154" s="37" t="s">
        <v>2102</v>
      </c>
      <c r="F154" s="37" t="s">
        <v>1081</v>
      </c>
      <c r="G154" s="37" t="s">
        <v>918</v>
      </c>
      <c r="H15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54" s="37" t="s">
        <v>854</v>
      </c>
      <c r="J154" s="38">
        <v>44192</v>
      </c>
      <c r="K154" s="37" t="s">
        <v>855</v>
      </c>
      <c r="L154" s="37" t="str">
        <f ca="1">IF(AND(بيانات_العملاء[[#This Row],[السجل التجارى]]="موجود",TODAY()+'Other Data'!$B$23&lt;J154,بيانات_العملاء[[#This Row],[مطابقة اسم العميل بالاسم بالسجل التجارى]]="مطابق"), "سارى", "يجب اعادة طلبه")</f>
        <v>يجب اعادة طلبه</v>
      </c>
      <c r="M154" s="37" t="s">
        <v>854</v>
      </c>
      <c r="N154" s="39" t="str" cm="1">
        <f t="array" aca="1" ref="N154" ca="1">INDEX('SAP Customer Data'!$A:$AC,MATCH(بيانات_العملاء[[#This Row],[رمز شريك الأعمال]],'SAP Customer Data'!$B:$B,0),CELL("col",Table_Customer_Data[[#Headers],[LicTradNum]]))</f>
        <v>300031767700003</v>
      </c>
      <c r="O15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54" s="37" t="s">
        <v>856</v>
      </c>
      <c r="Q154" s="38"/>
      <c r="R15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4" s="37" t="s">
        <v>1075</v>
      </c>
      <c r="T154" s="40">
        <v>35000</v>
      </c>
      <c r="U154" s="41">
        <v>43701</v>
      </c>
      <c r="V154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15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35000</v>
      </c>
      <c r="X154" s="37" cm="1">
        <f t="array" aca="1" ref="X154" ca="1">INDEX('SAP Customer Data'!$A:$AC,MATCH(بيانات_العملاء[[#This Row],[رمز شريك الأعمال]],'SAP Customer Data'!$B:$B,0),CELL("col",Table_Customer_Data[[#Headers],[CreditLine]]))</f>
        <v>35000</v>
      </c>
      <c r="Y15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4" s="37"/>
      <c r="AA15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54" s="37" t="s">
        <v>856</v>
      </c>
      <c r="AC154" s="37"/>
      <c r="AD15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4" s="37" t="s">
        <v>856</v>
      </c>
      <c r="AF154" s="37"/>
      <c r="AG15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4" s="37" t="s">
        <v>856</v>
      </c>
      <c r="AI154" s="37"/>
      <c r="AJ15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4" s="37" t="s">
        <v>856</v>
      </c>
      <c r="AL154" s="38"/>
      <c r="AM15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4" s="37" t="s">
        <v>856</v>
      </c>
      <c r="AO154" s="41"/>
      <c r="AP15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4" s="37" t="s">
        <v>856</v>
      </c>
      <c r="AR154" s="37"/>
      <c r="AS15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4" s="41" cm="1">
        <f t="array" aca="1" ref="AT154" ca="1">INDEX('SAP Customer Data'!A:Z,MATCH(بيانات_العملاء[[#This Row],[رمز شريك الأعمال]],'SAP Customer Data'!B:B,0),CELL("col",Table_Customer_Data[[#Headers],[CreateDate]]))</f>
        <v>43736</v>
      </c>
      <c r="AU154" s="37"/>
      <c r="AV154" s="41"/>
      <c r="AW154" s="37" t="s">
        <v>2096</v>
      </c>
      <c r="AX154" s="37">
        <v>100000</v>
      </c>
    </row>
    <row r="155" spans="1:50" x14ac:dyDescent="0.25">
      <c r="A155" s="22" t="str" cm="1">
        <f t="array" aca="1" ref="A155" ca="1">INDEX('SAP Customer Data'!$A:$AC,MATCH(بيانات_العملاء[[#This Row],[رمز شريك الأعمال]],'SAP Customer Data'!$B:$B,0),CELL("col",Table_Customer_Data[[#Headers],[GroupName]]))</f>
        <v>CS03</v>
      </c>
      <c r="B155" s="23" t="s">
        <v>343</v>
      </c>
      <c r="C155" s="24" t="str" cm="1">
        <f t="array" aca="1" ref="C155" ca="1">INDEX('SAP Customer Data'!$A:$AC,MATCH(بيانات_العملاء[[#This Row],[رمز شريك الأعمال]],'SAP Customer Data'!$B:$B,0),CELL("col",Table_Customer_Data[[#Headers],[CardName]]))</f>
        <v>شركة مساعد محمد بن عجلان للتجارة</v>
      </c>
      <c r="D155" s="24" t="str">
        <f ca="1">IF(بيانات_العملاء[[#This Row],[حد الائتمان على SAP]]&gt;0,"آجل","نقدى")</f>
        <v>آجل</v>
      </c>
      <c r="E155" s="24"/>
      <c r="F155" s="24" t="s">
        <v>1082</v>
      </c>
      <c r="G155" s="24" t="s">
        <v>856</v>
      </c>
      <c r="H155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55" s="24" t="s">
        <v>856</v>
      </c>
      <c r="J155" s="25"/>
      <c r="K155" s="24"/>
      <c r="L155" s="24" t="str">
        <f ca="1">IF(AND(بيانات_العملاء[[#This Row],[السجل التجارى]]="موجود",TODAY()+'Other Data'!$B$23&lt;J155,بيانات_العملاء[[#This Row],[مطابقة اسم العميل بالاسم بالسجل التجارى]]="مطابق"), "سارى", "يجب اعادة طلبه")</f>
        <v>يجب اعادة طلبه</v>
      </c>
      <c r="M155" s="24" t="s">
        <v>854</v>
      </c>
      <c r="N155" s="2" t="str" cm="1">
        <f t="array" aca="1" ref="N155" ca="1">INDEX('SAP Customer Data'!$A:$AC,MATCH(بيانات_العملاء[[#This Row],[رمز شريك الأعمال]],'SAP Customer Data'!$B:$B,0),CELL("col",Table_Customer_Data[[#Headers],[LicTradNum]]))</f>
        <v>310828791200003</v>
      </c>
      <c r="O155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55" s="24" t="s">
        <v>854</v>
      </c>
      <c r="Q155" s="10">
        <v>46422</v>
      </c>
      <c r="R155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55" s="24" t="s">
        <v>856</v>
      </c>
      <c r="T155" s="27"/>
      <c r="U155" s="11"/>
      <c r="V155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5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55" s="24" cm="1">
        <f t="array" aca="1" ref="X155" ca="1">INDEX('SAP Customer Data'!$A:$AC,MATCH(بيانات_العملاء[[#This Row],[رمز شريك الأعمال]],'SAP Customer Data'!$B:$B,0),CELL("col",Table_Customer_Data[[#Headers],[CreditLine]]))</f>
        <v>160000</v>
      </c>
      <c r="Y15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155" s="37"/>
      <c r="AA15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55" s="24" t="s">
        <v>856</v>
      </c>
      <c r="AC155" s="24"/>
      <c r="AD155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5" s="24" t="s">
        <v>856</v>
      </c>
      <c r="AF155" s="24"/>
      <c r="AG155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5" s="24" t="s">
        <v>856</v>
      </c>
      <c r="AI155" s="24"/>
      <c r="AJ155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5" s="24" t="s">
        <v>856</v>
      </c>
      <c r="AL155" s="25"/>
      <c r="AM155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5" s="24" t="s">
        <v>856</v>
      </c>
      <c r="AO155" s="11"/>
      <c r="AP155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5" s="24" t="s">
        <v>856</v>
      </c>
      <c r="AR155" s="24"/>
      <c r="AS155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5" s="11" cm="1">
        <f t="array" aca="1" ref="AT155" ca="1">INDEX('SAP Customer Data'!A:Z,MATCH(بيانات_العملاء[[#This Row],[رمز شريك الأعمال]],'SAP Customer Data'!B:B,0),CELL("col",Table_Customer_Data[[#Headers],[CreateDate]]))</f>
        <v>43736</v>
      </c>
      <c r="AU155" s="24"/>
      <c r="AV155" s="8" t="s">
        <v>2304</v>
      </c>
      <c r="AW155" s="24" t="s">
        <v>2097</v>
      </c>
      <c r="AX155" s="24"/>
    </row>
    <row r="156" spans="1:50" s="71" customFormat="1" x14ac:dyDescent="0.25">
      <c r="A156" s="36" t="str" cm="1">
        <f t="array" aca="1" ref="A156" ca="1">INDEX('SAP Customer Data'!$A:$AC,MATCH(بيانات_العملاء[[#This Row],[رمز شريك الأعمال]],'SAP Customer Data'!$B:$B,0),CELL("col",Table_Customer_Data[[#Headers],[GroupName]]))</f>
        <v>CS03</v>
      </c>
      <c r="B156" s="35" t="s">
        <v>345</v>
      </c>
      <c r="C156" s="37" t="str" cm="1">
        <f t="array" aca="1" ref="C156" ca="1">INDEX('SAP Customer Data'!$A:$AC,MATCH(بيانات_العملاء[[#This Row],[رمز شريك الأعمال]],'SAP Customer Data'!$B:$B,0),CELL("col",Table_Customer_Data[[#Headers],[CardName]]))</f>
        <v>شركة قمة المرسلات للتجارة</v>
      </c>
      <c r="D156" s="37" t="str">
        <f ca="1">IF(بيانات_العملاء[[#This Row],[حد الائتمان على SAP]]&gt;0,"آجل","نقدى")</f>
        <v>آجل</v>
      </c>
      <c r="E156" s="37"/>
      <c r="F156" s="37" t="s">
        <v>908</v>
      </c>
      <c r="G156" s="37" t="s">
        <v>856</v>
      </c>
      <c r="H15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56" s="37" t="s">
        <v>854</v>
      </c>
      <c r="J156" s="38">
        <v>44714</v>
      </c>
      <c r="K156" s="37" t="s">
        <v>855</v>
      </c>
      <c r="L156" s="37" t="str">
        <f ca="1">IF(AND(بيانات_العملاء[[#This Row],[السجل التجارى]]="موجود",TODAY()+'Other Data'!$B$23&lt;J156,بيانات_العملاء[[#This Row],[مطابقة اسم العميل بالاسم بالسجل التجارى]]="مطابق"), "سارى", "يجب اعادة طلبه")</f>
        <v>يجب اعادة طلبه</v>
      </c>
      <c r="M156" s="37" t="s">
        <v>854</v>
      </c>
      <c r="N156" s="39" t="str" cm="1">
        <f t="array" aca="1" ref="N156" ca="1">INDEX('SAP Customer Data'!$A:$AC,MATCH(بيانات_العملاء[[#This Row],[رمز شريك الأعمال]],'SAP Customer Data'!$B:$B,0),CELL("col",Table_Customer_Data[[#Headers],[LicTradNum]]))</f>
        <v>311037610200003</v>
      </c>
      <c r="O15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56" s="37" t="s">
        <v>854</v>
      </c>
      <c r="Q156" s="38">
        <v>44818</v>
      </c>
      <c r="R15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6" s="37" t="s">
        <v>1075</v>
      </c>
      <c r="T156" s="40">
        <v>50000</v>
      </c>
      <c r="U156" s="41">
        <v>43747</v>
      </c>
      <c r="V156" s="41">
        <f>IF(بيانات_العملاء[[#This Row],[تاريخ انشاء سند الامر او الاستثناء]]="",0,بيانات_العملاء[[#This Row],[تاريخ انشاء سند الامر او الاستثناء]]+365*3)</f>
        <v>44842</v>
      </c>
      <c r="W15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156" s="37" cm="1">
        <f t="array" aca="1" ref="X156" ca="1">INDEX('SAP Customer Data'!$A:$AC,MATCH(بيانات_العملاء[[#This Row],[رمز شريك الأعمال]],'SAP Customer Data'!$B:$B,0),CELL("col",Table_Customer_Data[[#Headers],[CreditLine]]))</f>
        <v>50000</v>
      </c>
      <c r="Y15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6" s="37"/>
      <c r="AA15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56" s="37" t="s">
        <v>856</v>
      </c>
      <c r="AC156" s="37"/>
      <c r="AD15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6" s="37" t="s">
        <v>856</v>
      </c>
      <c r="AF156" s="37"/>
      <c r="AG15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6" s="37" t="s">
        <v>856</v>
      </c>
      <c r="AI156" s="37"/>
      <c r="AJ15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6" s="37" t="s">
        <v>856</v>
      </c>
      <c r="AL156" s="38"/>
      <c r="AM15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6" s="37" t="s">
        <v>854</v>
      </c>
      <c r="AO156" s="41"/>
      <c r="AP15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6" s="37" t="s">
        <v>856</v>
      </c>
      <c r="AR156" s="37"/>
      <c r="AS15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6" s="41" cm="1">
        <f t="array" aca="1" ref="AT156" ca="1">INDEX('SAP Customer Data'!A:Z,MATCH(بيانات_العملاء[[#This Row],[رمز شريك الأعمال]],'SAP Customer Data'!B:B,0),CELL("col",Table_Customer_Data[[#Headers],[CreateDate]]))</f>
        <v>43745</v>
      </c>
      <c r="AU156" s="37"/>
      <c r="AV156" s="41"/>
      <c r="AW156" s="37" t="s">
        <v>2097</v>
      </c>
      <c r="AX156" s="37"/>
    </row>
    <row r="157" spans="1:50" x14ac:dyDescent="0.25">
      <c r="A157" s="36" t="str" cm="1">
        <f t="array" aca="1" ref="A157" ca="1">INDEX('SAP Customer Data'!$A:$AC,MATCH(بيانات_العملاء[[#This Row],[رمز شريك الأعمال]],'SAP Customer Data'!$B:$B,0),CELL("col",Table_Customer_Data[[#Headers],[GroupName]]))</f>
        <v>CS03</v>
      </c>
      <c r="B157" s="35" t="s">
        <v>351</v>
      </c>
      <c r="C157" s="37" t="str" cm="1">
        <f t="array" aca="1" ref="C157" ca="1">INDEX('SAP Customer Data'!$A:$AC,MATCH(بيانات_العملاء[[#This Row],[رمز شريك الأعمال]],'SAP Customer Data'!$B:$B,0),CELL("col",Table_Customer_Data[[#Headers],[CardName]]))</f>
        <v>مؤسسة سلطان تركي العسبلي للتجارة</v>
      </c>
      <c r="D157" s="37" t="str">
        <f ca="1">IF(بيانات_العملاء[[#This Row],[حد الائتمان على SAP]]&gt;0,"آجل","نقدى")</f>
        <v>آجل</v>
      </c>
      <c r="E157" s="37" t="s">
        <v>2066</v>
      </c>
      <c r="F157" s="37" t="s">
        <v>1081</v>
      </c>
      <c r="G157" s="37" t="s">
        <v>854</v>
      </c>
      <c r="H15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57" s="37" t="s">
        <v>854</v>
      </c>
      <c r="J157" s="38">
        <v>44340</v>
      </c>
      <c r="K157" s="37" t="s">
        <v>855</v>
      </c>
      <c r="L157" s="37" t="str">
        <f ca="1">IF(AND(بيانات_العملاء[[#This Row],[السجل التجارى]]="موجود",TODAY()+'Other Data'!$B$23&lt;J157,بيانات_العملاء[[#This Row],[مطابقة اسم العميل بالاسم بالسجل التجارى]]="مطابق"), "سارى", "يجب اعادة طلبه")</f>
        <v>يجب اعادة طلبه</v>
      </c>
      <c r="M157" s="37" t="s">
        <v>856</v>
      </c>
      <c r="N157" s="39" t="str" cm="1">
        <f t="array" aca="1" ref="N157" ca="1">INDEX('SAP Customer Data'!$A:$AC,MATCH(بيانات_العملاء[[#This Row],[رمز شريك الأعمال]],'SAP Customer Data'!$B:$B,0),CELL("col",Table_Customer_Data[[#Headers],[LicTradNum]]))</f>
        <v>3000287268300003</v>
      </c>
      <c r="O15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57" s="37" t="s">
        <v>856</v>
      </c>
      <c r="Q157" s="38"/>
      <c r="R15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7" s="37" t="s">
        <v>854</v>
      </c>
      <c r="T157" s="40">
        <v>100000</v>
      </c>
      <c r="U157" s="41"/>
      <c r="V15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5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57" s="37" cm="1">
        <f t="array" aca="1" ref="X157" ca="1">INDEX('SAP Customer Data'!$A:$AC,MATCH(بيانات_العملاء[[#This Row],[رمز شريك الأعمال]],'SAP Customer Data'!$B:$B,0),CELL("col",Table_Customer_Data[[#Headers],[CreditLine]]))</f>
        <v>80000</v>
      </c>
      <c r="Y15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7" s="37" t="s">
        <v>855</v>
      </c>
      <c r="AA15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57" s="37" t="s">
        <v>856</v>
      </c>
      <c r="AC157" s="37"/>
      <c r="AD15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7" s="37" t="s">
        <v>856</v>
      </c>
      <c r="AF157" s="37"/>
      <c r="AG15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7" s="37" t="s">
        <v>856</v>
      </c>
      <c r="AI157" s="37"/>
      <c r="AJ15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7" s="37" t="s">
        <v>856</v>
      </c>
      <c r="AL157" s="38"/>
      <c r="AM15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7" s="37" t="s">
        <v>856</v>
      </c>
      <c r="AO157" s="41"/>
      <c r="AP15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7" s="37" t="s">
        <v>856</v>
      </c>
      <c r="AR157" s="37"/>
      <c r="AS15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7" s="41" cm="1">
        <f t="array" aca="1" ref="AT157" ca="1">INDEX('SAP Customer Data'!A:Z,MATCH(بيانات_العملاء[[#This Row],[رمز شريك الأعمال]],'SAP Customer Data'!B:B,0),CELL("col",Table_Customer_Data[[#Headers],[CreateDate]]))</f>
        <v>43747</v>
      </c>
      <c r="AU157" s="37"/>
      <c r="AV157" s="41"/>
      <c r="AW157" s="37" t="s">
        <v>2097</v>
      </c>
      <c r="AX157" s="37"/>
    </row>
    <row r="158" spans="1:50" x14ac:dyDescent="0.25">
      <c r="A158" s="22" t="str" cm="1">
        <f t="array" aca="1" ref="A158" ca="1">INDEX('SAP Customer Data'!$A:$AC,MATCH(بيانات_العملاء[[#This Row],[رمز شريك الأعمال]],'SAP Customer Data'!$B:$B,0),CELL("col",Table_Customer_Data[[#Headers],[GroupName]]))</f>
        <v>CS03</v>
      </c>
      <c r="B158" s="23" t="s">
        <v>355</v>
      </c>
      <c r="C158" s="24" t="str" cm="1">
        <f t="array" aca="1" ref="C158" ca="1">INDEX('SAP Customer Data'!$A:$AC,MATCH(بيانات_العملاء[[#This Row],[رمز شريك الأعمال]],'SAP Customer Data'!$B:$B,0),CELL("col",Table_Customer_Data[[#Headers],[CardName]]))</f>
        <v>شركة لمعة الاضاءة للتجارة</v>
      </c>
      <c r="D158" s="24" t="str">
        <f ca="1">IF(بيانات_العملاء[[#This Row],[حد الائتمان على SAP]]&gt;0,"آجل","نقدى")</f>
        <v>آجل</v>
      </c>
      <c r="E158" s="24"/>
      <c r="F158" s="24" t="s">
        <v>908</v>
      </c>
      <c r="G158" s="24" t="s">
        <v>856</v>
      </c>
      <c r="H158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58" s="24" t="s">
        <v>854</v>
      </c>
      <c r="J158" s="25">
        <v>45016</v>
      </c>
      <c r="K158" s="24" t="s">
        <v>855</v>
      </c>
      <c r="L158" s="24" t="str">
        <f ca="1">IF(AND(بيانات_العملاء[[#This Row],[السجل التجارى]]="موجود",TODAY()+'Other Data'!$B$23&lt;J158,بيانات_العملاء[[#This Row],[مطابقة اسم العميل بالاسم بالسجل التجارى]]="مطابق"), "سارى", "يجب اعادة طلبه")</f>
        <v>يجب اعادة طلبه</v>
      </c>
      <c r="M158" s="24" t="s">
        <v>854</v>
      </c>
      <c r="N158" s="2" t="str" cm="1">
        <f t="array" aca="1" ref="N158" ca="1">INDEX('SAP Customer Data'!$A:$AC,MATCH(بيانات_العملاء[[#This Row],[رمز شريك الأعمال]],'SAP Customer Data'!$B:$B,0),CELL("col",Table_Customer_Data[[#Headers],[LicTradNum]]))</f>
        <v>311264427200003</v>
      </c>
      <c r="O158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58" s="24" t="s">
        <v>856</v>
      </c>
      <c r="Q158" s="10"/>
      <c r="R158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8" s="24" t="s">
        <v>856</v>
      </c>
      <c r="T158" s="27"/>
      <c r="U158" s="11"/>
      <c r="V158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5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58" s="24" cm="1">
        <f t="array" aca="1" ref="X158" ca="1">INDEX('SAP Customer Data'!$A:$AC,MATCH(بيانات_العملاء[[#This Row],[رمز شريك الأعمال]],'SAP Customer Data'!$B:$B,0),CELL("col",Table_Customer_Data[[#Headers],[CreditLine]]))</f>
        <v>80000</v>
      </c>
      <c r="Y15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158" s="37"/>
      <c r="AA15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58" s="24" t="s">
        <v>856</v>
      </c>
      <c r="AC158" s="24"/>
      <c r="AD158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8" s="24" t="s">
        <v>856</v>
      </c>
      <c r="AF158" s="24"/>
      <c r="AG158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8" s="24" t="s">
        <v>856</v>
      </c>
      <c r="AI158" s="24"/>
      <c r="AJ158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8" s="24" t="s">
        <v>856</v>
      </c>
      <c r="AL158" s="25"/>
      <c r="AM158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8" s="24" t="s">
        <v>856</v>
      </c>
      <c r="AO158" s="11"/>
      <c r="AP158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8" s="24" t="s">
        <v>856</v>
      </c>
      <c r="AR158" s="24"/>
      <c r="AS158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8" s="11" cm="1">
        <f t="array" aca="1" ref="AT158" ca="1">INDEX('SAP Customer Data'!A:Z,MATCH(بيانات_العملاء[[#This Row],[رمز شريك الأعمال]],'SAP Customer Data'!B:B,0),CELL("col",Table_Customer_Data[[#Headers],[CreateDate]]))</f>
        <v>43766</v>
      </c>
      <c r="AU158" s="24"/>
      <c r="AV158" s="8" t="s">
        <v>2304</v>
      </c>
      <c r="AW158" s="24" t="s">
        <v>2097</v>
      </c>
      <c r="AX158" s="24"/>
    </row>
    <row r="159" spans="1:50" x14ac:dyDescent="0.25">
      <c r="A159" s="36" t="str" cm="1">
        <f t="array" aca="1" ref="A159" ca="1">INDEX('SAP Customer Data'!$A:$AC,MATCH(بيانات_العملاء[[#This Row],[رمز شريك الأعمال]],'SAP Customer Data'!$B:$B,0),CELL("col",Table_Customer_Data[[#Headers],[GroupName]]))</f>
        <v>CS03</v>
      </c>
      <c r="B159" s="35" t="s">
        <v>359</v>
      </c>
      <c r="C159" s="37" t="str" cm="1">
        <f t="array" aca="1" ref="C159" ca="1">INDEX('SAP Customer Data'!$A:$AC,MATCH(بيانات_العملاء[[#This Row],[رمز شريك الأعمال]],'SAP Customer Data'!$B:$B,0),CELL("col",Table_Customer_Data[[#Headers],[CardName]]))</f>
        <v>مؤسسة ارجاء الدار للتجارة</v>
      </c>
      <c r="D159" s="37" t="str">
        <f ca="1">IF(بيانات_العملاء[[#This Row],[حد الائتمان على SAP]]&gt;0,"آجل","نقدى")</f>
        <v>آجل</v>
      </c>
      <c r="E159" s="37" t="s">
        <v>2088</v>
      </c>
      <c r="F159" s="37" t="s">
        <v>1081</v>
      </c>
      <c r="G159" s="37" t="s">
        <v>854</v>
      </c>
      <c r="H15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59" s="37" t="s">
        <v>854</v>
      </c>
      <c r="J159" s="38">
        <v>44949</v>
      </c>
      <c r="K159" s="37" t="s">
        <v>855</v>
      </c>
      <c r="L159" s="37" t="str">
        <f ca="1">IF(AND(بيانات_العملاء[[#This Row],[السجل التجارى]]="موجود",TODAY()+'Other Data'!$B$23&lt;J159,بيانات_العملاء[[#This Row],[مطابقة اسم العميل بالاسم بالسجل التجارى]]="مطابق"), "سارى", "يجب اعادة طلبه")</f>
        <v>يجب اعادة طلبه</v>
      </c>
      <c r="M159" s="37" t="s">
        <v>854</v>
      </c>
      <c r="N159" s="39" t="str" cm="1">
        <f t="array" aca="1" ref="N159" ca="1">INDEX('SAP Customer Data'!$A:$AC,MATCH(بيانات_العملاء[[#This Row],[رمز شريك الأعمال]],'SAP Customer Data'!$B:$B,0),CELL("col",Table_Customer_Data[[#Headers],[LicTradNum]]))</f>
        <v>310117439300003</v>
      </c>
      <c r="O15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59" s="37" t="s">
        <v>854</v>
      </c>
      <c r="Q159" s="38">
        <v>44626</v>
      </c>
      <c r="R15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59" s="37" t="s">
        <v>1075</v>
      </c>
      <c r="T159" s="40">
        <v>50000</v>
      </c>
      <c r="U159" s="41">
        <v>44578</v>
      </c>
      <c r="V159" s="41">
        <f>IF(بيانات_العملاء[[#This Row],[تاريخ انشاء سند الامر او الاستثناء]]="",0,بيانات_العملاء[[#This Row],[تاريخ انشاء سند الامر او الاستثناء]]+365*3)</f>
        <v>45673</v>
      </c>
      <c r="W15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159" s="37" cm="1">
        <f t="array" aca="1" ref="X159" ca="1">INDEX('SAP Customer Data'!$A:$AC,MATCH(بيانات_العملاء[[#This Row],[رمز شريك الأعمال]],'SAP Customer Data'!$B:$B,0),CELL("col",Table_Customer_Data[[#Headers],[CreditLine]]))</f>
        <v>50000</v>
      </c>
      <c r="Y15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59" s="37"/>
      <c r="AA15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59" s="37" t="s">
        <v>856</v>
      </c>
      <c r="AC159" s="37"/>
      <c r="AD15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59" s="37" t="s">
        <v>856</v>
      </c>
      <c r="AF159" s="37"/>
      <c r="AG15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59" s="37" t="s">
        <v>856</v>
      </c>
      <c r="AI159" s="37"/>
      <c r="AJ15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59" s="37" t="s">
        <v>856</v>
      </c>
      <c r="AL159" s="38"/>
      <c r="AM15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59" s="37" t="s">
        <v>856</v>
      </c>
      <c r="AO159" s="41"/>
      <c r="AP15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59" s="37" t="s">
        <v>856</v>
      </c>
      <c r="AR159" s="37"/>
      <c r="AS15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59" s="41" cm="1">
        <f t="array" aca="1" ref="AT159" ca="1">INDEX('SAP Customer Data'!A:Z,MATCH(بيانات_العملاء[[#This Row],[رمز شريك الأعمال]],'SAP Customer Data'!B:B,0),CELL("col",Table_Customer_Data[[#Headers],[CreateDate]]))</f>
        <v>44581</v>
      </c>
      <c r="AU159" s="37"/>
      <c r="AV159" s="41"/>
      <c r="AW159" s="37" t="s">
        <v>2097</v>
      </c>
      <c r="AX159" s="37"/>
    </row>
    <row r="160" spans="1:50" x14ac:dyDescent="0.25">
      <c r="A160" s="36" t="str" cm="1">
        <f t="array" aca="1" ref="A160" ca="1">INDEX('SAP Customer Data'!$A:$AC,MATCH(بيانات_العملاء[[#This Row],[رمز شريك الأعمال]],'SAP Customer Data'!$B:$B,0),CELL("col",Table_Customer_Data[[#Headers],[GroupName]]))</f>
        <v>CS03</v>
      </c>
      <c r="B160" s="35" t="s">
        <v>369</v>
      </c>
      <c r="C160" s="37" t="str" cm="1">
        <f t="array" aca="1" ref="C160" ca="1">INDEX('SAP Customer Data'!$A:$AC,MATCH(بيانات_العملاء[[#This Row],[رمز شريك الأعمال]],'SAP Customer Data'!$B:$B,0),CELL("col",Table_Customer_Data[[#Headers],[CardName]]))</f>
        <v>مؤسسة مدى المحيط للتجارة</v>
      </c>
      <c r="D160" s="37" t="str">
        <f ca="1">IF(بيانات_العملاء[[#This Row],[حد الائتمان على SAP]]&gt;0,"آجل","نقدى")</f>
        <v>آجل</v>
      </c>
      <c r="E160" s="37" t="s">
        <v>1604</v>
      </c>
      <c r="F160" s="37" t="s">
        <v>1081</v>
      </c>
      <c r="G160" s="37" t="s">
        <v>854</v>
      </c>
      <c r="H16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60" s="37" t="s">
        <v>854</v>
      </c>
      <c r="J160" s="38">
        <v>44499</v>
      </c>
      <c r="K160" s="37" t="s">
        <v>855</v>
      </c>
      <c r="L160" s="37" t="str">
        <f ca="1">IF(AND(بيانات_العملاء[[#This Row],[السجل التجارى]]="موجود",TODAY()+'Other Data'!$B$23&lt;J160,بيانات_العملاء[[#This Row],[مطابقة اسم العميل بالاسم بالسجل التجارى]]="مطابق"), "سارى", "يجب اعادة طلبه")</f>
        <v>يجب اعادة طلبه</v>
      </c>
      <c r="M160" s="37" t="s">
        <v>854</v>
      </c>
      <c r="N160" s="39" t="str" cm="1">
        <f t="array" aca="1" ref="N160" ca="1">INDEX('SAP Customer Data'!$A:$AC,MATCH(بيانات_العملاء[[#This Row],[رمز شريك الأعمال]],'SAP Customer Data'!$B:$B,0),CELL("col",Table_Customer_Data[[#Headers],[LicTradNum]]))</f>
        <v>300127804900003</v>
      </c>
      <c r="O16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0" s="37" t="s">
        <v>856</v>
      </c>
      <c r="Q160" s="38"/>
      <c r="R16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0" s="37" t="s">
        <v>854</v>
      </c>
      <c r="T160" s="40">
        <v>100000</v>
      </c>
      <c r="U160" s="41"/>
      <c r="V16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6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60" s="37" cm="1">
        <f t="array" aca="1" ref="X160" ca="1">INDEX('SAP Customer Data'!$A:$AC,MATCH(بيانات_العملاء[[#This Row],[رمز شريك الأعمال]],'SAP Customer Data'!$B:$B,0),CELL("col",Table_Customer_Data[[#Headers],[CreditLine]]))</f>
        <v>80000</v>
      </c>
      <c r="Y16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0" s="37" t="s">
        <v>855</v>
      </c>
      <c r="AA16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60" s="37"/>
      <c r="AC160" s="37"/>
      <c r="AD16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0" s="37"/>
      <c r="AF160" s="37"/>
      <c r="AG16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0" s="37"/>
      <c r="AI160" s="37"/>
      <c r="AJ16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0" s="37"/>
      <c r="AL160" s="38"/>
      <c r="AM16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0" s="37"/>
      <c r="AO160" s="41"/>
      <c r="AP16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0" s="37"/>
      <c r="AR160" s="37"/>
      <c r="AS16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0" s="41" cm="1">
        <f t="array" aca="1" ref="AT160" ca="1">INDEX('SAP Customer Data'!A:Z,MATCH(بيانات_العملاء[[#This Row],[رمز شريك الأعمال]],'SAP Customer Data'!B:B,0),CELL("col",Table_Customer_Data[[#Headers],[CreateDate]]))</f>
        <v>44625</v>
      </c>
      <c r="AU160" s="37"/>
      <c r="AV160" s="41"/>
      <c r="AW160" s="37" t="s">
        <v>2097</v>
      </c>
      <c r="AX160" s="37"/>
    </row>
    <row r="161" spans="1:50" x14ac:dyDescent="0.25">
      <c r="A161" s="36" t="str" cm="1">
        <f t="array" aca="1" ref="A161" ca="1">INDEX('SAP Customer Data'!$A:$AC,MATCH(بيانات_العملاء[[#This Row],[رمز شريك الأعمال]],'SAP Customer Data'!$B:$B,0),CELL("col",Table_Customer_Data[[#Headers],[GroupName]]))</f>
        <v>CS03</v>
      </c>
      <c r="B161" s="35" t="s">
        <v>373</v>
      </c>
      <c r="C161" s="37" t="str" cm="1">
        <f t="array" aca="1" ref="C161" ca="1">INDEX('SAP Customer Data'!$A:$AC,MATCH(بيانات_العملاء[[#This Row],[رمز شريك الأعمال]],'SAP Customer Data'!$B:$B,0),CELL("col",Table_Customer_Data[[#Headers],[CardName]]))</f>
        <v>مؤسسة موسى ناصر حمد الموسي للتجارة-نقدي</v>
      </c>
      <c r="D161" s="37" t="str">
        <f ca="1">IF(بيانات_العملاء[[#This Row],[حد الائتمان على SAP]]&gt;0,"آجل","نقدى")</f>
        <v>نقدى</v>
      </c>
      <c r="E161" s="37" t="s">
        <v>2094</v>
      </c>
      <c r="F161" s="37" t="s">
        <v>1081</v>
      </c>
      <c r="G161" s="37" t="s">
        <v>854</v>
      </c>
      <c r="H16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61" s="37" t="s">
        <v>854</v>
      </c>
      <c r="J161" s="38">
        <v>45360</v>
      </c>
      <c r="K161" s="37" t="s">
        <v>855</v>
      </c>
      <c r="L161" s="37" t="str">
        <f ca="1">IF(AND(بيانات_العملاء[[#This Row],[السجل التجارى]]="موجود",TODAY()+'Other Data'!$B$23&lt;J161,بيانات_العملاء[[#This Row],[مطابقة اسم العميل بالاسم بالسجل التجارى]]="مطابق"), "سارى", "يجب اعادة طلبه")</f>
        <v>سارى</v>
      </c>
      <c r="M161" s="37" t="s">
        <v>854</v>
      </c>
      <c r="N161" s="39" t="str" cm="1">
        <f t="array" aca="1" ref="N161" ca="1">INDEX('SAP Customer Data'!$A:$AC,MATCH(بيانات_العملاء[[#This Row],[رمز شريك الأعمال]],'SAP Customer Data'!$B:$B,0),CELL("col",Table_Customer_Data[[#Headers],[LicTradNum]]))</f>
        <v>300062839500003</v>
      </c>
      <c r="O16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1" s="37" t="s">
        <v>854</v>
      </c>
      <c r="Q161" s="38">
        <v>45797</v>
      </c>
      <c r="R16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61" s="37" t="s">
        <v>1080</v>
      </c>
      <c r="T161" s="40"/>
      <c r="U161" s="41"/>
      <c r="V16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6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61" s="37" cm="1">
        <f t="array" aca="1" ref="X161" ca="1">INDEX('SAP Customer Data'!$A:$AC,MATCH(بيانات_العملاء[[#This Row],[رمز شريك الأعمال]],'SAP Customer Data'!$B:$B,0),CELL("col",Table_Customer_Data[[#Headers],[CreditLine]]))</f>
        <v>0</v>
      </c>
      <c r="Y16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1" s="37"/>
      <c r="AA16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61" s="37" t="s">
        <v>856</v>
      </c>
      <c r="AC161" s="37"/>
      <c r="AD16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1" s="37" t="s">
        <v>856</v>
      </c>
      <c r="AF161" s="37"/>
      <c r="AG16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1" s="37" t="s">
        <v>856</v>
      </c>
      <c r="AI161" s="37"/>
      <c r="AJ16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1" s="37" t="s">
        <v>856</v>
      </c>
      <c r="AL161" s="38"/>
      <c r="AM16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1" s="37" t="s">
        <v>856</v>
      </c>
      <c r="AO161" s="41"/>
      <c r="AP16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1" s="37" t="s">
        <v>856</v>
      </c>
      <c r="AR161" s="37"/>
      <c r="AS16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1" s="41" cm="1">
        <f t="array" aca="1" ref="AT161" ca="1">INDEX('SAP Customer Data'!A:Z,MATCH(بيانات_العملاء[[#This Row],[رمز شريك الأعمال]],'SAP Customer Data'!B:B,0),CELL("col",Table_Customer_Data[[#Headers],[CreateDate]]))</f>
        <v>44640</v>
      </c>
      <c r="AU161" s="37" t="s">
        <v>2095</v>
      </c>
      <c r="AV161" s="41"/>
      <c r="AW161" s="37" t="s">
        <v>2097</v>
      </c>
      <c r="AX161" s="37"/>
    </row>
    <row r="162" spans="1:50" s="71" customFormat="1" x14ac:dyDescent="0.25">
      <c r="A162" s="36" t="str" cm="1">
        <f t="array" aca="1" ref="A162" ca="1">INDEX('SAP Customer Data'!$A:$AC,MATCH(بيانات_العملاء[[#This Row],[رمز شريك الأعمال]],'SAP Customer Data'!$B:$B,0),CELL("col",Table_Customer_Data[[#Headers],[GroupName]]))</f>
        <v>CS03</v>
      </c>
      <c r="B162" s="35" t="s">
        <v>401</v>
      </c>
      <c r="C162" s="37" t="str" cm="1">
        <f t="array" aca="1" ref="C162" ca="1">INDEX('SAP Customer Data'!$A:$AC,MATCH(بيانات_العملاء[[#This Row],[رمز شريك الأعمال]],'SAP Customer Data'!$B:$B,0),CELL("col",Table_Customer_Data[[#Headers],[CardName]]))</f>
        <v>مؤسسة دار قرطاجة للتجارة</v>
      </c>
      <c r="D162" s="37" t="str">
        <f ca="1">IF(بيانات_العملاء[[#This Row],[حد الائتمان على SAP]]&gt;0,"آجل","نقدى")</f>
        <v>آجل</v>
      </c>
      <c r="E162" s="37" t="s">
        <v>1046</v>
      </c>
      <c r="F162" s="37" t="s">
        <v>1081</v>
      </c>
      <c r="G162" s="37" t="s">
        <v>854</v>
      </c>
      <c r="H16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62" s="37" t="s">
        <v>854</v>
      </c>
      <c r="J162" s="38">
        <v>44775</v>
      </c>
      <c r="K162" s="37" t="s">
        <v>855</v>
      </c>
      <c r="L162" s="37" t="str">
        <f ca="1">IF(AND(بيانات_العملاء[[#This Row],[السجل التجارى]]="موجود",TODAY()+'Other Data'!$B$23&lt;J162,بيانات_العملاء[[#This Row],[مطابقة اسم العميل بالاسم بالسجل التجارى]]="مطابق"), "سارى", "يجب اعادة طلبه")</f>
        <v>يجب اعادة طلبه</v>
      </c>
      <c r="M162" s="37" t="s">
        <v>854</v>
      </c>
      <c r="N162" s="39" t="str" cm="1">
        <f t="array" aca="1" ref="N162" ca="1">INDEX('SAP Customer Data'!$A:$AC,MATCH(بيانات_العملاء[[#This Row],[رمز شريك الأعمال]],'SAP Customer Data'!$B:$B,0),CELL("col",Table_Customer_Data[[#Headers],[LicTradNum]]))</f>
        <v>300040685300003</v>
      </c>
      <c r="O16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2" s="37" t="s">
        <v>856</v>
      </c>
      <c r="Q162" s="38"/>
      <c r="R16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2" s="37" t="s">
        <v>854</v>
      </c>
      <c r="T162" s="40">
        <v>100000</v>
      </c>
      <c r="U162" s="41"/>
      <c r="V16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6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62" s="37" cm="1">
        <f t="array" aca="1" ref="X162" ca="1">INDEX('SAP Customer Data'!$A:$AC,MATCH(بيانات_العملاء[[#This Row],[رمز شريك الأعمال]],'SAP Customer Data'!$B:$B,0),CELL("col",Table_Customer_Data[[#Headers],[CreditLine]]))</f>
        <v>80000</v>
      </c>
      <c r="Y16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2" s="37" t="s">
        <v>855</v>
      </c>
      <c r="AA16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62" s="37" t="s">
        <v>856</v>
      </c>
      <c r="AC162" s="37"/>
      <c r="AD16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2" s="37" t="s">
        <v>856</v>
      </c>
      <c r="AF162" s="37"/>
      <c r="AG16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2" s="37" t="s">
        <v>856</v>
      </c>
      <c r="AI162" s="37"/>
      <c r="AJ16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2" s="37" t="s">
        <v>856</v>
      </c>
      <c r="AL162" s="38"/>
      <c r="AM16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2" s="37" t="s">
        <v>856</v>
      </c>
      <c r="AO162" s="41"/>
      <c r="AP16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2" s="37" t="s">
        <v>856</v>
      </c>
      <c r="AR162" s="37"/>
      <c r="AS16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2" s="41" cm="1">
        <f t="array" aca="1" ref="AT162" ca="1">INDEX('SAP Customer Data'!A:Z,MATCH(بيانات_العملاء[[#This Row],[رمز شريك الأعمال]],'SAP Customer Data'!B:B,0),CELL("col",Table_Customer_Data[[#Headers],[CreateDate]]))</f>
        <v>44489</v>
      </c>
      <c r="AU162" s="37"/>
      <c r="AV162" s="81"/>
      <c r="AW162" s="37" t="s">
        <v>2096</v>
      </c>
      <c r="AX162" s="37">
        <v>250000</v>
      </c>
    </row>
    <row r="163" spans="1:50" s="71" customFormat="1" x14ac:dyDescent="0.25">
      <c r="A163" s="36" t="str" cm="1">
        <f t="array" aca="1" ref="A163" ca="1">INDEX('SAP Customer Data'!$A:$AC,MATCH(بيانات_العملاء[[#This Row],[رمز شريك الأعمال]],'SAP Customer Data'!$B:$B,0),CELL("col",Table_Customer_Data[[#Headers],[GroupName]]))</f>
        <v>CS03</v>
      </c>
      <c r="B163" s="35" t="s">
        <v>403</v>
      </c>
      <c r="C163" s="37" t="str" cm="1">
        <f t="array" aca="1" ref="C163" ca="1">INDEX('SAP Customer Data'!$A:$AC,MATCH(بيانات_العملاء[[#This Row],[رمز شريك الأعمال]],'SAP Customer Data'!$B:$B,0),CELL("col",Table_Customer_Data[[#Headers],[CardName]]))</f>
        <v>مؤسسة دار قرطاجة للتجارة فرع الصحافة</v>
      </c>
      <c r="D163" s="37" t="str">
        <f ca="1">IF(بيانات_العملاء[[#This Row],[حد الائتمان على SAP]]&gt;0,"آجل","نقدى")</f>
        <v>آجل</v>
      </c>
      <c r="E163" s="37" t="s">
        <v>1046</v>
      </c>
      <c r="F163" s="37" t="s">
        <v>1081</v>
      </c>
      <c r="G163" s="37" t="s">
        <v>854</v>
      </c>
      <c r="H16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63" s="37" t="s">
        <v>854</v>
      </c>
      <c r="J163" s="38">
        <v>44775</v>
      </c>
      <c r="K163" s="37" t="s">
        <v>859</v>
      </c>
      <c r="L163" s="37" t="str">
        <f ca="1">IF(AND(بيانات_العملاء[[#This Row],[السجل التجارى]]="موجود",TODAY()+'Other Data'!$B$23&lt;J163,بيانات_العملاء[[#This Row],[مطابقة اسم العميل بالاسم بالسجل التجارى]]="مطابق"), "سارى", "يجب اعادة طلبه")</f>
        <v>يجب اعادة طلبه</v>
      </c>
      <c r="M163" s="37" t="s">
        <v>854</v>
      </c>
      <c r="N163" s="39" t="str" cm="1">
        <f t="array" aca="1" ref="N163" ca="1">INDEX('SAP Customer Data'!$A:$AC,MATCH(بيانات_العملاء[[#This Row],[رمز شريك الأعمال]],'SAP Customer Data'!$B:$B,0),CELL("col",Table_Customer_Data[[#Headers],[LicTradNum]]))</f>
        <v>300040685300003</v>
      </c>
      <c r="O16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3" s="37" t="s">
        <v>856</v>
      </c>
      <c r="Q163" s="38"/>
      <c r="R16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3" s="37" t="s">
        <v>854</v>
      </c>
      <c r="T163" s="40">
        <v>150000</v>
      </c>
      <c r="U163" s="41"/>
      <c r="V16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6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120000</v>
      </c>
      <c r="X163" s="37" cm="1">
        <f t="array" aca="1" ref="X163" ca="1">INDEX('SAP Customer Data'!$A:$AC,MATCH(بيانات_العملاء[[#This Row],[رمز شريك الأعمال]],'SAP Customer Data'!$B:$B,0),CELL("col",Table_Customer_Data[[#Headers],[CreditLine]]))</f>
        <v>120000</v>
      </c>
      <c r="Y16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3" s="37" t="s">
        <v>855</v>
      </c>
      <c r="AA16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63" s="37" t="s">
        <v>856</v>
      </c>
      <c r="AC163" s="37"/>
      <c r="AD16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3" s="37" t="s">
        <v>856</v>
      </c>
      <c r="AF163" s="37"/>
      <c r="AG16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3" s="37" t="s">
        <v>856</v>
      </c>
      <c r="AI163" s="37"/>
      <c r="AJ16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3" s="37" t="s">
        <v>856</v>
      </c>
      <c r="AL163" s="38"/>
      <c r="AM16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3" s="37" t="s">
        <v>856</v>
      </c>
      <c r="AO163" s="41"/>
      <c r="AP16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3" s="37" t="s">
        <v>856</v>
      </c>
      <c r="AR163" s="37"/>
      <c r="AS16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3" s="41" cm="1">
        <f t="array" aca="1" ref="AT163" ca="1">INDEX('SAP Customer Data'!A:Z,MATCH(بيانات_العملاء[[#This Row],[رمز شريك الأعمال]],'SAP Customer Data'!B:B,0),CELL("col",Table_Customer_Data[[#Headers],[CreateDate]]))</f>
        <v>44689</v>
      </c>
      <c r="AU163" s="37"/>
      <c r="AV163" s="41"/>
      <c r="AW163" s="37" t="s">
        <v>2096</v>
      </c>
      <c r="AX163" s="37">
        <v>250000</v>
      </c>
    </row>
    <row r="164" spans="1:50" x14ac:dyDescent="0.25">
      <c r="A164" s="36" t="str" cm="1">
        <f t="array" aca="1" ref="A164" ca="1">INDEX('SAP Customer Data'!$A:$AC,MATCH(بيانات_العملاء[[#This Row],[رمز شريك الأعمال]],'SAP Customer Data'!$B:$B,0),CELL("col",Table_Customer_Data[[#Headers],[GroupName]]))</f>
        <v>CS03</v>
      </c>
      <c r="B164" s="35" t="s">
        <v>930</v>
      </c>
      <c r="C164" s="37" t="str" cm="1">
        <f t="array" aca="1" ref="C164" ca="1">INDEX('SAP Customer Data'!$A:$AC,MATCH(بيانات_العملاء[[#This Row],[رمز شريك الأعمال]],'SAP Customer Data'!$B:$B,0),CELL("col",Table_Customer_Data[[#Headers],[CardName]]))</f>
        <v>مؤسسة عشاق التميز للتجارة الفرع الرئيسي</v>
      </c>
      <c r="D164" s="37" t="str">
        <f ca="1">IF(بيانات_العملاء[[#This Row],[حد الائتمان على SAP]]&gt;0,"آجل","نقدى")</f>
        <v>آجل</v>
      </c>
      <c r="E164" s="37" t="s">
        <v>989</v>
      </c>
      <c r="F164" s="37" t="s">
        <v>1081</v>
      </c>
      <c r="G164" s="37" t="s">
        <v>854</v>
      </c>
      <c r="H16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64" s="37" t="s">
        <v>854</v>
      </c>
      <c r="J164" s="38">
        <v>45316</v>
      </c>
      <c r="K164" s="37" t="s">
        <v>855</v>
      </c>
      <c r="L164" s="37" t="str">
        <f ca="1">IF(AND(بيانات_العملاء[[#This Row],[السجل التجارى]]="موجود",TODAY()+'Other Data'!$B$23&lt;J164,بيانات_العملاء[[#This Row],[مطابقة اسم العميل بالاسم بالسجل التجارى]]="مطابق"), "سارى", "يجب اعادة طلبه")</f>
        <v>سارى</v>
      </c>
      <c r="M164" s="37" t="s">
        <v>854</v>
      </c>
      <c r="N164" s="39" t="str" cm="1">
        <f t="array" aca="1" ref="N164" ca="1">INDEX('SAP Customer Data'!$A:$AC,MATCH(بيانات_العملاء[[#This Row],[رمز شريك الأعمال]],'SAP Customer Data'!$B:$B,0),CELL("col",Table_Customer_Data[[#Headers],[LicTradNum]]))</f>
        <v>300838149300003</v>
      </c>
      <c r="O16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4" s="37" t="s">
        <v>854</v>
      </c>
      <c r="Q164" s="38">
        <v>45658</v>
      </c>
      <c r="R16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64" s="37" t="s">
        <v>854</v>
      </c>
      <c r="T164" s="40">
        <v>60000</v>
      </c>
      <c r="U164" s="41">
        <v>44956</v>
      </c>
      <c r="V164" s="41">
        <f>IF(بيانات_العملاء[[#This Row],[تاريخ انشاء سند الامر او الاستثناء]]="",0,بيانات_العملاء[[#This Row],[تاريخ انشاء سند الامر او الاستثناء]]+365*3)</f>
        <v>46051</v>
      </c>
      <c r="W16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48000</v>
      </c>
      <c r="X164" s="37" cm="1">
        <f t="array" aca="1" ref="X164" ca="1">INDEX('SAP Customer Data'!$A:$AC,MATCH(بيانات_العملاء[[#This Row],[رمز شريك الأعمال]],'SAP Customer Data'!$B:$B,0),CELL("col",Table_Customer_Data[[#Headers],[CreditLine]]))</f>
        <v>48000</v>
      </c>
      <c r="Y16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4" s="37" t="s">
        <v>855</v>
      </c>
      <c r="AA16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64" s="37" t="s">
        <v>856</v>
      </c>
      <c r="AC164" s="37"/>
      <c r="AD16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4" s="37" t="s">
        <v>856</v>
      </c>
      <c r="AF164" s="37"/>
      <c r="AG16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4" s="37" t="s">
        <v>856</v>
      </c>
      <c r="AI164" s="37"/>
      <c r="AJ16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4" s="37"/>
      <c r="AL164" s="38"/>
      <c r="AM16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4" s="37" t="s">
        <v>854</v>
      </c>
      <c r="AO164" s="41"/>
      <c r="AP16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4" s="37" t="s">
        <v>856</v>
      </c>
      <c r="AR164" s="37"/>
      <c r="AS16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4" s="41" cm="1">
        <f t="array" aca="1" ref="AT164" ca="1">INDEX('SAP Customer Data'!A:Z,MATCH(بيانات_العملاء[[#This Row],[رمز شريك الأعمال]],'SAP Customer Data'!B:B,0),CELL("col",Table_Customer_Data[[#Headers],[CreateDate]]))</f>
        <v>44957</v>
      </c>
      <c r="AU164" s="37"/>
      <c r="AV164" s="41"/>
      <c r="AW164" s="37" t="s">
        <v>2096</v>
      </c>
      <c r="AX164" s="37">
        <v>80000</v>
      </c>
    </row>
    <row r="165" spans="1:50" x14ac:dyDescent="0.25">
      <c r="A165" s="36" t="str" cm="1">
        <f t="array" aca="1" ref="A165" ca="1">INDEX('SAP Customer Data'!$A:$AC,MATCH(بيانات_العملاء[[#This Row],[رمز شريك الأعمال]],'SAP Customer Data'!$B:$B,0),CELL("col",Table_Customer_Data[[#Headers],[GroupName]]))</f>
        <v>CS03</v>
      </c>
      <c r="B165" s="35" t="s">
        <v>931</v>
      </c>
      <c r="C165" s="37" t="str" cm="1">
        <f t="array" aca="1" ref="C165" ca="1">INDEX('SAP Customer Data'!$A:$AC,MATCH(بيانات_العملاء[[#This Row],[رمز شريك الأعمال]],'SAP Customer Data'!$B:$B,0),CELL("col",Table_Customer_Data[[#Headers],[CardName]]))</f>
        <v>مؤسسة عشاق التميز للتجارة الفرع 1</v>
      </c>
      <c r="D165" s="37" t="str">
        <f ca="1">IF(بيانات_العملاء[[#This Row],[حد الائتمان على SAP]]&gt;0,"آجل","نقدى")</f>
        <v>آجل</v>
      </c>
      <c r="E165" s="37" t="s">
        <v>989</v>
      </c>
      <c r="F165" s="37" t="s">
        <v>1081</v>
      </c>
      <c r="G165" s="37" t="s">
        <v>854</v>
      </c>
      <c r="H16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65" s="37" t="s">
        <v>856</v>
      </c>
      <c r="J165" s="38"/>
      <c r="K165" s="37" t="s">
        <v>859</v>
      </c>
      <c r="L165" s="37" t="str">
        <f ca="1">IF(AND(بيانات_العملاء[[#This Row],[السجل التجارى]]="موجود",TODAY()+'Other Data'!$B$23&lt;J165,بيانات_العملاء[[#This Row],[مطابقة اسم العميل بالاسم بالسجل التجارى]]="مطابق"), "سارى", "يجب اعادة طلبه")</f>
        <v>يجب اعادة طلبه</v>
      </c>
      <c r="M165" s="37" t="s">
        <v>854</v>
      </c>
      <c r="N165" s="39" t="str" cm="1">
        <f t="array" aca="1" ref="N165" ca="1">INDEX('SAP Customer Data'!$A:$AC,MATCH(بيانات_العملاء[[#This Row],[رمز شريك الأعمال]],'SAP Customer Data'!$B:$B,0),CELL("col",Table_Customer_Data[[#Headers],[LicTradNum]]))</f>
        <v>300838149300003</v>
      </c>
      <c r="O16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5" s="37" t="s">
        <v>856</v>
      </c>
      <c r="Q165" s="38"/>
      <c r="R16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5" s="37" t="s">
        <v>854</v>
      </c>
      <c r="T165" s="40">
        <v>20000</v>
      </c>
      <c r="U165" s="41">
        <v>44956</v>
      </c>
      <c r="V165" s="41">
        <f>IF(بيانات_العملاء[[#This Row],[تاريخ انشاء سند الامر او الاستثناء]]="",0,بيانات_العملاء[[#This Row],[تاريخ انشاء سند الامر او الاستثناء]]+365*3)</f>
        <v>46051</v>
      </c>
      <c r="W16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165" s="37" cm="1">
        <f t="array" aca="1" ref="X165" ca="1">INDEX('SAP Customer Data'!$A:$AC,MATCH(بيانات_العملاء[[#This Row],[رمز شريك الأعمال]],'SAP Customer Data'!$B:$B,0),CELL("col",Table_Customer_Data[[#Headers],[CreditLine]]))</f>
        <v>16000</v>
      </c>
      <c r="Y16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5" s="37" t="s">
        <v>855</v>
      </c>
      <c r="AA16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65" s="37" t="s">
        <v>856</v>
      </c>
      <c r="AC165" s="37"/>
      <c r="AD16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5" s="37" t="s">
        <v>856</v>
      </c>
      <c r="AF165" s="37"/>
      <c r="AG16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5" s="37" t="s">
        <v>856</v>
      </c>
      <c r="AI165" s="37"/>
      <c r="AJ16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5" s="37"/>
      <c r="AL165" s="38"/>
      <c r="AM16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5" s="37" t="s">
        <v>856</v>
      </c>
      <c r="AO165" s="41"/>
      <c r="AP16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5" s="37" t="s">
        <v>856</v>
      </c>
      <c r="AR165" s="37"/>
      <c r="AS16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5" s="41" cm="1">
        <f t="array" aca="1" ref="AT165" ca="1">INDEX('SAP Customer Data'!A:Z,MATCH(بيانات_العملاء[[#This Row],[رمز شريك الأعمال]],'SAP Customer Data'!B:B,0),CELL("col",Table_Customer_Data[[#Headers],[CreateDate]]))</f>
        <v>44957</v>
      </c>
      <c r="AU165" s="37"/>
      <c r="AV165" s="41"/>
      <c r="AW165" s="37" t="s">
        <v>2096</v>
      </c>
      <c r="AX165" s="37">
        <v>80000</v>
      </c>
    </row>
    <row r="166" spans="1:50" s="71" customFormat="1" x14ac:dyDescent="0.25">
      <c r="A166" s="36" t="str" cm="1">
        <f t="array" aca="1" ref="A166" ca="1">INDEX('SAP Customer Data'!$A:$AC,MATCH(بيانات_العملاء[[#This Row],[رمز شريك الأعمال]],'SAP Customer Data'!$B:$B,0),CELL("col",Table_Customer_Data[[#Headers],[GroupName]]))</f>
        <v>CS03</v>
      </c>
      <c r="B166" s="35" t="s">
        <v>414</v>
      </c>
      <c r="C166" s="37" t="str" cm="1">
        <f t="array" aca="1" ref="C166" ca="1">INDEX('SAP Customer Data'!$A:$AC,MATCH(بيانات_العملاء[[#This Row],[رمز شريك الأعمال]],'SAP Customer Data'!$B:$B,0),CELL("col",Table_Customer_Data[[#Headers],[CardName]]))</f>
        <v>شركة الوصلة العربية للتجارة والاجهزة الامنية - الملز</v>
      </c>
      <c r="D166" s="37" t="str">
        <f ca="1">IF(بيانات_العملاء[[#This Row],[حد الائتمان على SAP]]&gt;0,"آجل","نقدى")</f>
        <v>آجل</v>
      </c>
      <c r="E166" s="37"/>
      <c r="F166" s="37" t="s">
        <v>997</v>
      </c>
      <c r="G166" s="37" t="s">
        <v>856</v>
      </c>
      <c r="H16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66" s="37" t="s">
        <v>854</v>
      </c>
      <c r="J166" s="38">
        <v>44938</v>
      </c>
      <c r="K166" s="37" t="s">
        <v>855</v>
      </c>
      <c r="L166" s="37" t="str">
        <f ca="1">IF(AND(بيانات_العملاء[[#This Row],[السجل التجارى]]="موجود",TODAY()+'Other Data'!$B$23&lt;J166,بيانات_العملاء[[#This Row],[مطابقة اسم العميل بالاسم بالسجل التجارى]]="مطابق"), "سارى", "يجب اعادة طلبه")</f>
        <v>يجب اعادة طلبه</v>
      </c>
      <c r="M166" s="37" t="s">
        <v>854</v>
      </c>
      <c r="N166" s="39" t="str" cm="1">
        <f t="array" aca="1" ref="N166" ca="1">INDEX('SAP Customer Data'!$A:$AC,MATCH(بيانات_العملاء[[#This Row],[رمز شريك الأعمال]],'SAP Customer Data'!$B:$B,0),CELL("col",Table_Customer_Data[[#Headers],[LicTradNum]]))</f>
        <v>310882297900003</v>
      </c>
      <c r="O16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6" s="37" t="s">
        <v>856</v>
      </c>
      <c r="Q166" s="38"/>
      <c r="R16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6" s="37" t="s">
        <v>1075</v>
      </c>
      <c r="T166" s="40">
        <v>70000</v>
      </c>
      <c r="U166" s="41">
        <v>44226</v>
      </c>
      <c r="V166" s="41">
        <f>IF(بيانات_العملاء[[#This Row],[تاريخ انشاء سند الامر او الاستثناء]]="",0,بيانات_العملاء[[#This Row],[تاريخ انشاء سند الامر او الاستثناء]]+365*3)</f>
        <v>45321</v>
      </c>
      <c r="W16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70000</v>
      </c>
      <c r="X166" s="37" cm="1">
        <f t="array" aca="1" ref="X166" ca="1">INDEX('SAP Customer Data'!$A:$AC,MATCH(بيانات_العملاء[[#This Row],[رمز شريك الأعمال]],'SAP Customer Data'!$B:$B,0),CELL("col",Table_Customer_Data[[#Headers],[CreditLine]]))</f>
        <v>40000</v>
      </c>
      <c r="Y16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166" s="37"/>
      <c r="AA16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66" s="37" t="s">
        <v>856</v>
      </c>
      <c r="AC166" s="37"/>
      <c r="AD16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6" s="37" t="s">
        <v>856</v>
      </c>
      <c r="AF166" s="37"/>
      <c r="AG16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6" s="37" t="s">
        <v>856</v>
      </c>
      <c r="AI166" s="37"/>
      <c r="AJ16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6" s="37" t="s">
        <v>856</v>
      </c>
      <c r="AL166" s="38"/>
      <c r="AM16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6" s="37" t="s">
        <v>856</v>
      </c>
      <c r="AO166" s="41"/>
      <c r="AP16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6" s="37" t="s">
        <v>856</v>
      </c>
      <c r="AR166" s="37"/>
      <c r="AS16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6" s="41" cm="1">
        <f t="array" aca="1" ref="AT166" ca="1">INDEX('SAP Customer Data'!A:Z,MATCH(بيانات_العملاء[[#This Row],[رمز شريك الأعمال]],'SAP Customer Data'!B:B,0),CELL("col",Table_Customer_Data[[#Headers],[CreateDate]]))</f>
        <v>43890</v>
      </c>
      <c r="AU166" s="37"/>
      <c r="AV166" s="41" t="s">
        <v>2406</v>
      </c>
      <c r="AW166" s="37" t="s">
        <v>2096</v>
      </c>
      <c r="AX166" s="37">
        <v>110000</v>
      </c>
    </row>
    <row r="167" spans="1:50" x14ac:dyDescent="0.25">
      <c r="A167" s="36" t="str" cm="1">
        <f t="array" aca="1" ref="A167" ca="1">INDEX('SAP Customer Data'!$A:$AC,MATCH(بيانات_العملاء[[#This Row],[رمز شريك الأعمال]],'SAP Customer Data'!$B:$B,0),CELL("col",Table_Customer_Data[[#Headers],[GroupName]]))</f>
        <v>CS03</v>
      </c>
      <c r="B167" s="35" t="s">
        <v>428</v>
      </c>
      <c r="C167" s="37" t="str" cm="1">
        <f t="array" aca="1" ref="C167" ca="1">INDEX('SAP Customer Data'!$A:$AC,MATCH(بيانات_العملاء[[#This Row],[رمز شريك الأعمال]],'SAP Customer Data'!$B:$B,0),CELL("col",Table_Customer_Data[[#Headers],[CardName]]))</f>
        <v>مؤسسة اجواء افاق للتجارة</v>
      </c>
      <c r="D167" s="37" t="str">
        <f ca="1">IF(بيانات_العملاء[[#This Row],[حد الائتمان على SAP]]&gt;0,"آجل","نقدى")</f>
        <v>آجل</v>
      </c>
      <c r="E167" s="37"/>
      <c r="F167" s="37" t="s">
        <v>1082</v>
      </c>
      <c r="G167" s="37" t="s">
        <v>854</v>
      </c>
      <c r="H16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67" s="37" t="s">
        <v>856</v>
      </c>
      <c r="J167" s="38"/>
      <c r="K167" s="37"/>
      <c r="L167" s="37" t="str">
        <f ca="1">IF(AND(بيانات_العملاء[[#This Row],[السجل التجارى]]="موجود",TODAY()+'Other Data'!$B$23&lt;J167,بيانات_العملاء[[#This Row],[مطابقة اسم العميل بالاسم بالسجل التجارى]]="مطابق"), "سارى", "يجب اعادة طلبه")</f>
        <v>يجب اعادة طلبه</v>
      </c>
      <c r="M167" s="37" t="s">
        <v>856</v>
      </c>
      <c r="N167" s="39" t="str" cm="1">
        <f t="array" aca="1" ref="N167" ca="1">INDEX('SAP Customer Data'!$A:$AC,MATCH(بيانات_العملاء[[#This Row],[رمز شريك الأعمال]],'SAP Customer Data'!$B:$B,0),CELL("col",Table_Customer_Data[[#Headers],[LicTradNum]]))</f>
        <v/>
      </c>
      <c r="O16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67" s="37" t="s">
        <v>856</v>
      </c>
      <c r="Q167" s="38"/>
      <c r="R16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7" s="37" t="s">
        <v>854</v>
      </c>
      <c r="T167" s="40">
        <v>100000</v>
      </c>
      <c r="U167" s="41">
        <v>44346</v>
      </c>
      <c r="V167" s="41">
        <f>IF(بيانات_العملاء[[#This Row],[تاريخ انشاء سند الامر او الاستثناء]]="",0,بيانات_العملاء[[#This Row],[تاريخ انشاء سند الامر او الاستثناء]]+365*3)</f>
        <v>45441</v>
      </c>
      <c r="W16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67" s="37" cm="1">
        <f t="array" aca="1" ref="X167" ca="1">INDEX('SAP Customer Data'!$A:$AC,MATCH(بيانات_العملاء[[#This Row],[رمز شريك الأعمال]],'SAP Customer Data'!$B:$B,0),CELL("col",Table_Customer_Data[[#Headers],[CreditLine]]))</f>
        <v>80000</v>
      </c>
      <c r="Y16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7" s="37" t="s">
        <v>859</v>
      </c>
      <c r="AA16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67" s="37" t="s">
        <v>856</v>
      </c>
      <c r="AC167" s="37"/>
      <c r="AD16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7" s="37" t="s">
        <v>856</v>
      </c>
      <c r="AF167" s="37"/>
      <c r="AG16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7" s="37" t="s">
        <v>856</v>
      </c>
      <c r="AI167" s="37"/>
      <c r="AJ16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7" s="37" t="s">
        <v>856</v>
      </c>
      <c r="AL167" s="38"/>
      <c r="AM16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7" s="37" t="s">
        <v>856</v>
      </c>
      <c r="AO167" s="41"/>
      <c r="AP16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7" s="37" t="s">
        <v>856</v>
      </c>
      <c r="AR167" s="37"/>
      <c r="AS16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7" s="41" cm="1">
        <f t="array" aca="1" ref="AT167" ca="1">INDEX('SAP Customer Data'!A:Z,MATCH(بيانات_العملاء[[#This Row],[رمز شريك الأعمال]],'SAP Customer Data'!B:B,0),CELL("col",Table_Customer_Data[[#Headers],[CreateDate]]))</f>
        <v>44346</v>
      </c>
      <c r="AU167" s="37"/>
      <c r="AV167" s="41"/>
      <c r="AW167" s="37" t="s">
        <v>2097</v>
      </c>
      <c r="AX167" s="37"/>
    </row>
    <row r="168" spans="1:50" x14ac:dyDescent="0.25">
      <c r="A168" s="36" t="str" cm="1">
        <f t="array" aca="1" ref="A168" ca="1">INDEX('SAP Customer Data'!$A:$AC,MATCH(بيانات_العملاء[[#This Row],[رمز شريك الأعمال]],'SAP Customer Data'!$B:$B,0),CELL("col",Table_Customer_Data[[#Headers],[GroupName]]))</f>
        <v>CS03</v>
      </c>
      <c r="B168" s="35" t="s">
        <v>439</v>
      </c>
      <c r="C168" s="37" t="str" cm="1">
        <f t="array" aca="1" ref="C168" ca="1">INDEX('SAP Customer Data'!$A:$AC,MATCH(بيانات_العملاء[[#This Row],[رمز شريك الأعمال]],'SAP Customer Data'!$B:$B,0),CELL("col",Table_Customer_Data[[#Headers],[CardName]]))</f>
        <v>شركة مخططات الشمال للمقاولات</v>
      </c>
      <c r="D168" s="37" t="str">
        <f ca="1">IF(بيانات_العملاء[[#This Row],[حد الائتمان على SAP]]&gt;0,"آجل","نقدى")</f>
        <v>آجل</v>
      </c>
      <c r="E168" s="37"/>
      <c r="F168" s="37" t="s">
        <v>908</v>
      </c>
      <c r="G168" s="37" t="s">
        <v>854</v>
      </c>
      <c r="H16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68" s="37" t="s">
        <v>854</v>
      </c>
      <c r="J168" s="38">
        <v>44786</v>
      </c>
      <c r="K168" s="37" t="s">
        <v>859</v>
      </c>
      <c r="L168" s="37" t="str">
        <f ca="1">IF(AND(بيانات_العملاء[[#This Row],[السجل التجارى]]="موجود",TODAY()+'Other Data'!$B$23&lt;J168,بيانات_العملاء[[#This Row],[مطابقة اسم العميل بالاسم بالسجل التجارى]]="مطابق"), "سارى", "يجب اعادة طلبه")</f>
        <v>يجب اعادة طلبه</v>
      </c>
      <c r="M168" s="37" t="s">
        <v>854</v>
      </c>
      <c r="N168" s="39" t="str" cm="1">
        <f t="array" aca="1" ref="N168" ca="1">INDEX('SAP Customer Data'!$A:$AC,MATCH(بيانات_العملاء[[#This Row],[رمز شريك الأعمال]],'SAP Customer Data'!$B:$B,0),CELL("col",Table_Customer_Data[[#Headers],[LicTradNum]]))</f>
        <v>311221192500003</v>
      </c>
      <c r="O16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8" s="37" t="s">
        <v>856</v>
      </c>
      <c r="Q168" s="38"/>
      <c r="R16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8" s="37" t="s">
        <v>854</v>
      </c>
      <c r="T168" s="40">
        <v>50000</v>
      </c>
      <c r="U168" s="41"/>
      <c r="V16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6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168" s="37" cm="1">
        <f t="array" aca="1" ref="X168" ca="1">INDEX('SAP Customer Data'!$A:$AC,MATCH(بيانات_العملاء[[#This Row],[رمز شريك الأعمال]],'SAP Customer Data'!$B:$B,0),CELL("col",Table_Customer_Data[[#Headers],[CreditLine]]))</f>
        <v>40000</v>
      </c>
      <c r="Y16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8" s="37" t="s">
        <v>855</v>
      </c>
      <c r="AA16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68" s="37"/>
      <c r="AC168" s="37"/>
      <c r="AD16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8" s="37"/>
      <c r="AF168" s="37"/>
      <c r="AG16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8" s="37"/>
      <c r="AI168" s="37"/>
      <c r="AJ16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8" s="37"/>
      <c r="AL168" s="38"/>
      <c r="AM16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8" s="37"/>
      <c r="AO168" s="41"/>
      <c r="AP16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8" s="37"/>
      <c r="AR168" s="37"/>
      <c r="AS16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8" s="41" cm="1">
        <f t="array" aca="1" ref="AT168" ca="1">INDEX('SAP Customer Data'!A:Z,MATCH(بيانات_العملاء[[#This Row],[رمز شريك الأعمال]],'SAP Customer Data'!B:B,0),CELL("col",Table_Customer_Data[[#Headers],[CreateDate]]))</f>
        <v>44114</v>
      </c>
      <c r="AU168" s="37"/>
      <c r="AV168" s="41"/>
      <c r="AW168" s="37" t="s">
        <v>2097</v>
      </c>
      <c r="AX168" s="37"/>
    </row>
    <row r="169" spans="1:50" x14ac:dyDescent="0.25">
      <c r="A169" s="36" t="str" cm="1">
        <f t="array" aca="1" ref="A169" ca="1">INDEX('SAP Customer Data'!$A:$AC,MATCH(بيانات_العملاء[[#This Row],[رمز شريك الأعمال]],'SAP Customer Data'!$B:$B,0),CELL("col",Table_Customer_Data[[#Headers],[GroupName]]))</f>
        <v>CS03</v>
      </c>
      <c r="B169" s="42" t="s">
        <v>407</v>
      </c>
      <c r="C169" s="37" t="str" cm="1">
        <f t="array" aca="1" ref="C169" ca="1">INDEX('SAP Customer Data'!$A:$AC,MATCH(بيانات_العملاء[[#This Row],[رمز شريك الأعمال]],'SAP Customer Data'!$B:$B,0),CELL("col",Table_Customer_Data[[#Headers],[CardName]]))</f>
        <v>شركة الفا المتخصصة - نقدي</v>
      </c>
      <c r="D169" s="37" t="str">
        <f ca="1">IF(بيانات_العملاء[[#This Row],[حد الائتمان على SAP]]&gt;0,"آجل","نقدى")</f>
        <v>نقدى</v>
      </c>
      <c r="E169" s="37"/>
      <c r="F169" s="37" t="s">
        <v>1082</v>
      </c>
      <c r="G169" s="37"/>
      <c r="H16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69" s="37" t="s">
        <v>856</v>
      </c>
      <c r="J169" s="38"/>
      <c r="K169" s="37"/>
      <c r="L169" s="37" t="str">
        <f ca="1">IF(AND(بيانات_العملاء[[#This Row],[السجل التجارى]]="موجود",TODAY()+'Other Data'!$B$23&lt;J169,بيانات_العملاء[[#This Row],[مطابقة اسم العميل بالاسم بالسجل التجارى]]="مطابق"), "سارى", "يجب اعادة طلبه")</f>
        <v>يجب اعادة طلبه</v>
      </c>
      <c r="M169" s="37" t="s">
        <v>854</v>
      </c>
      <c r="N169" s="39" t="str" cm="1">
        <f t="array" aca="1" ref="N169" ca="1">INDEX('SAP Customer Data'!$A:$AC,MATCH(بيانات_العملاء[[#This Row],[رمز شريك الأعمال]],'SAP Customer Data'!$B:$B,0),CELL("col",Table_Customer_Data[[#Headers],[LicTradNum]]))</f>
        <v>300451903800003</v>
      </c>
      <c r="O16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69" s="37"/>
      <c r="Q169" s="38"/>
      <c r="R16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69" s="37" t="s">
        <v>1080</v>
      </c>
      <c r="T169" s="40"/>
      <c r="U169" s="41"/>
      <c r="V16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6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69" s="37" cm="1">
        <f t="array" aca="1" ref="X169" ca="1">INDEX('SAP Customer Data'!$A:$AC,MATCH(بيانات_العملاء[[#This Row],[رمز شريك الأعمال]],'SAP Customer Data'!$B:$B,0),CELL("col",Table_Customer_Data[[#Headers],[CreditLine]]))</f>
        <v>0</v>
      </c>
      <c r="Y16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69" s="37"/>
      <c r="AA16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69" s="37"/>
      <c r="AC169" s="37"/>
      <c r="AD16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69" s="37"/>
      <c r="AF169" s="37"/>
      <c r="AG16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69" s="37"/>
      <c r="AI169" s="37"/>
      <c r="AJ16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69" s="37"/>
      <c r="AL169" s="38"/>
      <c r="AM16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69" s="37"/>
      <c r="AO169" s="41"/>
      <c r="AP16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69" s="37"/>
      <c r="AR169" s="37"/>
      <c r="AS16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69" s="41" cm="1">
        <f t="array" aca="1" ref="AT169" ca="1">INDEX('SAP Customer Data'!A:Z,MATCH(بيانات_العملاء[[#This Row],[رمز شريك الأعمال]],'SAP Customer Data'!B:B,0),CELL("col",Table_Customer_Data[[#Headers],[CreateDate]]))</f>
        <v>44209</v>
      </c>
      <c r="AU169" s="37"/>
      <c r="AV169" s="41"/>
      <c r="AW169" s="37" t="s">
        <v>2097</v>
      </c>
      <c r="AX169" s="37"/>
    </row>
    <row r="170" spans="1:50" x14ac:dyDescent="0.25">
      <c r="A170" s="36" t="str" cm="1">
        <f t="array" aca="1" ref="A170" ca="1">INDEX('SAP Customer Data'!$A:$AC,MATCH(بيانات_العملاء[[#This Row],[رمز شريك الأعمال]],'SAP Customer Data'!$B:$B,0),CELL("col",Table_Customer_Data[[#Headers],[GroupName]]))</f>
        <v>CS03</v>
      </c>
      <c r="B170" s="35" t="s">
        <v>443</v>
      </c>
      <c r="C170" s="37" t="str" cm="1">
        <f t="array" aca="1" ref="C170" ca="1">INDEX('SAP Customer Data'!$A:$AC,MATCH(بيانات_العملاء[[#This Row],[رمز شريك الأعمال]],'SAP Customer Data'!$B:$B,0),CELL("col",Table_Customer_Data[[#Headers],[CardName]]))</f>
        <v>مؤسسة هندا لايت للتجارة</v>
      </c>
      <c r="D170" s="37" t="str">
        <f ca="1">IF(بيانات_العملاء[[#This Row],[حد الائتمان على SAP]]&gt;0,"آجل","نقدى")</f>
        <v>آجل</v>
      </c>
      <c r="E170" s="37" t="s">
        <v>2090</v>
      </c>
      <c r="F170" s="37" t="s">
        <v>1081</v>
      </c>
      <c r="G170" s="37" t="s">
        <v>854</v>
      </c>
      <c r="H17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70" s="37" t="s">
        <v>854</v>
      </c>
      <c r="J170" s="38">
        <v>44216</v>
      </c>
      <c r="K170" s="37" t="s">
        <v>855</v>
      </c>
      <c r="L170" s="37" t="str">
        <f ca="1">IF(AND(بيانات_العملاء[[#This Row],[السجل التجارى]]="موجود",TODAY()+'Other Data'!$B$23&lt;J170,بيانات_العملاء[[#This Row],[مطابقة اسم العميل بالاسم بالسجل التجارى]]="مطابق"), "سارى", "يجب اعادة طلبه")</f>
        <v>يجب اعادة طلبه</v>
      </c>
      <c r="M170" s="37" t="s">
        <v>854</v>
      </c>
      <c r="N170" s="39" t="str" cm="1">
        <f t="array" aca="1" ref="N170" ca="1">INDEX('SAP Customer Data'!$A:$AC,MATCH(بيانات_العملاء[[#This Row],[رمز شريك الأعمال]],'SAP Customer Data'!$B:$B,0),CELL("col",Table_Customer_Data[[#Headers],[LicTradNum]]))</f>
        <v>300023665500003</v>
      </c>
      <c r="O17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0" s="37" t="s">
        <v>856</v>
      </c>
      <c r="Q170" s="38"/>
      <c r="R17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0" s="37" t="s">
        <v>854</v>
      </c>
      <c r="T170" s="40">
        <v>100000</v>
      </c>
      <c r="U170" s="41"/>
      <c r="V17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70" s="37" cm="1">
        <f t="array" aca="1" ref="X170" ca="1">INDEX('SAP Customer Data'!$A:$AC,MATCH(بيانات_العملاء[[#This Row],[رمز شريك الأعمال]],'SAP Customer Data'!$B:$B,0),CELL("col",Table_Customer_Data[[#Headers],[CreditLine]]))</f>
        <v>80000</v>
      </c>
      <c r="Y17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0" s="37" t="s">
        <v>855</v>
      </c>
      <c r="AA17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70" s="37" t="s">
        <v>856</v>
      </c>
      <c r="AC170" s="37"/>
      <c r="AD17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0" s="37" t="s">
        <v>856</v>
      </c>
      <c r="AF170" s="37"/>
      <c r="AG17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0" s="37" t="s">
        <v>856</v>
      </c>
      <c r="AI170" s="37"/>
      <c r="AJ17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0" s="37" t="s">
        <v>856</v>
      </c>
      <c r="AL170" s="38"/>
      <c r="AM17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0" s="37" t="s">
        <v>856</v>
      </c>
      <c r="AO170" s="41"/>
      <c r="AP17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0" s="37" t="s">
        <v>856</v>
      </c>
      <c r="AR170" s="37"/>
      <c r="AS17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0" s="41" cm="1">
        <f t="array" aca="1" ref="AT170" ca="1">INDEX('SAP Customer Data'!A:Z,MATCH(بيانات_العملاء[[#This Row],[رمز شريك الأعمال]],'SAP Customer Data'!B:B,0),CELL("col",Table_Customer_Data[[#Headers],[CreateDate]]))</f>
        <v>44114</v>
      </c>
      <c r="AU170" s="37"/>
      <c r="AV170" s="41"/>
      <c r="AW170" s="37" t="s">
        <v>2097</v>
      </c>
      <c r="AX170" s="37"/>
    </row>
    <row r="171" spans="1:50" x14ac:dyDescent="0.25">
      <c r="A171" s="36" t="str" cm="1">
        <f t="array" aca="1" ref="A171" ca="1">INDEX('SAP Customer Data'!$A:$AC,MATCH(بيانات_العملاء[[#This Row],[رمز شريك الأعمال]],'SAP Customer Data'!$B:$B,0),CELL("col",Table_Customer_Data[[#Headers],[GroupName]]))</f>
        <v>CS03</v>
      </c>
      <c r="B171" s="35" t="s">
        <v>455</v>
      </c>
      <c r="C171" s="37" t="str" cm="1">
        <f t="array" aca="1" ref="C171" ca="1">INDEX('SAP Customer Data'!$A:$AC,MATCH(بيانات_العملاء[[#This Row],[رمز شريك الأعمال]],'SAP Customer Data'!$B:$B,0),CELL("col",Table_Customer_Data[[#Headers],[CardName]]))</f>
        <v>شركة ابداع المعاجم للادوات الصحية - نقدى</v>
      </c>
      <c r="D171" s="37" t="str">
        <f ca="1">IF(بيانات_العملاء[[#This Row],[حد الائتمان على SAP]]&gt;0,"آجل","نقدى")</f>
        <v>نقدى</v>
      </c>
      <c r="E171" s="37"/>
      <c r="F171" s="37" t="s">
        <v>908</v>
      </c>
      <c r="G171" s="37" t="s">
        <v>856</v>
      </c>
      <c r="H17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71" s="37" t="s">
        <v>854</v>
      </c>
      <c r="J171" s="38">
        <v>45698</v>
      </c>
      <c r="K171" s="37" t="s">
        <v>855</v>
      </c>
      <c r="L171" s="37" t="str">
        <f ca="1">IF(AND(بيانات_العملاء[[#This Row],[السجل التجارى]]="موجود",TODAY()+'Other Data'!$B$23&lt;J171,بيانات_العملاء[[#This Row],[مطابقة اسم العميل بالاسم بالسجل التجارى]]="مطابق"), "سارى", "يجب اعادة طلبه")</f>
        <v>سارى</v>
      </c>
      <c r="M171" s="37" t="s">
        <v>854</v>
      </c>
      <c r="N171" s="39" t="str" cm="1">
        <f t="array" aca="1" ref="N171" ca="1">INDEX('SAP Customer Data'!$A:$AC,MATCH(بيانات_العملاء[[#This Row],[رمز شريك الأعمال]],'SAP Customer Data'!$B:$B,0),CELL("col",Table_Customer_Data[[#Headers],[LicTradNum]]))</f>
        <v>311257882500003</v>
      </c>
      <c r="O17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1" s="37" t="s">
        <v>854</v>
      </c>
      <c r="Q171" s="38">
        <v>45072</v>
      </c>
      <c r="R17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1" s="37" t="s">
        <v>1080</v>
      </c>
      <c r="T171" s="40"/>
      <c r="U171" s="41"/>
      <c r="V17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71" s="37" cm="1">
        <f t="array" aca="1" ref="X171" ca="1">INDEX('SAP Customer Data'!$A:$AC,MATCH(بيانات_العملاء[[#This Row],[رمز شريك الأعمال]],'SAP Customer Data'!$B:$B,0),CELL("col",Table_Customer_Data[[#Headers],[CreditLine]]))</f>
        <v>0</v>
      </c>
      <c r="Y17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1" s="37"/>
      <c r="AA17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71" s="37" t="s">
        <v>856</v>
      </c>
      <c r="AC171" s="37"/>
      <c r="AD17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1" s="37" t="s">
        <v>856</v>
      </c>
      <c r="AF171" s="37"/>
      <c r="AG17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1" s="37" t="s">
        <v>856</v>
      </c>
      <c r="AI171" s="37"/>
      <c r="AJ17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1" s="37" t="s">
        <v>856</v>
      </c>
      <c r="AL171" s="38"/>
      <c r="AM17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1" s="37" t="s">
        <v>854</v>
      </c>
      <c r="AO171" s="41">
        <v>44707</v>
      </c>
      <c r="AP17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1" s="37" t="s">
        <v>856</v>
      </c>
      <c r="AR171" s="37"/>
      <c r="AS17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1" s="41" cm="1">
        <f t="array" aca="1" ref="AT171" ca="1">INDEX('SAP Customer Data'!A:Z,MATCH(بيانات_العملاء[[#This Row],[رمز شريك الأعمال]],'SAP Customer Data'!B:B,0),CELL("col",Table_Customer_Data[[#Headers],[CreateDate]]))</f>
        <v>44195</v>
      </c>
      <c r="AU171" s="37"/>
      <c r="AV171" s="41"/>
      <c r="AW171" s="37" t="s">
        <v>2097</v>
      </c>
      <c r="AX171" s="37"/>
    </row>
    <row r="172" spans="1:50" x14ac:dyDescent="0.25">
      <c r="A172" s="36" t="str" cm="1">
        <f t="array" aca="1" ref="A172" ca="1">INDEX('SAP Customer Data'!$A:$AC,MATCH(بيانات_العملاء[[#This Row],[رمز شريك الأعمال]],'SAP Customer Data'!$B:$B,0),CELL("col",Table_Customer_Data[[#Headers],[GroupName]]))</f>
        <v>CS03</v>
      </c>
      <c r="B172" s="35" t="s">
        <v>456</v>
      </c>
      <c r="C172" s="37" t="str" cm="1">
        <f t="array" aca="1" ref="C172" ca="1">INDEX('SAP Customer Data'!$A:$AC,MATCH(بيانات_العملاء[[#This Row],[رمز شريك الأعمال]],'SAP Customer Data'!$B:$B,0),CELL("col",Table_Customer_Data[[#Headers],[CardName]]))</f>
        <v>مؤسسة اعمار السلام للتجارة</v>
      </c>
      <c r="D172" s="37" t="str">
        <f ca="1">IF(بيانات_العملاء[[#This Row],[حد الائتمان على SAP]]&gt;0,"آجل","نقدى")</f>
        <v>آجل</v>
      </c>
      <c r="E172" s="37" t="s">
        <v>2091</v>
      </c>
      <c r="F172" s="37" t="s">
        <v>1081</v>
      </c>
      <c r="G172" s="37" t="s">
        <v>854</v>
      </c>
      <c r="H17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72" s="37" t="s">
        <v>854</v>
      </c>
      <c r="J172" s="38">
        <v>44386</v>
      </c>
      <c r="K172" s="37" t="s">
        <v>855</v>
      </c>
      <c r="L172" s="37" t="str">
        <f ca="1">IF(AND(بيانات_العملاء[[#This Row],[السجل التجارى]]="موجود",TODAY()+'Other Data'!$B$23&lt;J172,بيانات_العملاء[[#This Row],[مطابقة اسم العميل بالاسم بالسجل التجارى]]="مطابق"), "سارى", "يجب اعادة طلبه")</f>
        <v>يجب اعادة طلبه</v>
      </c>
      <c r="M172" s="37" t="s">
        <v>854</v>
      </c>
      <c r="N172" s="39" t="str" cm="1">
        <f t="array" aca="1" ref="N172" ca="1">INDEX('SAP Customer Data'!$A:$AC,MATCH(بيانات_العملاء[[#This Row],[رمز شريك الأعمال]],'SAP Customer Data'!$B:$B,0),CELL("col",Table_Customer_Data[[#Headers],[LicTradNum]]))</f>
        <v>310331681200003</v>
      </c>
      <c r="O17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2" s="37" t="s">
        <v>856</v>
      </c>
      <c r="Q172" s="38"/>
      <c r="R17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2" s="37" t="s">
        <v>854</v>
      </c>
      <c r="T172" s="40">
        <v>150000</v>
      </c>
      <c r="U172" s="41"/>
      <c r="V17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120000</v>
      </c>
      <c r="X172" s="37" cm="1">
        <f t="array" aca="1" ref="X172" ca="1">INDEX('SAP Customer Data'!$A:$AC,MATCH(بيانات_العملاء[[#This Row],[رمز شريك الأعمال]],'SAP Customer Data'!$B:$B,0),CELL("col",Table_Customer_Data[[#Headers],[CreditLine]]))</f>
        <v>120000</v>
      </c>
      <c r="Y17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2" s="37" t="s">
        <v>855</v>
      </c>
      <c r="AA17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72" s="37" t="s">
        <v>856</v>
      </c>
      <c r="AC172" s="37"/>
      <c r="AD17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2" s="37" t="s">
        <v>856</v>
      </c>
      <c r="AF172" s="37"/>
      <c r="AG17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2" s="37" t="s">
        <v>856</v>
      </c>
      <c r="AI172" s="37"/>
      <c r="AJ17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2" s="37" t="s">
        <v>856</v>
      </c>
      <c r="AL172" s="38"/>
      <c r="AM17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2" s="37" t="s">
        <v>856</v>
      </c>
      <c r="AO172" s="41"/>
      <c r="AP17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2" s="37" t="s">
        <v>856</v>
      </c>
      <c r="AR172" s="37"/>
      <c r="AS17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2" s="41" cm="1">
        <f t="array" aca="1" ref="AT172" ca="1">INDEX('SAP Customer Data'!A:Z,MATCH(بيانات_العملاء[[#This Row],[رمز شريك الأعمال]],'SAP Customer Data'!B:B,0),CELL("col",Table_Customer_Data[[#Headers],[CreateDate]]))</f>
        <v>44195</v>
      </c>
      <c r="AU172" s="37"/>
      <c r="AV172" s="41"/>
      <c r="AW172" s="37" t="s">
        <v>2097</v>
      </c>
      <c r="AX172" s="37"/>
    </row>
    <row r="173" spans="1:50" x14ac:dyDescent="0.25">
      <c r="A173" s="36" t="str" cm="1">
        <f t="array" aca="1" ref="A173" ca="1">INDEX('SAP Customer Data'!$A:$AC,MATCH(بيانات_العملاء[[#This Row],[رمز شريك الأعمال]],'SAP Customer Data'!$B:$B,0),CELL("col",Table_Customer_Data[[#Headers],[GroupName]]))</f>
        <v>CS03</v>
      </c>
      <c r="B173" s="35" t="s">
        <v>478</v>
      </c>
      <c r="C173" s="37" t="str" cm="1">
        <f t="array" aca="1" ref="C173" ca="1">INDEX('SAP Customer Data'!$A:$AC,MATCH(بيانات_العملاء[[#This Row],[رمز شريك الأعمال]],'SAP Customer Data'!$B:$B,0),CELL("col",Table_Customer_Data[[#Headers],[CardName]]))</f>
        <v>مؤسسة جذور الانارة التجارية-نقدي</v>
      </c>
      <c r="D173" s="37" t="str">
        <f ca="1">IF(بيانات_العملاء[[#This Row],[حد الائتمان على SAP]]&gt;0,"آجل","نقدى")</f>
        <v>نقدى</v>
      </c>
      <c r="E173" s="37" t="s">
        <v>2081</v>
      </c>
      <c r="F173" s="37" t="s">
        <v>1081</v>
      </c>
      <c r="G173" s="37" t="s">
        <v>856</v>
      </c>
      <c r="H17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73" s="37" t="s">
        <v>854</v>
      </c>
      <c r="J173" s="38">
        <v>46177</v>
      </c>
      <c r="K173" s="37" t="s">
        <v>855</v>
      </c>
      <c r="L173" s="37" t="str">
        <f ca="1">IF(AND(بيانات_العملاء[[#This Row],[السجل التجارى]]="موجود",TODAY()+'Other Data'!$B$23&lt;J173,بيانات_العملاء[[#This Row],[مطابقة اسم العميل بالاسم بالسجل التجارى]]="مطابق"), "سارى", "يجب اعادة طلبه")</f>
        <v>سارى</v>
      </c>
      <c r="M173" s="37" t="s">
        <v>854</v>
      </c>
      <c r="N173" s="39" t="str" cm="1">
        <f t="array" aca="1" ref="N173" ca="1">INDEX('SAP Customer Data'!$A:$AC,MATCH(بيانات_العملاء[[#This Row],[رمز شريك الأعمال]],'SAP Customer Data'!$B:$B,0),CELL("col",Table_Customer_Data[[#Headers],[LicTradNum]]))</f>
        <v>302037995600003</v>
      </c>
      <c r="O17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3" s="37" t="s">
        <v>856</v>
      </c>
      <c r="Q173" s="38"/>
      <c r="R17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3" s="37" t="s">
        <v>1080</v>
      </c>
      <c r="T173" s="40"/>
      <c r="U173" s="41"/>
      <c r="V17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73" s="37" cm="1">
        <f t="array" aca="1" ref="X173" ca="1">INDEX('SAP Customer Data'!$A:$AC,MATCH(بيانات_العملاء[[#This Row],[رمز شريك الأعمال]],'SAP Customer Data'!$B:$B,0),CELL("col",Table_Customer_Data[[#Headers],[CreditLine]]))</f>
        <v>0</v>
      </c>
      <c r="Y17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3" s="37"/>
      <c r="AA17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73" s="37" t="s">
        <v>856</v>
      </c>
      <c r="AC173" s="37"/>
      <c r="AD17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3" s="37" t="s">
        <v>856</v>
      </c>
      <c r="AF173" s="37"/>
      <c r="AG17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3" s="37" t="s">
        <v>856</v>
      </c>
      <c r="AI173" s="37"/>
      <c r="AJ17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3" s="37" t="s">
        <v>856</v>
      </c>
      <c r="AL173" s="38"/>
      <c r="AM17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3" s="37" t="s">
        <v>854</v>
      </c>
      <c r="AO173" s="41"/>
      <c r="AP17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3" s="37"/>
      <c r="AR173" s="37"/>
      <c r="AS17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3" s="41" cm="1">
        <f t="array" aca="1" ref="AT173" ca="1">INDEX('SAP Customer Data'!A:Z,MATCH(بيانات_العملاء[[#This Row],[رمز شريك الأعمال]],'SAP Customer Data'!B:B,0),CELL("col",Table_Customer_Data[[#Headers],[CreateDate]]))</f>
        <v>44812</v>
      </c>
      <c r="AU173" s="37"/>
      <c r="AV173" s="41"/>
      <c r="AW173" s="37" t="s">
        <v>2097</v>
      </c>
      <c r="AX173" s="37"/>
    </row>
    <row r="174" spans="1:50" x14ac:dyDescent="0.25">
      <c r="A174" s="36" t="str" cm="1">
        <f t="array" aca="1" ref="A174" ca="1">INDEX('SAP Customer Data'!$A:$AC,MATCH(بيانات_العملاء[[#This Row],[رمز شريك الأعمال]],'SAP Customer Data'!$B:$B,0),CELL("col",Table_Customer_Data[[#Headers],[GroupName]]))</f>
        <v>CS03</v>
      </c>
      <c r="B174" s="42" t="s">
        <v>410</v>
      </c>
      <c r="C174" s="37" t="str" cm="1">
        <f t="array" aca="1" ref="C174" ca="1">INDEX('SAP Customer Data'!$A:$AC,MATCH(بيانات_العملاء[[#This Row],[رمز شريك الأعمال]],'SAP Customer Data'!$B:$B,0),CELL("col",Table_Customer_Data[[#Headers],[CardName]]))</f>
        <v>مؤسسة طلال مازن ايوب للتجارة (يارا للانارة)  -نقدي</v>
      </c>
      <c r="D174" s="37" t="str">
        <f ca="1">IF(بيانات_العملاء[[#This Row],[حد الائتمان على SAP]]&gt;0,"آجل","نقدى")</f>
        <v>نقدى</v>
      </c>
      <c r="E174" s="37"/>
      <c r="F174" s="37" t="s">
        <v>1082</v>
      </c>
      <c r="G174" s="37"/>
      <c r="H17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74" s="37" t="s">
        <v>856</v>
      </c>
      <c r="J174" s="38"/>
      <c r="K174" s="37"/>
      <c r="L174" s="37" t="str">
        <f ca="1">IF(AND(بيانات_العملاء[[#This Row],[السجل التجارى]]="موجود",TODAY()+'Other Data'!$B$23&lt;J174,بيانات_العملاء[[#This Row],[مطابقة اسم العميل بالاسم بالسجل التجارى]]="مطابق"), "سارى", "يجب اعادة طلبه")</f>
        <v>يجب اعادة طلبه</v>
      </c>
      <c r="M174" s="37" t="s">
        <v>854</v>
      </c>
      <c r="N174" s="39" t="str" cm="1">
        <f t="array" aca="1" ref="N174" ca="1">INDEX('SAP Customer Data'!$A:$AC,MATCH(بيانات_العملاء[[#This Row],[رمز شريك الأعمال]],'SAP Customer Data'!$B:$B,0),CELL("col",Table_Customer_Data[[#Headers],[LicTradNum]]))</f>
        <v>300486394500003</v>
      </c>
      <c r="O17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4" s="37"/>
      <c r="Q174" s="38"/>
      <c r="R17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4" s="37" t="s">
        <v>1080</v>
      </c>
      <c r="T174" s="40"/>
      <c r="U174" s="41"/>
      <c r="V17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74" s="37" cm="1">
        <f t="array" aca="1" ref="X174" ca="1">INDEX('SAP Customer Data'!$A:$AC,MATCH(بيانات_العملاء[[#This Row],[رمز شريك الأعمال]],'SAP Customer Data'!$B:$B,0),CELL("col",Table_Customer_Data[[#Headers],[CreditLine]]))</f>
        <v>0</v>
      </c>
      <c r="Y17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4" s="37"/>
      <c r="AA17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74" s="37"/>
      <c r="AC174" s="37"/>
      <c r="AD17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4" s="37"/>
      <c r="AF174" s="37"/>
      <c r="AG17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4" s="37"/>
      <c r="AI174" s="37"/>
      <c r="AJ17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4" s="37"/>
      <c r="AL174" s="38"/>
      <c r="AM17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4" s="37"/>
      <c r="AO174" s="41"/>
      <c r="AP17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4" s="37"/>
      <c r="AR174" s="37"/>
      <c r="AS17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4" s="41" cm="1">
        <f t="array" aca="1" ref="AT174" ca="1">INDEX('SAP Customer Data'!A:Z,MATCH(بيانات_العملاء[[#This Row],[رمز شريك الأعمال]],'SAP Customer Data'!B:B,0),CELL("col",Table_Customer_Data[[#Headers],[CreateDate]]))</f>
        <v>44235</v>
      </c>
      <c r="AU174" s="37"/>
      <c r="AV174" s="41"/>
      <c r="AW174" s="37" t="s">
        <v>2097</v>
      </c>
      <c r="AX174" s="37"/>
    </row>
    <row r="175" spans="1:50" x14ac:dyDescent="0.25">
      <c r="A175" s="36" t="str" cm="1">
        <f t="array" aca="1" ref="A175" ca="1">INDEX('SAP Customer Data'!$A:$AC,MATCH(بيانات_العملاء[[#This Row],[رمز شريك الأعمال]],'SAP Customer Data'!$B:$B,0),CELL("col",Table_Customer_Data[[#Headers],[GroupName]]))</f>
        <v>CS03</v>
      </c>
      <c r="B175" s="42" t="s">
        <v>315</v>
      </c>
      <c r="C175" s="37" t="str" cm="1">
        <f t="array" aca="1" ref="C175" ca="1">INDEX('SAP Customer Data'!$A:$AC,MATCH(بيانات_العملاء[[#This Row],[رمز شريك الأعمال]],'SAP Customer Data'!$B:$B,0),CELL("col",Table_Customer_Data[[#Headers],[CardName]]))</f>
        <v>كهرباء الجوارالمميز(نقدي)</v>
      </c>
      <c r="D175" s="37" t="str">
        <f ca="1">IF(بيانات_العملاء[[#This Row],[حد الائتمان على SAP]]&gt;0,"آجل","نقدى")</f>
        <v>نقدى</v>
      </c>
      <c r="E175" s="37"/>
      <c r="F175" s="37" t="s">
        <v>1082</v>
      </c>
      <c r="G175" s="37"/>
      <c r="H17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75" s="37" t="s">
        <v>856</v>
      </c>
      <c r="J175" s="38"/>
      <c r="K175" s="37"/>
      <c r="L175" s="37" t="str">
        <f ca="1">IF(AND(بيانات_العملاء[[#This Row],[السجل التجارى]]="موجود",TODAY()+'Other Data'!$B$23&lt;J175,بيانات_العملاء[[#This Row],[مطابقة اسم العميل بالاسم بالسجل التجارى]]="مطابق"), "سارى", "يجب اعادة طلبه")</f>
        <v>يجب اعادة طلبه</v>
      </c>
      <c r="M175" s="37" t="s">
        <v>854</v>
      </c>
      <c r="N175" s="39" t="str" cm="1">
        <f t="array" aca="1" ref="N175" ca="1">INDEX('SAP Customer Data'!$A:$AC,MATCH(بيانات_العملاء[[#This Row],[رمز شريك الأعمال]],'SAP Customer Data'!$B:$B,0),CELL("col",Table_Customer_Data[[#Headers],[LicTradNum]]))</f>
        <v>300486854400003</v>
      </c>
      <c r="O17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5" s="37"/>
      <c r="Q175" s="38"/>
      <c r="R17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5" s="37" t="s">
        <v>1080</v>
      </c>
      <c r="T175" s="40"/>
      <c r="U175" s="41"/>
      <c r="V17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75" s="37" cm="1">
        <f t="array" aca="1" ref="X175" ca="1">INDEX('SAP Customer Data'!$A:$AC,MATCH(بيانات_العملاء[[#This Row],[رمز شريك الأعمال]],'SAP Customer Data'!$B:$B,0),CELL("col",Table_Customer_Data[[#Headers],[CreditLine]]))</f>
        <v>0</v>
      </c>
      <c r="Y17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5" s="37"/>
      <c r="AA17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75" s="37"/>
      <c r="AC175" s="37"/>
      <c r="AD17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5" s="37"/>
      <c r="AF175" s="37"/>
      <c r="AG17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5" s="37"/>
      <c r="AI175" s="37"/>
      <c r="AJ17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5" s="37"/>
      <c r="AL175" s="38"/>
      <c r="AM17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5" s="37"/>
      <c r="AO175" s="41"/>
      <c r="AP17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5" s="37"/>
      <c r="AR175" s="37"/>
      <c r="AS17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5" s="41" cm="1">
        <f t="array" aca="1" ref="AT175" ca="1">INDEX('SAP Customer Data'!A:Z,MATCH(بيانات_العملاء[[#This Row],[رمز شريك الأعمال]],'SAP Customer Data'!B:B,0),CELL("col",Table_Customer_Data[[#Headers],[CreateDate]]))</f>
        <v>43647</v>
      </c>
      <c r="AU175" s="37"/>
      <c r="AV175" s="41"/>
      <c r="AW175" s="37" t="s">
        <v>2097</v>
      </c>
      <c r="AX175" s="37"/>
    </row>
    <row r="176" spans="1:50" x14ac:dyDescent="0.25">
      <c r="A176" s="36" t="str" cm="1">
        <f t="array" aca="1" ref="A176" ca="1">INDEX('SAP Customer Data'!$A:$AC,MATCH(بيانات_العملاء[[#This Row],[رمز شريك الأعمال]],'SAP Customer Data'!$B:$B,0),CELL("col",Table_Customer_Data[[#Headers],[GroupName]]))</f>
        <v>CS03</v>
      </c>
      <c r="B176" s="35" t="s">
        <v>480</v>
      </c>
      <c r="C176" s="37" t="str" cm="1">
        <f t="array" aca="1" ref="C176" ca="1">INDEX('SAP Customer Data'!$A:$AC,MATCH(بيانات_العملاء[[#This Row],[رمز شريك الأعمال]],'SAP Customer Data'!$B:$B,0),CELL("col",Table_Customer_Data[[#Headers],[CardName]]))</f>
        <v>شركة الجوف الكهربائية للتجارة -نقدي</v>
      </c>
      <c r="D176" s="37" t="str">
        <f ca="1">IF(بيانات_العملاء[[#This Row],[حد الائتمان على SAP]]&gt;0,"آجل","نقدى")</f>
        <v>نقدى</v>
      </c>
      <c r="E176" s="37"/>
      <c r="F176" s="37" t="s">
        <v>996</v>
      </c>
      <c r="G176" s="37" t="s">
        <v>856</v>
      </c>
      <c r="H17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76" s="37" t="s">
        <v>854</v>
      </c>
      <c r="J176" s="38">
        <v>44988</v>
      </c>
      <c r="K176" s="37" t="s">
        <v>855</v>
      </c>
      <c r="L176" s="37" t="str">
        <f ca="1">IF(AND(بيانات_العملاء[[#This Row],[السجل التجارى]]="موجود",TODAY()+'Other Data'!$B$23&lt;J176,بيانات_العملاء[[#This Row],[مطابقة اسم العميل بالاسم بالسجل التجارى]]="مطابق"), "سارى", "يجب اعادة طلبه")</f>
        <v>يجب اعادة طلبه</v>
      </c>
      <c r="M176" s="37" t="s">
        <v>854</v>
      </c>
      <c r="N176" s="39" t="str" cm="1">
        <f t="array" aca="1" ref="N176" ca="1">INDEX('SAP Customer Data'!$A:$AC,MATCH(بيانات_العملاء[[#This Row],[رمز شريك الأعمال]],'SAP Customer Data'!$B:$B,0),CELL("col",Table_Customer_Data[[#Headers],[LicTradNum]]))</f>
        <v>311257519500003</v>
      </c>
      <c r="O17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6" s="37" t="s">
        <v>854</v>
      </c>
      <c r="Q176" s="38">
        <v>44974</v>
      </c>
      <c r="R17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6" s="37" t="s">
        <v>1080</v>
      </c>
      <c r="T176" s="40"/>
      <c r="U176" s="41"/>
      <c r="V17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76" s="37" cm="1">
        <f t="array" aca="1" ref="X176" ca="1">INDEX('SAP Customer Data'!$A:$AC,MATCH(بيانات_العملاء[[#This Row],[رمز شريك الأعمال]],'SAP Customer Data'!$B:$B,0),CELL("col",Table_Customer_Data[[#Headers],[CreditLine]]))</f>
        <v>0</v>
      </c>
      <c r="Y17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6" s="37"/>
      <c r="AA17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76" s="37" t="s">
        <v>856</v>
      </c>
      <c r="AC176" s="37"/>
      <c r="AD17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6" s="37" t="s">
        <v>856</v>
      </c>
      <c r="AF176" s="37"/>
      <c r="AG17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6" s="37" t="s">
        <v>856</v>
      </c>
      <c r="AI176" s="37"/>
      <c r="AJ17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6" s="37" t="s">
        <v>856</v>
      </c>
      <c r="AL176" s="38"/>
      <c r="AM17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6" s="37" t="s">
        <v>856</v>
      </c>
      <c r="AO176" s="41"/>
      <c r="AP17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6" s="37" t="s">
        <v>856</v>
      </c>
      <c r="AR176" s="37"/>
      <c r="AS17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6" s="41" cm="1">
        <f t="array" aca="1" ref="AT176" ca="1">INDEX('SAP Customer Data'!A:Z,MATCH(بيانات_العملاء[[#This Row],[رمز شريك الأعمال]],'SAP Customer Data'!B:B,0),CELL("col",Table_Customer_Data[[#Headers],[CreateDate]]))</f>
        <v>44816</v>
      </c>
      <c r="AU176" s="37"/>
      <c r="AV176" s="41"/>
      <c r="AW176" s="37" t="s">
        <v>2097</v>
      </c>
      <c r="AX176" s="37"/>
    </row>
    <row r="177" spans="1:50" x14ac:dyDescent="0.25">
      <c r="A177" s="36" t="str" cm="1">
        <f t="array" aca="1" ref="A177" ca="1">INDEX('SAP Customer Data'!$A:$AC,MATCH(بيانات_العملاء[[#This Row],[رمز شريك الأعمال]],'SAP Customer Data'!$B:$B,0),CELL("col",Table_Customer_Data[[#Headers],[GroupName]]))</f>
        <v>CS03</v>
      </c>
      <c r="B177" s="35" t="s">
        <v>482</v>
      </c>
      <c r="C177" s="37" t="str" cm="1">
        <f t="array" aca="1" ref="C177" ca="1">INDEX('SAP Customer Data'!$A:$AC,MATCH(بيانات_العملاء[[#This Row],[رمز شريك الأعمال]],'SAP Customer Data'!$B:$B,0),CELL("col",Table_Customer_Data[[#Headers],[CardName]]))</f>
        <v>مؤسسة انار الحياة للتجارة -نقدي</v>
      </c>
      <c r="D177" s="37" t="str">
        <f ca="1">IF(بيانات_العملاء[[#This Row],[حد الائتمان على SAP]]&gt;0,"آجل","نقدى")</f>
        <v>نقدى</v>
      </c>
      <c r="E177" s="37" t="s">
        <v>2083</v>
      </c>
      <c r="F177" s="37" t="s">
        <v>1081</v>
      </c>
      <c r="G177" s="37" t="s">
        <v>856</v>
      </c>
      <c r="H17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77" s="37" t="s">
        <v>854</v>
      </c>
      <c r="J177" s="38">
        <v>44893</v>
      </c>
      <c r="K177" s="37" t="s">
        <v>855</v>
      </c>
      <c r="L177" s="37" t="str">
        <f ca="1">IF(AND(بيانات_العملاء[[#This Row],[السجل التجارى]]="موجود",TODAY()+'Other Data'!$B$23&lt;J177,بيانات_العملاء[[#This Row],[مطابقة اسم العميل بالاسم بالسجل التجارى]]="مطابق"), "سارى", "يجب اعادة طلبه")</f>
        <v>يجب اعادة طلبه</v>
      </c>
      <c r="M177" s="37" t="s">
        <v>854</v>
      </c>
      <c r="N177" s="39" t="str" cm="1">
        <f t="array" aca="1" ref="N177" ca="1">INDEX('SAP Customer Data'!$A:$AC,MATCH(بيانات_العملاء[[#This Row],[رمز شريك الأعمال]],'SAP Customer Data'!$B:$B,0),CELL("col",Table_Customer_Data[[#Headers],[LicTradNum]]))</f>
        <v>310488990300003</v>
      </c>
      <c r="O17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7" s="37" t="s">
        <v>856</v>
      </c>
      <c r="Q177" s="38"/>
      <c r="R17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7" s="37" t="s">
        <v>1080</v>
      </c>
      <c r="T177" s="40"/>
      <c r="U177" s="41"/>
      <c r="V17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77" s="37" cm="1">
        <f t="array" aca="1" ref="X177" ca="1">INDEX('SAP Customer Data'!$A:$AC,MATCH(بيانات_العملاء[[#This Row],[رمز شريك الأعمال]],'SAP Customer Data'!$B:$B,0),CELL("col",Table_Customer_Data[[#Headers],[CreditLine]]))</f>
        <v>0</v>
      </c>
      <c r="Y17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7" s="37"/>
      <c r="AA17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77" s="37" t="s">
        <v>856</v>
      </c>
      <c r="AC177" s="37"/>
      <c r="AD17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7" s="37" t="s">
        <v>856</v>
      </c>
      <c r="AF177" s="37"/>
      <c r="AG17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7" s="37" t="s">
        <v>856</v>
      </c>
      <c r="AI177" s="37"/>
      <c r="AJ17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7" s="37" t="s">
        <v>856</v>
      </c>
      <c r="AL177" s="38"/>
      <c r="AM17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7" s="37" t="s">
        <v>856</v>
      </c>
      <c r="AO177" s="41"/>
      <c r="AP17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7" s="37" t="s">
        <v>856</v>
      </c>
      <c r="AR177" s="37"/>
      <c r="AS17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7" s="41" cm="1">
        <f t="array" aca="1" ref="AT177" ca="1">INDEX('SAP Customer Data'!A:Z,MATCH(بيانات_العملاء[[#This Row],[رمز شريك الأعمال]],'SAP Customer Data'!B:B,0),CELL("col",Table_Customer_Data[[#Headers],[CreateDate]]))</f>
        <v>44817</v>
      </c>
      <c r="AU177" s="37"/>
      <c r="AV177" s="41"/>
      <c r="AW177" s="37" t="s">
        <v>2097</v>
      </c>
      <c r="AX177" s="37"/>
    </row>
    <row r="178" spans="1:50" x14ac:dyDescent="0.25">
      <c r="A178" s="36" t="str" cm="1">
        <f t="array" aca="1" ref="A178" ca="1">INDEX('SAP Customer Data'!$A:$AC,MATCH(بيانات_العملاء[[#This Row],[رمز شريك الأعمال]],'SAP Customer Data'!$B:$B,0),CELL("col",Table_Customer_Data[[#Headers],[GroupName]]))</f>
        <v>CS03</v>
      </c>
      <c r="B178" s="35" t="s">
        <v>484</v>
      </c>
      <c r="C178" s="37" t="str" cm="1">
        <f t="array" aca="1" ref="C178" ca="1">INDEX('SAP Customer Data'!$A:$AC,MATCH(بيانات_العملاء[[#This Row],[رمز شريك الأعمال]],'SAP Customer Data'!$B:$B,0),CELL("col",Table_Customer_Data[[#Headers],[CardName]]))</f>
        <v>مؤسسة ربوة الاعمار للتجارة</v>
      </c>
      <c r="D178" s="37" t="str">
        <f ca="1">IF(بيانات_العملاء[[#This Row],[حد الائتمان على SAP]]&gt;0,"آجل","نقدى")</f>
        <v>آجل</v>
      </c>
      <c r="E178" s="37" t="s">
        <v>1045</v>
      </c>
      <c r="F178" s="37" t="s">
        <v>1081</v>
      </c>
      <c r="G178" s="37" t="s">
        <v>854</v>
      </c>
      <c r="H17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78" s="37" t="s">
        <v>854</v>
      </c>
      <c r="J178" s="38">
        <v>45079</v>
      </c>
      <c r="K178" s="37" t="s">
        <v>855</v>
      </c>
      <c r="L178" s="37" t="str">
        <f ca="1">IF(AND(بيانات_العملاء[[#This Row],[السجل التجارى]]="موجود",TODAY()+'Other Data'!$B$23&lt;J178,بيانات_العملاء[[#This Row],[مطابقة اسم العميل بالاسم بالسجل التجارى]]="مطابق"), "سارى", "يجب اعادة طلبه")</f>
        <v>يجب اعادة طلبه</v>
      </c>
      <c r="M178" s="37" t="s">
        <v>854</v>
      </c>
      <c r="N178" s="39" t="str" cm="1">
        <f t="array" aca="1" ref="N178" ca="1">INDEX('SAP Customer Data'!$A:$AC,MATCH(بيانات_العملاء[[#This Row],[رمز شريك الأعمال]],'SAP Customer Data'!$B:$B,0),CELL("col",Table_Customer_Data[[#Headers],[LicTradNum]]))</f>
        <v>310962418900003</v>
      </c>
      <c r="O17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8" s="37" t="s">
        <v>854</v>
      </c>
      <c r="Q178" s="38">
        <v>45421</v>
      </c>
      <c r="R17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78" s="37" t="s">
        <v>854</v>
      </c>
      <c r="T178" s="40">
        <v>50000</v>
      </c>
      <c r="U178" s="41"/>
      <c r="V17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178" s="37" cm="1">
        <f t="array" aca="1" ref="X178" ca="1">INDEX('SAP Customer Data'!$A:$AC,MATCH(بيانات_العملاء[[#This Row],[رمز شريك الأعمال]],'SAP Customer Data'!$B:$B,0),CELL("col",Table_Customer_Data[[#Headers],[CreditLine]]))</f>
        <v>40000</v>
      </c>
      <c r="Y17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8" s="37" t="s">
        <v>855</v>
      </c>
      <c r="AA17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78" s="37" t="s">
        <v>856</v>
      </c>
      <c r="AC178" s="37"/>
      <c r="AD17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8" s="37" t="s">
        <v>856</v>
      </c>
      <c r="AF178" s="37"/>
      <c r="AG17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8" s="37" t="s">
        <v>856</v>
      </c>
      <c r="AI178" s="37"/>
      <c r="AJ17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8" s="37" t="s">
        <v>856</v>
      </c>
      <c r="AL178" s="38"/>
      <c r="AM17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8" s="37" t="s">
        <v>856</v>
      </c>
      <c r="AO178" s="41"/>
      <c r="AP17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8" s="37" t="s">
        <v>856</v>
      </c>
      <c r="AR178" s="37"/>
      <c r="AS17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8" s="41" cm="1">
        <f t="array" aca="1" ref="AT178" ca="1">INDEX('SAP Customer Data'!A:Z,MATCH(بيانات_العملاء[[#This Row],[رمز شريك الأعمال]],'SAP Customer Data'!B:B,0),CELL("col",Table_Customer_Data[[#Headers],[CreateDate]]))</f>
        <v>44853</v>
      </c>
      <c r="AU178" s="37"/>
      <c r="AV178" s="41"/>
      <c r="AW178" s="37" t="s">
        <v>2097</v>
      </c>
      <c r="AX178" s="37"/>
    </row>
    <row r="179" spans="1:50" x14ac:dyDescent="0.25">
      <c r="A179" s="36" t="str" cm="1">
        <f t="array" aca="1" ref="A179" ca="1">INDEX('SAP Customer Data'!$A:$AC,MATCH(بيانات_العملاء[[#This Row],[رمز شريك الأعمال]],'SAP Customer Data'!$B:$B,0),CELL("col",Table_Customer_Data[[#Headers],[GroupName]]))</f>
        <v>CS03</v>
      </c>
      <c r="B179" s="35" t="s">
        <v>488</v>
      </c>
      <c r="C179" s="37" t="str" cm="1">
        <f t="array" aca="1" ref="C179" ca="1">INDEX('SAP Customer Data'!$A:$AC,MATCH(بيانات_العملاء[[#This Row],[رمز شريك الأعمال]],'SAP Customer Data'!$B:$B,0),CELL("col",Table_Customer_Data[[#Headers],[CardName]]))</f>
        <v>مؤسسة عدنان محمد حمد الضبيعي للتجارة-نقدي</v>
      </c>
      <c r="D179" s="37" t="str">
        <f ca="1">IF(بيانات_العملاء[[#This Row],[حد الائتمان على SAP]]&gt;0,"آجل","نقدى")</f>
        <v>نقدى</v>
      </c>
      <c r="E179" s="37" t="s">
        <v>2106</v>
      </c>
      <c r="F179" s="37" t="s">
        <v>1081</v>
      </c>
      <c r="G179" s="37" t="s">
        <v>856</v>
      </c>
      <c r="H17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79" s="37" t="s">
        <v>854</v>
      </c>
      <c r="J179" s="38">
        <v>45528</v>
      </c>
      <c r="K179" s="37" t="s">
        <v>855</v>
      </c>
      <c r="L179" s="37" t="str">
        <f ca="1">IF(AND(بيانات_العملاء[[#This Row],[السجل التجارى]]="موجود",TODAY()+'Other Data'!$B$23&lt;J179,بيانات_العملاء[[#This Row],[مطابقة اسم العميل بالاسم بالسجل التجارى]]="مطابق"), "سارى", "يجب اعادة طلبه")</f>
        <v>سارى</v>
      </c>
      <c r="M179" s="37" t="s">
        <v>854</v>
      </c>
      <c r="N179" s="39" t="str" cm="1">
        <f t="array" aca="1" ref="N179" ca="1">INDEX('SAP Customer Data'!$A:$AC,MATCH(بيانات_العملاء[[#This Row],[رمز شريك الأعمال]],'SAP Customer Data'!$B:$B,0),CELL("col",Table_Customer_Data[[#Headers],[LicTradNum]]))</f>
        <v>302066667200003</v>
      </c>
      <c r="O17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79" s="37" t="s">
        <v>854</v>
      </c>
      <c r="Q179" s="38">
        <v>44910</v>
      </c>
      <c r="R17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79" s="37" t="s">
        <v>1080</v>
      </c>
      <c r="T179" s="40"/>
      <c r="U179" s="41"/>
      <c r="V17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7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79" s="37" cm="1">
        <f t="array" aca="1" ref="X179" ca="1">INDEX('SAP Customer Data'!$A:$AC,MATCH(بيانات_العملاء[[#This Row],[رمز شريك الأعمال]],'SAP Customer Data'!$B:$B,0),CELL("col",Table_Customer_Data[[#Headers],[CreditLine]]))</f>
        <v>0</v>
      </c>
      <c r="Y17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79" s="37"/>
      <c r="AA17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79" s="37" t="s">
        <v>856</v>
      </c>
      <c r="AC179" s="37"/>
      <c r="AD17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79" s="37" t="s">
        <v>856</v>
      </c>
      <c r="AF179" s="37"/>
      <c r="AG17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79" s="37" t="s">
        <v>856</v>
      </c>
      <c r="AI179" s="37"/>
      <c r="AJ17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79" s="37" t="s">
        <v>856</v>
      </c>
      <c r="AL179" s="38"/>
      <c r="AM17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79" s="37" t="s">
        <v>856</v>
      </c>
      <c r="AO179" s="41"/>
      <c r="AP17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79" s="37" t="s">
        <v>856</v>
      </c>
      <c r="AR179" s="37"/>
      <c r="AS17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79" s="41" cm="1">
        <f t="array" aca="1" ref="AT179" ca="1">INDEX('SAP Customer Data'!A:Z,MATCH(بيانات_العملاء[[#This Row],[رمز شريك الأعمال]],'SAP Customer Data'!B:B,0),CELL("col",Table_Customer_Data[[#Headers],[CreateDate]]))</f>
        <v>44907</v>
      </c>
      <c r="AU179" s="37"/>
      <c r="AV179" s="41"/>
      <c r="AW179" s="37" t="s">
        <v>2097</v>
      </c>
      <c r="AX179" s="37"/>
    </row>
    <row r="180" spans="1:50" x14ac:dyDescent="0.25">
      <c r="A180" s="36" t="str" cm="1">
        <f t="array" aca="1" ref="A180" ca="1">INDEX('SAP Customer Data'!$A:$AC,MATCH(بيانات_العملاء[[#This Row],[رمز شريك الأعمال]],'SAP Customer Data'!$B:$B,0),CELL("col",Table_Customer_Data[[#Headers],[GroupName]]))</f>
        <v>CS03</v>
      </c>
      <c r="B180" s="35" t="s">
        <v>490</v>
      </c>
      <c r="C180" s="37" t="str" cm="1">
        <f t="array" aca="1" ref="C180" ca="1">INDEX('SAP Customer Data'!$A:$AC,MATCH(بيانات_العملاء[[#This Row],[رمز شريك الأعمال]],'SAP Customer Data'!$B:$B,0),CELL("col",Table_Customer_Data[[#Headers],[CardName]]))</f>
        <v>شركة الركن المشيد التجارية - نقدى</v>
      </c>
      <c r="D180" s="37" t="str">
        <f ca="1">IF(بيانات_العملاء[[#This Row],[حد الائتمان على SAP]]&gt;0,"آجل","نقدى")</f>
        <v>نقدى</v>
      </c>
      <c r="E180" s="37"/>
      <c r="F180" s="37" t="s">
        <v>997</v>
      </c>
      <c r="G180" s="37" t="s">
        <v>856</v>
      </c>
      <c r="H18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80" s="37" t="s">
        <v>854</v>
      </c>
      <c r="J180" s="38">
        <v>46002</v>
      </c>
      <c r="K180" s="37" t="s">
        <v>855</v>
      </c>
      <c r="L180" s="37" t="str">
        <f ca="1">IF(AND(بيانات_العملاء[[#This Row],[السجل التجارى]]="موجود",TODAY()+'Other Data'!$B$23&lt;J180,بيانات_العملاء[[#This Row],[مطابقة اسم العميل بالاسم بالسجل التجارى]]="مطابق"), "سارى", "يجب اعادة طلبه")</f>
        <v>سارى</v>
      </c>
      <c r="M180" s="37" t="s">
        <v>856</v>
      </c>
      <c r="N180" s="39" t="str" cm="1">
        <f t="array" aca="1" ref="N180" ca="1">INDEX('SAP Customer Data'!$A:$AC,MATCH(بيانات_العملاء[[#This Row],[رمز شريك الأعمال]],'SAP Customer Data'!$B:$B,0),CELL("col",Table_Customer_Data[[#Headers],[LicTradNum]]))</f>
        <v>302258889900003</v>
      </c>
      <c r="O18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80" s="37" t="s">
        <v>856</v>
      </c>
      <c r="Q180" s="38"/>
      <c r="R18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0" s="37" t="s">
        <v>1080</v>
      </c>
      <c r="T180" s="40"/>
      <c r="U180" s="41"/>
      <c r="V18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8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80" s="37" cm="1">
        <f t="array" aca="1" ref="X180" ca="1">INDEX('SAP Customer Data'!$A:$AC,MATCH(بيانات_العملاء[[#This Row],[رمز شريك الأعمال]],'SAP Customer Data'!$B:$B,0),CELL("col",Table_Customer_Data[[#Headers],[CreditLine]]))</f>
        <v>0</v>
      </c>
      <c r="Y18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0" s="37"/>
      <c r="AA18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0" s="37" t="s">
        <v>856</v>
      </c>
      <c r="AC180" s="37"/>
      <c r="AD18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0" s="37" t="s">
        <v>856</v>
      </c>
      <c r="AF180" s="37"/>
      <c r="AG18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0" s="37" t="s">
        <v>856</v>
      </c>
      <c r="AI180" s="37"/>
      <c r="AJ18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0" s="37" t="s">
        <v>856</v>
      </c>
      <c r="AL180" s="38"/>
      <c r="AM18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0" s="37" t="s">
        <v>856</v>
      </c>
      <c r="AO180" s="41"/>
      <c r="AP18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0" s="37" t="s">
        <v>856</v>
      </c>
      <c r="AR180" s="37"/>
      <c r="AS18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0" s="41" cm="1">
        <f t="array" aca="1" ref="AT180" ca="1">INDEX('SAP Customer Data'!A:Z,MATCH(بيانات_العملاء[[#This Row],[رمز شريك الأعمال]],'SAP Customer Data'!B:B,0),CELL("col",Table_Customer_Data[[#Headers],[CreateDate]]))</f>
        <v>44913</v>
      </c>
      <c r="AU180" s="37"/>
      <c r="AV180" s="41"/>
      <c r="AW180" s="37" t="s">
        <v>2097</v>
      </c>
      <c r="AX180" s="37"/>
    </row>
    <row r="181" spans="1:50" x14ac:dyDescent="0.25">
      <c r="A181" s="36" t="str" cm="1">
        <f t="array" aca="1" ref="A181" ca="1">INDEX('SAP Customer Data'!$A:$AC,MATCH(بيانات_العملاء[[#This Row],[رمز شريك الأعمال]],'SAP Customer Data'!$B:$B,0),CELL("col",Table_Customer_Data[[#Headers],[GroupName]]))</f>
        <v>CS03</v>
      </c>
      <c r="B181" s="35" t="s">
        <v>492</v>
      </c>
      <c r="C181" s="37" t="str" cm="1">
        <f t="array" aca="1" ref="C181" ca="1">INDEX('SAP Customer Data'!$A:$AC,MATCH(بيانات_العملاء[[#This Row],[رمز شريك الأعمال]],'SAP Customer Data'!$B:$B,0),CELL("col",Table_Customer_Data[[#Headers],[CardName]]))</f>
        <v>مؤسسة جوهرة ابلاج للتجارة</v>
      </c>
      <c r="D181" s="37" t="str">
        <f ca="1">IF(بيانات_العملاء[[#This Row],[حد الائتمان على SAP]]&gt;0,"آجل","نقدى")</f>
        <v>آجل</v>
      </c>
      <c r="E181" s="37" t="s">
        <v>988</v>
      </c>
      <c r="F181" s="37" t="s">
        <v>1081</v>
      </c>
      <c r="G181" s="37" t="s">
        <v>854</v>
      </c>
      <c r="H18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81" s="37" t="s">
        <v>854</v>
      </c>
      <c r="J181" s="38">
        <v>45059</v>
      </c>
      <c r="K181" s="37" t="s">
        <v>855</v>
      </c>
      <c r="L181" s="37" t="str">
        <f ca="1">IF(AND(بيانات_العملاء[[#This Row],[السجل التجارى]]="موجود",TODAY()+'Other Data'!$B$23&lt;J181,بيانات_العملاء[[#This Row],[مطابقة اسم العميل بالاسم بالسجل التجارى]]="مطابق"), "سارى", "يجب اعادة طلبه")</f>
        <v>يجب اعادة طلبه</v>
      </c>
      <c r="M181" s="37" t="s">
        <v>854</v>
      </c>
      <c r="N181" s="39" t="str" cm="1">
        <f t="array" aca="1" ref="N181" ca="1">INDEX('SAP Customer Data'!$A:$AC,MATCH(بيانات_العملاء[[#This Row],[رمز شريك الأعمال]],'SAP Customer Data'!$B:$B,0),CELL("col",Table_Customer_Data[[#Headers],[LicTradNum]]))</f>
        <v>310262348300003</v>
      </c>
      <c r="O18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81" s="37" t="s">
        <v>856</v>
      </c>
      <c r="Q181" s="38"/>
      <c r="R18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1" s="37" t="s">
        <v>854</v>
      </c>
      <c r="T181" s="40">
        <v>60000</v>
      </c>
      <c r="U181" s="41">
        <v>44933</v>
      </c>
      <c r="V181" s="41">
        <f>IF(بيانات_العملاء[[#This Row],[تاريخ انشاء سند الامر او الاستثناء]]="",0,بيانات_العملاء[[#This Row],[تاريخ انشاء سند الامر او الاستثناء]]+365*3)</f>
        <v>46028</v>
      </c>
      <c r="W18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48000</v>
      </c>
      <c r="X181" s="37" cm="1">
        <f t="array" aca="1" ref="X181" ca="1">INDEX('SAP Customer Data'!$A:$AC,MATCH(بيانات_العملاء[[#This Row],[رمز شريك الأعمال]],'SAP Customer Data'!$B:$B,0),CELL("col",Table_Customer_Data[[#Headers],[CreditLine]]))</f>
        <v>48000</v>
      </c>
      <c r="Y18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1" s="37" t="s">
        <v>855</v>
      </c>
      <c r="AA18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1" s="37"/>
      <c r="AC181" s="37"/>
      <c r="AD18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1" s="37" t="s">
        <v>856</v>
      </c>
      <c r="AF181" s="37"/>
      <c r="AG18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1" s="37" t="s">
        <v>856</v>
      </c>
      <c r="AI181" s="37"/>
      <c r="AJ18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1" s="37"/>
      <c r="AL181" s="38"/>
      <c r="AM18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1" s="37" t="s">
        <v>854</v>
      </c>
      <c r="AO181" s="41">
        <v>45236</v>
      </c>
      <c r="AP18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سارى</v>
      </c>
      <c r="AQ181" s="37" t="s">
        <v>856</v>
      </c>
      <c r="AR181" s="37"/>
      <c r="AS18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1" s="41" cm="1">
        <f t="array" aca="1" ref="AT181" ca="1">INDEX('SAP Customer Data'!A:Z,MATCH(بيانات_العملاء[[#This Row],[رمز شريك الأعمال]],'SAP Customer Data'!B:B,0),CELL("col",Table_Customer_Data[[#Headers],[CreateDate]]))</f>
        <v>44933</v>
      </c>
      <c r="AU181" s="37"/>
      <c r="AV181" s="41"/>
      <c r="AW181" s="37" t="s">
        <v>2097</v>
      </c>
      <c r="AX181" s="37"/>
    </row>
    <row r="182" spans="1:50" x14ac:dyDescent="0.25">
      <c r="A182" s="36" t="str" cm="1">
        <f t="array" aca="1" ref="A182" ca="1">INDEX('SAP Customer Data'!$A:$AC,MATCH(بيانات_العملاء[[#This Row],[رمز شريك الأعمال]],'SAP Customer Data'!$B:$B,0),CELL("col",Table_Customer_Data[[#Headers],[GroupName]]))</f>
        <v>CS03</v>
      </c>
      <c r="B182" s="35" t="s">
        <v>932</v>
      </c>
      <c r="C182" s="37" t="str" cm="1">
        <f t="array" aca="1" ref="C182" ca="1">INDEX('SAP Customer Data'!$A:$AC,MATCH(بيانات_العملاء[[#This Row],[رمز شريك الأعمال]],'SAP Customer Data'!$B:$B,0),CELL("col",Table_Customer_Data[[#Headers],[CardName]]))</f>
        <v>مؤسسة نور الديار للتجارة- نقدي</v>
      </c>
      <c r="D182" s="37" t="str">
        <f ca="1">IF(بيانات_العملاء[[#This Row],[حد الائتمان على SAP]]&gt;0,"آجل","نقدى")</f>
        <v>نقدى</v>
      </c>
      <c r="E182" s="37" t="s">
        <v>990</v>
      </c>
      <c r="F182" s="37" t="s">
        <v>1081</v>
      </c>
      <c r="G182" s="37" t="s">
        <v>856</v>
      </c>
      <c r="H18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82" s="37" t="s">
        <v>854</v>
      </c>
      <c r="J182" s="38">
        <v>45124</v>
      </c>
      <c r="K182" s="37" t="s">
        <v>855</v>
      </c>
      <c r="L182" s="37" t="str">
        <f ca="1">IF(AND(بيانات_العملاء[[#This Row],[السجل التجارى]]="موجود",TODAY()+'Other Data'!$B$23&lt;J182,بيانات_العملاء[[#This Row],[مطابقة اسم العميل بالاسم بالسجل التجارى]]="مطابق"), "سارى", "يجب اعادة طلبه")</f>
        <v>يجب اعادة طلبه</v>
      </c>
      <c r="M182" s="37" t="s">
        <v>856</v>
      </c>
      <c r="N182" s="39" t="str" cm="1">
        <f t="array" aca="1" ref="N182" ca="1">INDEX('SAP Customer Data'!$A:$AC,MATCH(بيانات_العملاء[[#This Row],[رمز شريك الأعمال]],'SAP Customer Data'!$B:$B,0),CELL("col",Table_Customer_Data[[#Headers],[LicTradNum]]))</f>
        <v>3104208303000003</v>
      </c>
      <c r="O18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82" s="37" t="s">
        <v>856</v>
      </c>
      <c r="Q182" s="38"/>
      <c r="R18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2" s="37" t="s">
        <v>1080</v>
      </c>
      <c r="T182" s="40"/>
      <c r="U182" s="41"/>
      <c r="V18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8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82" s="37" cm="1">
        <f t="array" aca="1" ref="X182" ca="1">INDEX('SAP Customer Data'!$A:$AC,MATCH(بيانات_العملاء[[#This Row],[رمز شريك الأعمال]],'SAP Customer Data'!$B:$B,0),CELL("col",Table_Customer_Data[[#Headers],[CreditLine]]))</f>
        <v>0</v>
      </c>
      <c r="Y18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2" s="37"/>
      <c r="AA18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2" s="37"/>
      <c r="AC182" s="37"/>
      <c r="AD18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2" s="37" t="s">
        <v>856</v>
      </c>
      <c r="AF182" s="37"/>
      <c r="AG18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2" s="37" t="s">
        <v>856</v>
      </c>
      <c r="AI182" s="37"/>
      <c r="AJ18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2" s="37"/>
      <c r="AL182" s="38"/>
      <c r="AM18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2" s="37" t="s">
        <v>856</v>
      </c>
      <c r="AO182" s="41"/>
      <c r="AP18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2" s="37" t="s">
        <v>856</v>
      </c>
      <c r="AR182" s="37"/>
      <c r="AS18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2" s="41" cm="1">
        <f t="array" aca="1" ref="AT182" ca="1">INDEX('SAP Customer Data'!A:Z,MATCH(بيانات_العملاء[[#This Row],[رمز شريك الأعمال]],'SAP Customer Data'!B:B,0),CELL("col",Table_Customer_Data[[#Headers],[CreateDate]]))</f>
        <v>44966</v>
      </c>
      <c r="AU182" s="37"/>
      <c r="AV182" s="41"/>
      <c r="AW182" s="37" t="s">
        <v>2097</v>
      </c>
      <c r="AX182" s="37"/>
    </row>
    <row r="183" spans="1:50" x14ac:dyDescent="0.25">
      <c r="A183" s="36" t="str" cm="1">
        <f t="array" aca="1" ref="A183" ca="1">INDEX('SAP Customer Data'!$A:$AC,MATCH(بيانات_العملاء[[#This Row],[رمز شريك الأعمال]],'SAP Customer Data'!$B:$B,0),CELL("col",Table_Customer_Data[[#Headers],[GroupName]]))</f>
        <v>CS03</v>
      </c>
      <c r="B183" s="35" t="s">
        <v>933</v>
      </c>
      <c r="C183" s="37" t="str" cm="1">
        <f t="array" aca="1" ref="C183" ca="1">INDEX('SAP Customer Data'!$A:$AC,MATCH(بيانات_العملاء[[#This Row],[رمز شريك الأعمال]],'SAP Customer Data'!$B:$B,0),CELL("col",Table_Customer_Data[[#Headers],[CardName]]))</f>
        <v>مؤسسة موارد الشمال للتجارة</v>
      </c>
      <c r="D183" s="37" t="str">
        <f ca="1">IF(بيانات_العملاء[[#This Row],[حد الائتمان على SAP]]&gt;0,"آجل","نقدى")</f>
        <v>آجل</v>
      </c>
      <c r="E183" s="37" t="s">
        <v>991</v>
      </c>
      <c r="F183" s="37" t="s">
        <v>1081</v>
      </c>
      <c r="G183" s="37" t="s">
        <v>854</v>
      </c>
      <c r="H18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83" s="37" t="s">
        <v>854</v>
      </c>
      <c r="J183" s="38">
        <v>45027</v>
      </c>
      <c r="K183" s="37" t="s">
        <v>855</v>
      </c>
      <c r="L183" s="37" t="str">
        <f ca="1">IF(AND(بيانات_العملاء[[#This Row],[السجل التجارى]]="موجود",TODAY()+'Other Data'!$B$23&lt;J183,بيانات_العملاء[[#This Row],[مطابقة اسم العميل بالاسم بالسجل التجارى]]="مطابق"), "سارى", "يجب اعادة طلبه")</f>
        <v>يجب اعادة طلبه</v>
      </c>
      <c r="M183" s="37" t="s">
        <v>854</v>
      </c>
      <c r="N183" s="39" t="str" cm="1">
        <f t="array" aca="1" ref="N183" ca="1">INDEX('SAP Customer Data'!$A:$AC,MATCH(بيانات_العملاء[[#This Row],[رمز شريك الأعمال]],'SAP Customer Data'!$B:$B,0),CELL("col",Table_Customer_Data[[#Headers],[LicTradNum]]))</f>
        <v>302186681600003</v>
      </c>
      <c r="O18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83" s="37" t="s">
        <v>854</v>
      </c>
      <c r="Q183" s="38">
        <v>45109</v>
      </c>
      <c r="R18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3" s="37" t="s">
        <v>854</v>
      </c>
      <c r="T183" s="40">
        <v>100000</v>
      </c>
      <c r="U183" s="41">
        <v>44972</v>
      </c>
      <c r="V183" s="41">
        <f>IF(بيانات_العملاء[[#This Row],[تاريخ انشاء سند الامر او الاستثناء]]="",0,بيانات_العملاء[[#This Row],[تاريخ انشاء سند الامر او الاستثناء]]+365*3)</f>
        <v>46067</v>
      </c>
      <c r="W18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83" s="37" cm="1">
        <f t="array" aca="1" ref="X183" ca="1">INDEX('SAP Customer Data'!$A:$AC,MATCH(بيانات_العملاء[[#This Row],[رمز شريك الأعمال]],'SAP Customer Data'!$B:$B,0),CELL("col",Table_Customer_Data[[#Headers],[CreditLine]]))</f>
        <v>80000</v>
      </c>
      <c r="Y18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3" s="37" t="s">
        <v>855</v>
      </c>
      <c r="AA18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3" s="37"/>
      <c r="AC183" s="41">
        <v>47684</v>
      </c>
      <c r="AD18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3" s="37" t="s">
        <v>854</v>
      </c>
      <c r="AF183" s="41">
        <v>47684</v>
      </c>
      <c r="AG18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183" s="37" t="s">
        <v>856</v>
      </c>
      <c r="AI183" s="37"/>
      <c r="AJ18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3" s="37"/>
      <c r="AL183" s="38"/>
      <c r="AM18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3" s="37" t="s">
        <v>854</v>
      </c>
      <c r="AO183" s="41">
        <v>44626</v>
      </c>
      <c r="AP18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3" s="37" t="s">
        <v>856</v>
      </c>
      <c r="AR183" s="37"/>
      <c r="AS18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3" s="41" cm="1">
        <f t="array" aca="1" ref="AT183" ca="1">INDEX('SAP Customer Data'!A:Z,MATCH(بيانات_العملاء[[#This Row],[رمز شريك الأعمال]],'SAP Customer Data'!B:B,0),CELL("col",Table_Customer_Data[[#Headers],[CreateDate]]))</f>
        <v>44976</v>
      </c>
      <c r="AU183" s="37"/>
      <c r="AV183" s="41"/>
      <c r="AW183" s="37" t="s">
        <v>2097</v>
      </c>
      <c r="AX183" s="37"/>
    </row>
    <row r="184" spans="1:50" x14ac:dyDescent="0.25">
      <c r="A184" s="36" t="str" cm="1">
        <f t="array" aca="1" ref="A184" ca="1">INDEX('SAP Customer Data'!$A:$AC,MATCH(بيانات_العملاء[[#This Row],[رمز شريك الأعمال]],'SAP Customer Data'!$B:$B,0),CELL("col",Table_Customer_Data[[#Headers],[GroupName]]))</f>
        <v>CS03</v>
      </c>
      <c r="B184" s="35" t="s">
        <v>934</v>
      </c>
      <c r="C184" s="37" t="str" cm="1">
        <f t="array" aca="1" ref="C184" ca="1">INDEX('SAP Customer Data'!$A:$AC,MATCH(بيانات_العملاء[[#This Row],[رمز شريك الأعمال]],'SAP Customer Data'!$B:$B,0),CELL("col",Table_Customer_Data[[#Headers],[CardName]]))</f>
        <v>شركة انوار الجاهزية للتجارة</v>
      </c>
      <c r="D184" s="37" t="str">
        <f ca="1">IF(بيانات_العملاء[[#This Row],[حد الائتمان على SAP]]&gt;0,"آجل","نقدى")</f>
        <v>آجل</v>
      </c>
      <c r="E184" s="37"/>
      <c r="F184" s="37" t="s">
        <v>908</v>
      </c>
      <c r="G184" s="37" t="s">
        <v>854</v>
      </c>
      <c r="H18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84" s="37" t="s">
        <v>854</v>
      </c>
      <c r="J184" s="38">
        <v>45050</v>
      </c>
      <c r="K184" s="37" t="s">
        <v>855</v>
      </c>
      <c r="L184" s="37" t="str">
        <f ca="1">IF(AND(بيانات_العملاء[[#This Row],[السجل التجارى]]="موجود",TODAY()+'Other Data'!$B$23&lt;J184,بيانات_العملاء[[#This Row],[مطابقة اسم العميل بالاسم بالسجل التجارى]]="مطابق"), "سارى", "يجب اعادة طلبه")</f>
        <v>يجب اعادة طلبه</v>
      </c>
      <c r="M184" s="37" t="s">
        <v>854</v>
      </c>
      <c r="N184" s="39" t="str" cm="1">
        <f t="array" aca="1" ref="N184" ca="1">INDEX('SAP Customer Data'!$A:$AC,MATCH(بيانات_العملاء[[#This Row],[رمز شريك الأعمال]],'SAP Customer Data'!$B:$B,0),CELL("col",Table_Customer_Data[[#Headers],[LicTradNum]]))</f>
        <v>311295720300003</v>
      </c>
      <c r="O18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84" s="37" t="s">
        <v>854</v>
      </c>
      <c r="Q184" s="38">
        <v>44861</v>
      </c>
      <c r="R18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4" s="37" t="s">
        <v>854</v>
      </c>
      <c r="T184" s="40">
        <v>100000</v>
      </c>
      <c r="U184" s="41"/>
      <c r="V18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8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84" s="37" cm="1">
        <f t="array" aca="1" ref="X184" ca="1">INDEX('SAP Customer Data'!$A:$AC,MATCH(بيانات_العملاء[[#This Row],[رمز شريك الأعمال]],'SAP Customer Data'!$B:$B,0),CELL("col",Table_Customer_Data[[#Headers],[CreditLine]]))</f>
        <v>80000</v>
      </c>
      <c r="Y18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4" s="37" t="s">
        <v>855</v>
      </c>
      <c r="AA18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184" s="37"/>
      <c r="AC184" s="41">
        <v>50834</v>
      </c>
      <c r="AD18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4" s="37" t="s">
        <v>854</v>
      </c>
      <c r="AF184" s="41">
        <v>50834</v>
      </c>
      <c r="AG18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184" s="37" t="s">
        <v>856</v>
      </c>
      <c r="AI184" s="37"/>
      <c r="AJ18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4" s="37"/>
      <c r="AL184" s="38"/>
      <c r="AM18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4" s="37" t="s">
        <v>854</v>
      </c>
      <c r="AO184" s="41">
        <v>44882</v>
      </c>
      <c r="AP18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4" s="37" t="s">
        <v>856</v>
      </c>
      <c r="AR184" s="37"/>
      <c r="AS18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4" s="41" cm="1">
        <f t="array" aca="1" ref="AT184" ca="1">INDEX('SAP Customer Data'!A:Z,MATCH(بيانات_العملاء[[#This Row],[رمز شريك الأعمال]],'SAP Customer Data'!B:B,0),CELL("col",Table_Customer_Data[[#Headers],[CreateDate]]))</f>
        <v>44977</v>
      </c>
      <c r="AU184" s="37"/>
      <c r="AV184" s="41"/>
      <c r="AW184" s="37" t="s">
        <v>2097</v>
      </c>
      <c r="AX184" s="37"/>
    </row>
    <row r="185" spans="1:50" x14ac:dyDescent="0.25">
      <c r="A185" s="36" t="str" cm="1">
        <f t="array" aca="1" ref="A185" ca="1">INDEX('SAP Customer Data'!$A:$AC,MATCH(بيانات_العملاء[[#This Row],[رمز شريك الأعمال]],'SAP Customer Data'!$B:$B,0),CELL("col",Table_Customer_Data[[#Headers],[GroupName]]))</f>
        <v>CS03</v>
      </c>
      <c r="B185" s="35" t="s">
        <v>935</v>
      </c>
      <c r="C185" s="37" t="str" cm="1">
        <f t="array" aca="1" ref="C185" ca="1">INDEX('SAP Customer Data'!$A:$AC,MATCH(بيانات_العملاء[[#This Row],[رمز شريك الأعمال]],'SAP Customer Data'!$B:$B,0),CELL("col",Table_Customer_Data[[#Headers],[CardName]]))</f>
        <v>مؤسسة محمد سليمان عبدالله الشماسى للمقاولات - نقدى</v>
      </c>
      <c r="D185" s="37" t="str">
        <f ca="1">IF(بيانات_العملاء[[#This Row],[حد الائتمان على SAP]]&gt;0,"آجل","نقدى")</f>
        <v>نقدى</v>
      </c>
      <c r="E185" s="37" t="s">
        <v>992</v>
      </c>
      <c r="F185" s="37" t="s">
        <v>1081</v>
      </c>
      <c r="G185" s="37" t="s">
        <v>856</v>
      </c>
      <c r="H18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85" s="37" t="s">
        <v>854</v>
      </c>
      <c r="J185" s="38">
        <v>44842</v>
      </c>
      <c r="K185" s="37" t="s">
        <v>855</v>
      </c>
      <c r="L185" s="37" t="str">
        <f ca="1">IF(AND(بيانات_العملاء[[#This Row],[السجل التجارى]]="موجود",TODAY()+'Other Data'!$B$23&lt;J185,بيانات_العملاء[[#This Row],[مطابقة اسم العميل بالاسم بالسجل التجارى]]="مطابق"), "سارى", "يجب اعادة طلبه")</f>
        <v>يجب اعادة طلبه</v>
      </c>
      <c r="M185" s="37" t="s">
        <v>854</v>
      </c>
      <c r="N185" s="39" t="str" cm="1">
        <f t="array" aca="1" ref="N185" ca="1">INDEX('SAP Customer Data'!$A:$AC,MATCH(بيانات_العملاء[[#This Row],[رمز شريك الأعمال]],'SAP Customer Data'!$B:$B,0),CELL("col",Table_Customer_Data[[#Headers],[LicTradNum]]))</f>
        <v>300246624200003</v>
      </c>
      <c r="O18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85" s="37" t="s">
        <v>854</v>
      </c>
      <c r="Q185" s="38">
        <v>45797</v>
      </c>
      <c r="R18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85" s="37" t="s">
        <v>1080</v>
      </c>
      <c r="T185" s="40"/>
      <c r="U185" s="41"/>
      <c r="V18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8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85" s="37" cm="1">
        <f t="array" aca="1" ref="X185" ca="1">INDEX('SAP Customer Data'!$A:$AC,MATCH(بيانات_العملاء[[#This Row],[رمز شريك الأعمال]],'SAP Customer Data'!$B:$B,0),CELL("col",Table_Customer_Data[[#Headers],[CreditLine]]))</f>
        <v>0</v>
      </c>
      <c r="Y18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5" s="37"/>
      <c r="AA18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5" s="37"/>
      <c r="AC185" s="37"/>
      <c r="AD18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5" s="37" t="s">
        <v>856</v>
      </c>
      <c r="AF185" s="37"/>
      <c r="AG18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5" s="37" t="s">
        <v>856</v>
      </c>
      <c r="AI185" s="37"/>
      <c r="AJ18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5" s="37"/>
      <c r="AL185" s="38"/>
      <c r="AM18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5" s="37" t="s">
        <v>856</v>
      </c>
      <c r="AO185" s="41"/>
      <c r="AP18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5" s="37" t="s">
        <v>856</v>
      </c>
      <c r="AR185" s="37"/>
      <c r="AS18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5" s="41" cm="1">
        <f t="array" aca="1" ref="AT185" ca="1">INDEX('SAP Customer Data'!A:Z,MATCH(بيانات_العملاء[[#This Row],[رمز شريك الأعمال]],'SAP Customer Data'!B:B,0),CELL("col",Table_Customer_Data[[#Headers],[CreateDate]]))</f>
        <v>44982</v>
      </c>
      <c r="AU185" s="37"/>
      <c r="AV185" s="41"/>
      <c r="AW185" s="37" t="s">
        <v>2097</v>
      </c>
      <c r="AX185" s="37"/>
    </row>
    <row r="186" spans="1:50" x14ac:dyDescent="0.25">
      <c r="A186" s="36" t="str" cm="1">
        <f t="array" aca="1" ref="A186" ca="1">INDEX('SAP Customer Data'!$A:$AC,MATCH(بيانات_العملاء[[#This Row],[رمز شريك الأعمال]],'SAP Customer Data'!$B:$B,0),CELL("col",Table_Customer_Data[[#Headers],[GroupName]]))</f>
        <v>CS03</v>
      </c>
      <c r="B186" s="35" t="s">
        <v>936</v>
      </c>
      <c r="C186" s="37" t="str" cm="1">
        <f t="array" aca="1" ref="C186" ca="1">INDEX('SAP Customer Data'!$A:$AC,MATCH(بيانات_العملاء[[#This Row],[رمز شريك الأعمال]],'SAP Customer Data'!$B:$B,0),CELL("col",Table_Customer_Data[[#Headers],[CardName]]))</f>
        <v>مؤسسة عيظه كرامه بن محفوظ النهدى للتجارة - نقدى</v>
      </c>
      <c r="D186" s="37" t="str">
        <f ca="1">IF(بيانات_العملاء[[#This Row],[حد الائتمان على SAP]]&gt;0,"آجل","نقدى")</f>
        <v>نقدى</v>
      </c>
      <c r="E186" s="37" t="s">
        <v>993</v>
      </c>
      <c r="F186" s="37" t="s">
        <v>1081</v>
      </c>
      <c r="G186" s="37" t="s">
        <v>856</v>
      </c>
      <c r="H18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86" s="37" t="s">
        <v>854</v>
      </c>
      <c r="J186" s="38">
        <v>45823</v>
      </c>
      <c r="K186" s="37" t="s">
        <v>855</v>
      </c>
      <c r="L186" s="37" t="str">
        <f ca="1">IF(AND(بيانات_العملاء[[#This Row],[السجل التجارى]]="موجود",TODAY()+'Other Data'!$B$23&lt;J186,بيانات_العملاء[[#This Row],[مطابقة اسم العميل بالاسم بالسجل التجارى]]="مطابق"), "سارى", "يجب اعادة طلبه")</f>
        <v>سارى</v>
      </c>
      <c r="M186" s="37" t="s">
        <v>854</v>
      </c>
      <c r="N186" s="39" t="str" cm="1">
        <f t="array" aca="1" ref="N186" ca="1">INDEX('SAP Customer Data'!$A:$AC,MATCH(بيانات_العملاء[[#This Row],[رمز شريك الأعمال]],'SAP Customer Data'!$B:$B,0),CELL("col",Table_Customer_Data[[#Headers],[LicTradNum]]))</f>
        <v>300036893300003</v>
      </c>
      <c r="O18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86" s="37" t="s">
        <v>854</v>
      </c>
      <c r="Q186" s="38">
        <v>45818</v>
      </c>
      <c r="R18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86" s="37" t="s">
        <v>1080</v>
      </c>
      <c r="T186" s="40"/>
      <c r="U186" s="41"/>
      <c r="V18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8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86" s="37" cm="1">
        <f t="array" aca="1" ref="X186" ca="1">INDEX('SAP Customer Data'!$A:$AC,MATCH(بيانات_العملاء[[#This Row],[رمز شريك الأعمال]],'SAP Customer Data'!$B:$B,0),CELL("col",Table_Customer_Data[[#Headers],[CreditLine]]))</f>
        <v>0</v>
      </c>
      <c r="Y18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6" s="37"/>
      <c r="AA18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6" s="37"/>
      <c r="AC186" s="37"/>
      <c r="AD18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6" s="37" t="s">
        <v>856</v>
      </c>
      <c r="AF186" s="37"/>
      <c r="AG18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6" s="37" t="s">
        <v>856</v>
      </c>
      <c r="AI186" s="37"/>
      <c r="AJ18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6" s="37"/>
      <c r="AL186" s="38"/>
      <c r="AM18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6" s="37" t="s">
        <v>856</v>
      </c>
      <c r="AO186" s="41"/>
      <c r="AP18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6" s="37" t="s">
        <v>856</v>
      </c>
      <c r="AR186" s="37"/>
      <c r="AS18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6" s="41" cm="1">
        <f t="array" aca="1" ref="AT186" ca="1">INDEX('SAP Customer Data'!A:Z,MATCH(بيانات_العملاء[[#This Row],[رمز شريك الأعمال]],'SAP Customer Data'!B:B,0),CELL("col",Table_Customer_Data[[#Headers],[CreateDate]]))</f>
        <v>44982</v>
      </c>
      <c r="AU186" s="37"/>
      <c r="AV186" s="41"/>
      <c r="AW186" s="37" t="s">
        <v>2097</v>
      </c>
      <c r="AX186" s="37"/>
    </row>
    <row r="187" spans="1:50" x14ac:dyDescent="0.25">
      <c r="A187" s="36" t="str" cm="1">
        <f t="array" aca="1" ref="A187" ca="1">INDEX('SAP Customer Data'!$A:$AC,MATCH(بيانات_العملاء[[#This Row],[رمز شريك الأعمال]],'SAP Customer Data'!$B:$B,0),CELL("col",Table_Customer_Data[[#Headers],[GroupName]]))</f>
        <v>CS03</v>
      </c>
      <c r="B187" s="35" t="s">
        <v>980</v>
      </c>
      <c r="C187" s="37" t="str" cm="1">
        <f t="array" aca="1" ref="C187" ca="1">INDEX('SAP Customer Data'!$A:$AC,MATCH(بيانات_العملاء[[#This Row],[رمز شريك الأعمال]],'SAP Customer Data'!$B:$B,0),CELL("col",Table_Customer_Data[[#Headers],[CardName]]))</f>
        <v>شركة علي خلف العنزي وشركاه - فرع النسيم</v>
      </c>
      <c r="D187" s="37" t="str">
        <f ca="1">IF(بيانات_العملاء[[#This Row],[حد الائتمان على SAP]]&gt;0,"آجل","نقدى")</f>
        <v>آجل</v>
      </c>
      <c r="E187" s="37"/>
      <c r="F187" s="37" t="s">
        <v>1082</v>
      </c>
      <c r="G187" s="37" t="s">
        <v>856</v>
      </c>
      <c r="H18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87" s="37" t="s">
        <v>856</v>
      </c>
      <c r="J187" s="38"/>
      <c r="K187" s="37"/>
      <c r="L187" s="37" t="str">
        <f ca="1">IF(AND(بيانات_العملاء[[#This Row],[السجل التجارى]]="موجود",TODAY()+'Other Data'!$B$23&lt;J187,بيانات_العملاء[[#This Row],[مطابقة اسم العميل بالاسم بالسجل التجارى]]="مطابق"), "سارى", "يجب اعادة طلبه")</f>
        <v>يجب اعادة طلبه</v>
      </c>
      <c r="M187" s="37" t="s">
        <v>856</v>
      </c>
      <c r="N187" s="39" t="str" cm="1">
        <f t="array" aca="1" ref="N187" ca="1">INDEX('SAP Customer Data'!$A:$AC,MATCH(بيانات_العملاء[[#This Row],[رمز شريك الأعمال]],'SAP Customer Data'!$B:$B,0),CELL("col",Table_Customer_Data[[#Headers],[LicTradNum]]))</f>
        <v>310088399300003</v>
      </c>
      <c r="O18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187" s="37" t="s">
        <v>856</v>
      </c>
      <c r="Q187" s="38"/>
      <c r="R18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7" s="37" t="s">
        <v>1075</v>
      </c>
      <c r="T187" s="40">
        <v>10000</v>
      </c>
      <c r="U187" s="41">
        <v>44996</v>
      </c>
      <c r="V187" s="41">
        <f>IF(بيانات_العملاء[[#This Row],[تاريخ انشاء سند الامر او الاستثناء]]="",0,بيانات_العملاء[[#This Row],[تاريخ انشاء سند الامر او الاستثناء]]+365*3)</f>
        <v>46091</v>
      </c>
      <c r="W18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10000</v>
      </c>
      <c r="X187" s="37" cm="1">
        <f t="array" aca="1" ref="X187" ca="1">INDEX('SAP Customer Data'!$A:$AC,MATCH(بيانات_العملاء[[#This Row],[رمز شريك الأعمال]],'SAP Customer Data'!$B:$B,0),CELL("col",Table_Customer_Data[[#Headers],[CreditLine]]))</f>
        <v>10000</v>
      </c>
      <c r="Y18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7" s="37"/>
      <c r="AA18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7" s="37" t="s">
        <v>856</v>
      </c>
      <c r="AC187" s="37"/>
      <c r="AD18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7" s="37" t="s">
        <v>856</v>
      </c>
      <c r="AF187" s="37"/>
      <c r="AG18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7" s="37" t="s">
        <v>856</v>
      </c>
      <c r="AI187" s="37"/>
      <c r="AJ18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7" s="37" t="s">
        <v>856</v>
      </c>
      <c r="AL187" s="38"/>
      <c r="AM18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7" s="37" t="s">
        <v>856</v>
      </c>
      <c r="AO187" s="41"/>
      <c r="AP18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7" s="37" t="s">
        <v>856</v>
      </c>
      <c r="AR187" s="37"/>
      <c r="AS18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7" s="41" cm="1">
        <f t="array" aca="1" ref="AT187" ca="1">INDEX('SAP Customer Data'!A:Z,MATCH(بيانات_العملاء[[#This Row],[رمز شريك الأعمال]],'SAP Customer Data'!B:B,0),CELL("col",Table_Customer_Data[[#Headers],[CreateDate]]))</f>
        <v>45012</v>
      </c>
      <c r="AU187" s="37"/>
      <c r="AV187" s="41"/>
      <c r="AW187" s="37" t="s">
        <v>2096</v>
      </c>
      <c r="AX187" s="37"/>
    </row>
    <row r="188" spans="1:50" x14ac:dyDescent="0.25">
      <c r="A188" s="36" t="str" cm="1">
        <f t="array" aca="1" ref="A188" ca="1">INDEX('SAP Customer Data'!$A:$AC,MATCH(بيانات_العملاء[[#This Row],[رمز شريك الأعمال]],'SAP Customer Data'!$B:$B,0),CELL("col",Table_Customer_Data[[#Headers],[GroupName]]))</f>
        <v>CS03</v>
      </c>
      <c r="B188" s="35" t="s">
        <v>412</v>
      </c>
      <c r="C188" s="36" t="str" cm="1">
        <f t="array" aca="1" ref="C188" ca="1">INDEX('SAP Customer Data'!$A:$AC,MATCH(بيانات_العملاء[[#This Row],[رمز شريك الأعمال]],'SAP Customer Data'!$B:$B,0),CELL("col",Table_Customer_Data[[#Headers],[CardName]]))</f>
        <v>مؤسسة افنان الحجاز للمقاولات - نقدي</v>
      </c>
      <c r="D188" s="36" t="str">
        <f ca="1">IF(بيانات_العملاء[[#This Row],[حد الائتمان على SAP]]&gt;0,"آجل","نقدى")</f>
        <v>نقدى</v>
      </c>
      <c r="E188" s="36" t="s">
        <v>2246</v>
      </c>
      <c r="F188" s="36" t="s">
        <v>1081</v>
      </c>
      <c r="G188" s="36" t="s">
        <v>856</v>
      </c>
      <c r="H188" s="36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88" s="36" t="s">
        <v>854</v>
      </c>
      <c r="J188" s="38">
        <v>44312</v>
      </c>
      <c r="K188" s="36" t="s">
        <v>855</v>
      </c>
      <c r="L188" s="36" t="str">
        <f ca="1">IF(AND(بيانات_العملاء[[#This Row],[السجل التجارى]]="موجود",TODAY()+'Other Data'!$B$23&lt;J188,بيانات_العملاء[[#This Row],[مطابقة اسم العميل بالاسم بالسجل التجارى]]="مطابق"), "سارى", "يجب اعادة طلبه")</f>
        <v>يجب اعادة طلبه</v>
      </c>
      <c r="M188" s="36" t="s">
        <v>854</v>
      </c>
      <c r="N188" s="39" t="str" cm="1">
        <f t="array" aca="1" ref="N188" ca="1">INDEX('SAP Customer Data'!$A:$AC,MATCH(بيانات_العملاء[[#This Row],[رمز شريك الأعمال]],'SAP Customer Data'!$B:$B,0),CELL("col",Table_Customer_Data[[#Headers],[LicTradNum]]))</f>
        <v>300032532300003</v>
      </c>
      <c r="O188" s="36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88" s="36" t="s">
        <v>854</v>
      </c>
      <c r="Q188" s="38">
        <v>44784</v>
      </c>
      <c r="R188" s="36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8" s="36" t="s">
        <v>1080</v>
      </c>
      <c r="T188" s="40"/>
      <c r="U188" s="36"/>
      <c r="V188" s="36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8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88" s="36" cm="1">
        <f t="array" aca="1" ref="X188" ca="1">INDEX('SAP Customer Data'!$A:$AC,MATCH(بيانات_العملاء[[#This Row],[رمز شريك الأعمال]],'SAP Customer Data'!$B:$B,0),CELL("col",Table_Customer_Data[[#Headers],[CreditLine]]))</f>
        <v>0</v>
      </c>
      <c r="Y18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8" s="37"/>
      <c r="AA18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8" s="36"/>
      <c r="AC188" s="36"/>
      <c r="AD188" s="36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8" s="36"/>
      <c r="AF188" s="36"/>
      <c r="AG188" s="36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8" s="36"/>
      <c r="AI188" s="36"/>
      <c r="AJ188" s="36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8" s="36"/>
      <c r="AL188" s="36"/>
      <c r="AM188" s="36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8" s="36"/>
      <c r="AO188" s="36"/>
      <c r="AP188" s="36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8" s="36"/>
      <c r="AR188" s="36"/>
      <c r="AS188" s="36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8" s="41" cm="1">
        <f t="array" aca="1" ref="AT188" ca="1">INDEX('SAP Customer Data'!A:Z,MATCH(بيانات_العملاء[[#This Row],[رمز شريك الأعمال]],'SAP Customer Data'!B:B,0),CELL("col",Table_Customer_Data[[#Headers],[CreateDate]]))</f>
        <v>44741</v>
      </c>
      <c r="AU188" s="36"/>
      <c r="AV188" s="36"/>
      <c r="AW188" s="36" t="s">
        <v>2097</v>
      </c>
      <c r="AX188" s="36"/>
    </row>
    <row r="189" spans="1:50" x14ac:dyDescent="0.25">
      <c r="A189" s="36" t="str" cm="1">
        <f t="array" aca="1" ref="A189" ca="1">INDEX('SAP Customer Data'!$A:$AC,MATCH(بيانات_العملاء[[#This Row],[رمز شريك الأعمال]],'SAP Customer Data'!$B:$B,0),CELL("col",Table_Customer_Data[[#Headers],[GroupName]]))</f>
        <v>CS03</v>
      </c>
      <c r="B189" s="35" t="s">
        <v>981</v>
      </c>
      <c r="C189" s="37" t="str" cm="1">
        <f t="array" aca="1" ref="C189" ca="1">INDEX('SAP Customer Data'!$A:$AC,MATCH(بيانات_العملاء[[#This Row],[رمز شريك الأعمال]],'SAP Customer Data'!$B:$B,0),CELL("col",Table_Customer_Data[[#Headers],[CardName]]))</f>
        <v>شركة أعمال المرسلات التجارية - فرع المرسلات</v>
      </c>
      <c r="D189" s="37" t="str">
        <f ca="1">IF(بيانات_العملاء[[#This Row],[حد الائتمان على SAP]]&gt;0,"آجل","نقدى")</f>
        <v>آجل</v>
      </c>
      <c r="E189" s="37"/>
      <c r="F189" s="37" t="s">
        <v>1082</v>
      </c>
      <c r="G189" s="37" t="s">
        <v>856</v>
      </c>
      <c r="H18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89" s="37" t="s">
        <v>856</v>
      </c>
      <c r="J189" s="38"/>
      <c r="K189" s="37"/>
      <c r="L189" s="37" t="str">
        <f ca="1">IF(AND(بيانات_العملاء[[#This Row],[السجل التجارى]]="موجود",TODAY()+'Other Data'!$B$23&lt;J189,بيانات_العملاء[[#This Row],[مطابقة اسم العميل بالاسم بالسجل التجارى]]="مطابق"), "سارى", "يجب اعادة طلبه")</f>
        <v>يجب اعادة طلبه</v>
      </c>
      <c r="M189" s="37" t="s">
        <v>854</v>
      </c>
      <c r="N189" s="39" t="str" cm="1">
        <f t="array" aca="1" ref="N189" ca="1">INDEX('SAP Customer Data'!$A:$AC,MATCH(بيانات_العملاء[[#This Row],[رمز شريك الأعمال]],'SAP Customer Data'!$B:$B,0),CELL("col",Table_Customer_Data[[#Headers],[LicTradNum]]))</f>
        <v>311078324700003</v>
      </c>
      <c r="O18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89" s="37" t="s">
        <v>856</v>
      </c>
      <c r="Q189" s="38"/>
      <c r="R18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89" s="37" t="s">
        <v>1075</v>
      </c>
      <c r="T189" s="40" cm="1">
        <f t="array" aca="1" ref="T189" ca="1">INDEX('SAP Customer Data'!$A:$AC,MATCH(بيانات_العملاء[[#This Row],[رمز شريك الأعمال]],'SAP Customer Data'!$B:$B,0),CELL("col",Table_Customer_Data[[#Headers],[CreditLine]]))</f>
        <v>9000</v>
      </c>
      <c r="U189" s="41">
        <v>44996</v>
      </c>
      <c r="V189" s="41">
        <f>IF(بيانات_العملاء[[#This Row],[تاريخ انشاء سند الامر او الاستثناء]]="",0,بيانات_العملاء[[#This Row],[تاريخ انشاء سند الامر او الاستثناء]]+365*3)</f>
        <v>46091</v>
      </c>
      <c r="W189" s="37">
        <f ca="1"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9000</v>
      </c>
      <c r="X189" s="37" cm="1">
        <f t="array" aca="1" ref="X189" ca="1">INDEX('SAP Customer Data'!$A:$AC,MATCH(بيانات_العملاء[[#This Row],[رمز شريك الأعمال]],'SAP Customer Data'!$B:$B,0),CELL("col",Table_Customer_Data[[#Headers],[CreditLine]]))</f>
        <v>9000</v>
      </c>
      <c r="Y18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89" s="37"/>
      <c r="AA18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89" s="37" t="s">
        <v>856</v>
      </c>
      <c r="AC189" s="37"/>
      <c r="AD18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89" s="37" t="s">
        <v>856</v>
      </c>
      <c r="AF189" s="37"/>
      <c r="AG18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89" s="37" t="s">
        <v>856</v>
      </c>
      <c r="AI189" s="37"/>
      <c r="AJ18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89" s="37" t="s">
        <v>856</v>
      </c>
      <c r="AL189" s="38"/>
      <c r="AM18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89" s="37" t="s">
        <v>856</v>
      </c>
      <c r="AO189" s="41"/>
      <c r="AP18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89" s="37" t="s">
        <v>856</v>
      </c>
      <c r="AR189" s="37"/>
      <c r="AS18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89" s="41" cm="1">
        <f t="array" aca="1" ref="AT189" ca="1">INDEX('SAP Customer Data'!A:Z,MATCH(بيانات_العملاء[[#This Row],[رمز شريك الأعمال]],'SAP Customer Data'!B:B,0),CELL("col",Table_Customer_Data[[#Headers],[CreateDate]]))</f>
        <v>45012</v>
      </c>
      <c r="AU189" s="37"/>
      <c r="AV189" s="41"/>
      <c r="AW189" s="37" t="s">
        <v>2096</v>
      </c>
      <c r="AX189" s="37"/>
    </row>
    <row r="190" spans="1:50" x14ac:dyDescent="0.25">
      <c r="A190" s="36" t="str" cm="1">
        <f t="array" aca="1" ref="A190" ca="1">INDEX('SAP Customer Data'!$A:$AC,MATCH(بيانات_العملاء[[#This Row],[رمز شريك الأعمال]],'SAP Customer Data'!$B:$B,0),CELL("col",Table_Customer_Data[[#Headers],[GroupName]]))</f>
        <v>CS03</v>
      </c>
      <c r="B190" s="35" t="s">
        <v>982</v>
      </c>
      <c r="C190" s="37" t="str" cm="1">
        <f t="array" aca="1" ref="C190" ca="1">INDEX('SAP Customer Data'!$A:$AC,MATCH(بيانات_العملاء[[#This Row],[رمز شريك الأعمال]],'SAP Customer Data'!$B:$B,0),CELL("col",Table_Customer_Data[[#Headers],[CardName]]))</f>
        <v>شركة أعمال المرسلات التجارية - فرع الصحافة</v>
      </c>
      <c r="D190" s="37" t="str">
        <f ca="1">IF(بيانات_العملاء[[#This Row],[حد الائتمان على SAP]]&gt;0,"آجل","نقدى")</f>
        <v>آجل</v>
      </c>
      <c r="E190" s="37"/>
      <c r="F190" s="37" t="s">
        <v>1082</v>
      </c>
      <c r="G190" s="37" t="s">
        <v>856</v>
      </c>
      <c r="H19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90" s="37" t="s">
        <v>856</v>
      </c>
      <c r="J190" s="38"/>
      <c r="K190" s="37"/>
      <c r="L190" s="37" t="str">
        <f ca="1">IF(AND(بيانات_العملاء[[#This Row],[السجل التجارى]]="موجود",TODAY()+'Other Data'!$B$23&lt;J190,بيانات_العملاء[[#This Row],[مطابقة اسم العميل بالاسم بالسجل التجارى]]="مطابق"), "سارى", "يجب اعادة طلبه")</f>
        <v>يجب اعادة طلبه</v>
      </c>
      <c r="M190" s="37" t="s">
        <v>854</v>
      </c>
      <c r="N190" s="39" t="str" cm="1">
        <f t="array" aca="1" ref="N190" ca="1">INDEX('SAP Customer Data'!$A:$AC,MATCH(بيانات_العملاء[[#This Row],[رمز شريك الأعمال]],'SAP Customer Data'!$B:$B,0),CELL("col",Table_Customer_Data[[#Headers],[LicTradNum]]))</f>
        <v>311078324700003</v>
      </c>
      <c r="O19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0" s="37" t="s">
        <v>856</v>
      </c>
      <c r="Q190" s="38"/>
      <c r="R19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90" s="37" t="s">
        <v>1075</v>
      </c>
      <c r="T190" s="40" cm="1">
        <f t="array" aca="1" ref="T190" ca="1">INDEX('SAP Customer Data'!$A:$AC,MATCH(بيانات_العملاء[[#This Row],[رمز شريك الأعمال]],'SAP Customer Data'!$B:$B,0),CELL("col",Table_Customer_Data[[#Headers],[CreditLine]]))</f>
        <v>7000</v>
      </c>
      <c r="U190" s="41">
        <v>44996</v>
      </c>
      <c r="V190" s="41">
        <f>IF(بيانات_العملاء[[#This Row],[تاريخ انشاء سند الامر او الاستثناء]]="",0,بيانات_العملاء[[#This Row],[تاريخ انشاء سند الامر او الاستثناء]]+365*3)</f>
        <v>46091</v>
      </c>
      <c r="W190" s="37">
        <f ca="1"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7000</v>
      </c>
      <c r="X190" s="37" cm="1">
        <f t="array" aca="1" ref="X190" ca="1">INDEX('SAP Customer Data'!$A:$AC,MATCH(بيانات_العملاء[[#This Row],[رمز شريك الأعمال]],'SAP Customer Data'!$B:$B,0),CELL("col",Table_Customer_Data[[#Headers],[CreditLine]]))</f>
        <v>7000</v>
      </c>
      <c r="Y19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0" s="37"/>
      <c r="AA19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0" s="37" t="s">
        <v>856</v>
      </c>
      <c r="AC190" s="37"/>
      <c r="AD19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0" s="37" t="s">
        <v>856</v>
      </c>
      <c r="AF190" s="37"/>
      <c r="AG19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90" s="37" t="s">
        <v>856</v>
      </c>
      <c r="AI190" s="37"/>
      <c r="AJ19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90" s="37" t="s">
        <v>856</v>
      </c>
      <c r="AL190" s="38"/>
      <c r="AM19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0" s="37" t="s">
        <v>856</v>
      </c>
      <c r="AO190" s="41"/>
      <c r="AP19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0" s="37" t="s">
        <v>856</v>
      </c>
      <c r="AR190" s="37"/>
      <c r="AS19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90" s="41" cm="1">
        <f t="array" aca="1" ref="AT190" ca="1">INDEX('SAP Customer Data'!A:Z,MATCH(بيانات_العملاء[[#This Row],[رمز شريك الأعمال]],'SAP Customer Data'!B:B,0),CELL("col",Table_Customer_Data[[#Headers],[CreateDate]]))</f>
        <v>45012</v>
      </c>
      <c r="AU190" s="37"/>
      <c r="AV190" s="41"/>
      <c r="AW190" s="37" t="s">
        <v>2096</v>
      </c>
      <c r="AX190" s="37"/>
    </row>
    <row r="191" spans="1:50" x14ac:dyDescent="0.25">
      <c r="A191" s="36" t="str" cm="1">
        <f t="array" aca="1" ref="A191" ca="1">INDEX('SAP Customer Data'!$A:$AC,MATCH(بيانات_العملاء[[#This Row],[رمز شريك الأعمال]],'SAP Customer Data'!$B:$B,0),CELL("col",Table_Customer_Data[[#Headers],[GroupName]]))</f>
        <v>CS03</v>
      </c>
      <c r="B191" s="35" t="s">
        <v>1109</v>
      </c>
      <c r="C191" s="37" t="str" cm="1">
        <f t="array" aca="1" ref="C191" ca="1">INDEX('SAP Customer Data'!$A:$AC,MATCH(بيانات_العملاء[[#This Row],[رمز شريك الأعمال]],'SAP Customer Data'!$B:$B,0),CELL("col",Table_Customer_Data[[#Headers],[CardName]]))</f>
        <v>شركة شيخ الانارة للتجارة و المقاولات- الفرع الرئيسي</v>
      </c>
      <c r="D191" s="37" t="str">
        <f ca="1">IF(بيانات_العملاء[[#This Row],[حد الائتمان على SAP]]&gt;0,"آجل","نقدى")</f>
        <v>آجل</v>
      </c>
      <c r="E191" s="37"/>
      <c r="F191" s="37" t="s">
        <v>997</v>
      </c>
      <c r="G191" s="37" t="s">
        <v>1075</v>
      </c>
      <c r="H19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91" s="37" t="s">
        <v>854</v>
      </c>
      <c r="J191" s="38">
        <v>45306</v>
      </c>
      <c r="K191" s="41" t="s">
        <v>855</v>
      </c>
      <c r="L191" s="37" t="str">
        <f ca="1">IF(AND(بيانات_العملاء[[#This Row],[السجل التجارى]]="موجود",TODAY()+'Other Data'!$B$23&lt;J191,بيانات_العملاء[[#This Row],[مطابقة اسم العميل بالاسم بالسجل التجارى]]="مطابق"), "سارى", "يجب اعادة طلبه")</f>
        <v>سارى</v>
      </c>
      <c r="M191" s="37" t="s">
        <v>854</v>
      </c>
      <c r="N191" s="39" t="str" cm="1">
        <f t="array" aca="1" ref="N191" ca="1">INDEX('SAP Customer Data'!$A:$AC,MATCH(بيانات_العملاء[[#This Row],[رمز شريك الأعمال]],'SAP Customer Data'!$B:$B,0),CELL("col",Table_Customer_Data[[#Headers],[LicTradNum]]))</f>
        <v>310090548300003</v>
      </c>
      <c r="O19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1" s="37" t="s">
        <v>854</v>
      </c>
      <c r="Q191" s="38">
        <v>45484</v>
      </c>
      <c r="R191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191" s="37" t="s">
        <v>1075</v>
      </c>
      <c r="T191" s="40">
        <v>25000</v>
      </c>
      <c r="U191" s="41">
        <v>45034</v>
      </c>
      <c r="V191" s="41">
        <f>IF(بيانات_العملاء[[#This Row],[تاريخ انشاء سند الامر او الاستثناء]]="",0,بيانات_العملاء[[#This Row],[تاريخ انشاء سند الامر او الاستثناء]]+365*3)</f>
        <v>46129</v>
      </c>
      <c r="W19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25000</v>
      </c>
      <c r="X191" s="37" cm="1">
        <f t="array" aca="1" ref="X191" ca="1">INDEX('SAP Customer Data'!$A:$AC,MATCH(بيانات_العملاء[[#This Row],[رمز شريك الأعمال]],'SAP Customer Data'!$B:$B,0),CELL("col",Table_Customer_Data[[#Headers],[CreditLine]]))</f>
        <v>25000</v>
      </c>
      <c r="Y19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1" s="37"/>
      <c r="AA19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1" s="37" t="s">
        <v>856</v>
      </c>
      <c r="AC191" s="37"/>
      <c r="AD191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1" s="37" t="s">
        <v>856</v>
      </c>
      <c r="AF191" s="37"/>
      <c r="AG19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191" s="37" t="s">
        <v>856</v>
      </c>
      <c r="AI191" s="37"/>
      <c r="AJ19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191" s="37" t="s">
        <v>856</v>
      </c>
      <c r="AL191" s="38"/>
      <c r="AM19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1" s="37" t="s">
        <v>856</v>
      </c>
      <c r="AO191" s="41"/>
      <c r="AP19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1" s="37" t="s">
        <v>856</v>
      </c>
      <c r="AR191" s="37"/>
      <c r="AS19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191" s="41" cm="1">
        <f t="array" aca="1" ref="AT191" ca="1">INDEX('SAP Customer Data'!A:Z,MATCH(بيانات_العملاء[[#This Row],[رمز شريك الأعمال]],'SAP Customer Data'!B:B,0),CELL("col",Table_Customer_Data[[#Headers],[CreateDate]]))</f>
        <v>45070</v>
      </c>
      <c r="AU191" s="41" t="s">
        <v>1110</v>
      </c>
      <c r="AV191" s="41"/>
      <c r="AW191" s="37" t="s">
        <v>2096</v>
      </c>
      <c r="AX191" s="37"/>
    </row>
    <row r="192" spans="1:50" x14ac:dyDescent="0.25">
      <c r="A192" s="36" t="str" cm="1">
        <f t="array" aca="1" ref="A192" ca="1">INDEX('SAP Customer Data'!$A:$AC,MATCH(بيانات_العملاء[[#This Row],[رمز شريك الأعمال]],'SAP Customer Data'!$B:$B,0),CELL("col",Table_Customer_Data[[#Headers],[GroupName]]))</f>
        <v>CS03</v>
      </c>
      <c r="B192" s="35" t="s">
        <v>1846</v>
      </c>
      <c r="C192" s="37" t="str" cm="1">
        <f t="array" aca="1" ref="C192" ca="1">INDEX('SAP Customer Data'!$A:$AC,MATCH(بيانات_العملاء[[#This Row],[رمز شريك الأعمال]],'SAP Customer Data'!$B:$B,0),CELL("col",Table_Customer_Data[[#Headers],[CardName]]))</f>
        <v>مؤسسة مشكاة الجزيرة للتجارة -نقدي</v>
      </c>
      <c r="D192" s="37" t="str">
        <f ca="1">IF(بيانات_العملاء[[#This Row],[حد الائتمان على SAP]]&gt;0,"آجل","نقدى")</f>
        <v>نقدى</v>
      </c>
      <c r="E192" s="37" t="s">
        <v>2063</v>
      </c>
      <c r="F192" s="37" t="s">
        <v>1081</v>
      </c>
      <c r="G192" s="37" t="s">
        <v>856</v>
      </c>
      <c r="H19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92" s="37" t="s">
        <v>854</v>
      </c>
      <c r="J192" s="38">
        <v>44496</v>
      </c>
      <c r="K192" s="41" t="s">
        <v>855</v>
      </c>
      <c r="L192" s="37" t="str">
        <f ca="1">IF(AND(بيانات_العملاء[[#This Row],[السجل التجارى]]="موجود",TODAY()+'Other Data'!$B$23&lt;J192,بيانات_العملاء[[#This Row],[مطابقة اسم العميل بالاسم بالسجل التجارى]]="مطابق"), "سارى", "يجب اعادة طلبه")</f>
        <v>يجب اعادة طلبه</v>
      </c>
      <c r="M192" s="37" t="s">
        <v>854</v>
      </c>
      <c r="N192" s="39" t="str" cm="1">
        <f t="array" aca="1" ref="N192" ca="1">INDEX('SAP Customer Data'!$A:$AC,MATCH(بيانات_العملاء[[#This Row],[رمز شريك الأعمال]],'SAP Customer Data'!$B:$B,0),CELL("col",Table_Customer_Data[[#Headers],[LicTradNum]]))</f>
        <v>310538804400003</v>
      </c>
      <c r="O19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2" s="37" t="s">
        <v>856</v>
      </c>
      <c r="Q192" s="38"/>
      <c r="R192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192" s="37" t="s">
        <v>1080</v>
      </c>
      <c r="T192" s="40"/>
      <c r="U192" s="41"/>
      <c r="V192" s="36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9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92" s="37" cm="1">
        <f t="array" aca="1" ref="X192" ca="1">INDEX('SAP Customer Data'!$A:$AC,MATCH(بيانات_العملاء[[#This Row],[رمز شريك الأعمال]],'SAP Customer Data'!$B:$B,0),CELL("col",Table_Customer_Data[[#Headers],[CreditLine]]))</f>
        <v>0</v>
      </c>
      <c r="Y19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2" s="37"/>
      <c r="AA19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2" s="37" t="s">
        <v>856</v>
      </c>
      <c r="AC192" s="37"/>
      <c r="AD192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2" s="37" t="s">
        <v>856</v>
      </c>
      <c r="AF192" s="37"/>
      <c r="AG19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192" s="37" t="s">
        <v>856</v>
      </c>
      <c r="AI192" s="37"/>
      <c r="AJ19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192" s="37" t="s">
        <v>856</v>
      </c>
      <c r="AL192" s="38"/>
      <c r="AM19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2" s="37" t="s">
        <v>854</v>
      </c>
      <c r="AO192" s="41"/>
      <c r="AP19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2" s="37" t="s">
        <v>856</v>
      </c>
      <c r="AR192" s="37"/>
      <c r="AS19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192" s="41" cm="1">
        <f t="array" aca="1" ref="AT192" ca="1">INDEX('SAP Customer Data'!A:Z,MATCH(بيانات_العملاء[[#This Row],[رمز شريك الأعمال]],'SAP Customer Data'!B:B,0),CELL("col",Table_Customer_Data[[#Headers],[CreateDate]]))</f>
        <v>45078</v>
      </c>
      <c r="AU192" s="41"/>
      <c r="AV192" s="41"/>
      <c r="AW192" s="37" t="s">
        <v>2097</v>
      </c>
      <c r="AX192" s="37"/>
    </row>
    <row r="193" spans="1:50" x14ac:dyDescent="0.25">
      <c r="A193" s="36" t="s">
        <v>238</v>
      </c>
      <c r="B193" s="35" t="s">
        <v>2202</v>
      </c>
      <c r="C193" s="37" t="str" cm="1">
        <f t="array" aca="1" ref="C193" ca="1">INDEX('SAP Customer Data'!$A:$AC,MATCH(بيانات_العملاء[[#This Row],[رمز شريك الأعمال]],'SAP Customer Data'!$B:$B,0),CELL("col",Table_Customer_Data[[#Headers],[CardName]]))</f>
        <v>مؤسسة اضاءات للادوات الكهربائية -نقدي</v>
      </c>
      <c r="D193" s="37" t="s">
        <v>1080</v>
      </c>
      <c r="E193" s="37" t="s">
        <v>2203</v>
      </c>
      <c r="F193" s="37" t="s">
        <v>1081</v>
      </c>
      <c r="G193" s="37" t="s">
        <v>856</v>
      </c>
      <c r="H19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93" s="37" t="s">
        <v>854</v>
      </c>
      <c r="J193" s="38">
        <v>45813</v>
      </c>
      <c r="K193" s="37" t="s">
        <v>855</v>
      </c>
      <c r="L193" s="37" t="str">
        <f ca="1">IF(AND(بيانات_العملاء[[#This Row],[السجل التجارى]]="موجود",TODAY()+'Other Data'!$B$23&lt;J193,بيانات_العملاء[[#This Row],[مطابقة اسم العميل بالاسم بالسجل التجارى]]="مطابق"), "سارى", "يجب اعادة طلبه")</f>
        <v>سارى</v>
      </c>
      <c r="M193" s="37" t="s">
        <v>854</v>
      </c>
      <c r="N193" s="39" t="str" cm="1">
        <f t="array" aca="1" ref="N193" ca="1">INDEX('SAP Customer Data'!$A:$AC,MATCH(بيانات_العملاء[[#This Row],[رمز شريك الأعمال]],'SAP Customer Data'!$B:$B,0),CELL("col",Table_Customer_Data[[#Headers],[LicTradNum]]))</f>
        <v>311675606100003</v>
      </c>
      <c r="O19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3" s="37" t="s">
        <v>854</v>
      </c>
      <c r="Q193" s="38">
        <v>45443</v>
      </c>
      <c r="R193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193" s="37" t="s">
        <v>1080</v>
      </c>
      <c r="T193" s="40"/>
      <c r="U193" s="41"/>
      <c r="V193" s="36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9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93" s="37" cm="1">
        <f t="array" aca="1" ref="X193" ca="1">INDEX('SAP Customer Data'!$A:$AC,MATCH(بيانات_العملاء[[#This Row],[رمز شريك الأعمال]],'SAP Customer Data'!$B:$B,0),CELL("col",Table_Customer_Data[[#Headers],[CreditLine]]))</f>
        <v>0</v>
      </c>
      <c r="Y19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3" s="37"/>
      <c r="AA19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3" s="37"/>
      <c r="AC193" s="37"/>
      <c r="AD193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3" s="37"/>
      <c r="AF193" s="37"/>
      <c r="AG19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193" s="37"/>
      <c r="AI193" s="37"/>
      <c r="AJ19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193" s="37"/>
      <c r="AL193" s="38"/>
      <c r="AM19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3" s="37"/>
      <c r="AO193" s="41"/>
      <c r="AP19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3" s="37"/>
      <c r="AR193" s="37"/>
      <c r="AS19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193" s="41" cm="1">
        <f t="array" aca="1" ref="AT193" ca="1">INDEX('SAP Customer Data'!A:Z,MATCH(بيانات_العملاء[[#This Row],[رمز شريك الأعمال]],'SAP Customer Data'!B:B,0),CELL("col",Table_Customer_Data[[#Headers],[CreateDate]]))</f>
        <v>45113</v>
      </c>
      <c r="AU193" s="37" t="s">
        <v>2204</v>
      </c>
      <c r="AV193" s="41"/>
      <c r="AW193" s="37" t="s">
        <v>2097</v>
      </c>
      <c r="AX193" s="37"/>
    </row>
    <row r="194" spans="1:50" x14ac:dyDescent="0.25">
      <c r="A194" s="36" t="str" cm="1">
        <f t="array" aca="1" ref="A194" ca="1">INDEX('SAP Customer Data'!$A:$AC,MATCH(بيانات_العملاء[[#This Row],[رمز شريك الأعمال]],'SAP Customer Data'!$B:$B,0),CELL("col",Table_Customer_Data[[#Headers],[GroupName]]))</f>
        <v>CS03</v>
      </c>
      <c r="B194" s="35" t="s">
        <v>385</v>
      </c>
      <c r="C194" s="37" t="str" cm="1">
        <f t="array" aca="1" ref="C194" ca="1">INDEX('SAP Customer Data'!$A:$AC,MATCH(بيانات_العملاء[[#This Row],[رمز شريك الأعمال]],'SAP Customer Data'!$B:$B,0),CELL("col",Table_Customer_Data[[#Headers],[CardName]]))</f>
        <v>مؤسسةازارا للاضاءت للتجارة -نقدي</v>
      </c>
      <c r="D194" s="37" t="str">
        <f ca="1">IF(بيانات_العملاء[[#This Row],[حد الائتمان على SAP]]&gt;0,"آجل","نقدى")</f>
        <v>نقدى</v>
      </c>
      <c r="E194" s="37" t="s">
        <v>2233</v>
      </c>
      <c r="F194" s="37" t="s">
        <v>1081</v>
      </c>
      <c r="G194" s="37" t="s">
        <v>918</v>
      </c>
      <c r="H19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94" s="37" t="s">
        <v>854</v>
      </c>
      <c r="J194" s="38">
        <v>45509</v>
      </c>
      <c r="K194" s="37" t="s">
        <v>855</v>
      </c>
      <c r="L194" s="37" t="str">
        <f ca="1">IF(AND(بيانات_العملاء[[#This Row],[السجل التجارى]]="موجود",TODAY()+'Other Data'!$B$23&lt;J194,بيانات_العملاء[[#This Row],[مطابقة اسم العميل بالاسم بالسجل التجارى]]="مطابق"), "سارى", "يجب اعادة طلبه")</f>
        <v>سارى</v>
      </c>
      <c r="M194" s="37" t="s">
        <v>854</v>
      </c>
      <c r="N194" s="39" t="str" cm="1">
        <f t="array" aca="1" ref="N194" ca="1">INDEX('SAP Customer Data'!$A:$AC,MATCH(بيانات_العملاء[[#This Row],[رمز شريك الأعمال]],'SAP Customer Data'!$B:$B,0),CELL("col",Table_Customer_Data[[#Headers],[LicTradNum]]))</f>
        <v>300651281600003</v>
      </c>
      <c r="O19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4" s="37" t="s">
        <v>854</v>
      </c>
      <c r="Q194" s="38">
        <v>45522</v>
      </c>
      <c r="R19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94" s="37" t="s">
        <v>1080</v>
      </c>
      <c r="T194" s="40"/>
      <c r="U194" s="41"/>
      <c r="V194" s="36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9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94" s="37" cm="1">
        <f t="array" aca="1" ref="X194" ca="1">INDEX('SAP Customer Data'!$A:$AC,MATCH(بيانات_العملاء[[#This Row],[رمز شريك الأعمال]],'SAP Customer Data'!$B:$B,0),CELL("col",Table_Customer_Data[[#Headers],[CreditLine]]))</f>
        <v>0</v>
      </c>
      <c r="Y19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4" s="37"/>
      <c r="AA19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4" s="37" t="s">
        <v>856</v>
      </c>
      <c r="AC194" s="37"/>
      <c r="AD19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4" s="37"/>
      <c r="AF194" s="37"/>
      <c r="AG19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94" s="37"/>
      <c r="AI194" s="37"/>
      <c r="AJ19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94" s="37"/>
      <c r="AL194" s="38"/>
      <c r="AM19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4" s="37" t="s">
        <v>856</v>
      </c>
      <c r="AO194" s="41"/>
      <c r="AP19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4" s="37"/>
      <c r="AR194" s="37"/>
      <c r="AS19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94" s="41" cm="1">
        <f t="array" aca="1" ref="AT194" ca="1">INDEX('SAP Customer Data'!A:Z,MATCH(بيانات_العملاء[[#This Row],[رمز شريك الأعمال]],'SAP Customer Data'!B:B,0),CELL("col",Table_Customer_Data[[#Headers],[CreateDate]]))</f>
        <v>44604</v>
      </c>
      <c r="AU194" s="37"/>
      <c r="AV194" s="41"/>
      <c r="AW194" s="37" t="s">
        <v>2097</v>
      </c>
      <c r="AX194" s="37"/>
    </row>
    <row r="195" spans="1:50" x14ac:dyDescent="0.25">
      <c r="A195" s="36" t="str" cm="1">
        <f t="array" aca="1" ref="A195" ca="1">INDEX('SAP Customer Data'!$A:$AC,MATCH(بيانات_العملاء[[#This Row],[رمز شريك الأعمال]],'SAP Customer Data'!$B:$B,0),CELL("col",Table_Customer_Data[[#Headers],[GroupName]]))</f>
        <v>CS03</v>
      </c>
      <c r="B195" s="35" t="s">
        <v>2068</v>
      </c>
      <c r="C195" s="37" t="str" cm="1">
        <f t="array" aca="1" ref="C195" ca="1">INDEX('SAP Customer Data'!$A:$AC,MATCH(بيانات_العملاء[[#This Row],[رمز شريك الأعمال]],'SAP Customer Data'!$B:$B,0),CELL("col",Table_Customer_Data[[#Headers],[CardName]]))</f>
        <v>شركة هديب للتجارة</v>
      </c>
      <c r="D195" s="37" t="str">
        <f ca="1">IF(بيانات_العملاء[[#This Row],[حد الائتمان على SAP]]&gt;0,"آجل","نقدى")</f>
        <v>آجل</v>
      </c>
      <c r="E195" s="37"/>
      <c r="F195" s="37" t="s">
        <v>908</v>
      </c>
      <c r="G195" s="37" t="s">
        <v>1075</v>
      </c>
      <c r="H19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95" s="37" t="s">
        <v>854</v>
      </c>
      <c r="J195" s="38">
        <v>45195</v>
      </c>
      <c r="K195" s="41" t="s">
        <v>855</v>
      </c>
      <c r="L195" s="37" t="str">
        <f ca="1">IF(AND(بيانات_العملاء[[#This Row],[السجل التجارى]]="موجود",TODAY()+'Other Data'!$B$23&lt;J195,بيانات_العملاء[[#This Row],[مطابقة اسم العميل بالاسم بالسجل التجارى]]="مطابق"), "سارى", "يجب اعادة طلبه")</f>
        <v>يجب اعادة طلبه</v>
      </c>
      <c r="M195" s="37" t="s">
        <v>854</v>
      </c>
      <c r="N195" s="39" t="str" cm="1">
        <f t="array" aca="1" ref="N195" ca="1">INDEX('SAP Customer Data'!$A:$AC,MATCH(بيانات_العملاء[[#This Row],[رمز شريك الأعمال]],'SAP Customer Data'!$B:$B,0),CELL("col",Table_Customer_Data[[#Headers],[LicTradNum]]))</f>
        <v>311148116300003</v>
      </c>
      <c r="O19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5" s="37" t="s">
        <v>854</v>
      </c>
      <c r="Q195" s="38">
        <v>45377</v>
      </c>
      <c r="R195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195" s="37" t="s">
        <v>1075</v>
      </c>
      <c r="T195" s="40">
        <v>40000</v>
      </c>
      <c r="U195" s="41"/>
      <c r="V195" s="36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9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195" s="37" cm="1">
        <f t="array" aca="1" ref="X195" ca="1">INDEX('SAP Customer Data'!$A:$AC,MATCH(بيانات_العملاء[[#This Row],[رمز شريك الأعمال]],'SAP Customer Data'!$B:$B,0),CELL("col",Table_Customer_Data[[#Headers],[CreditLine]]))</f>
        <v>40000</v>
      </c>
      <c r="Y19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5" s="37"/>
      <c r="AA19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5" s="37" t="s">
        <v>856</v>
      </c>
      <c r="AC195" s="37"/>
      <c r="AD195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5" s="37" t="s">
        <v>856</v>
      </c>
      <c r="AF195" s="37"/>
      <c r="AG19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195" s="37" t="s">
        <v>856</v>
      </c>
      <c r="AI195" s="37"/>
      <c r="AJ19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195" s="37" t="s">
        <v>856</v>
      </c>
      <c r="AL195" s="38"/>
      <c r="AM19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5" s="37" t="s">
        <v>854</v>
      </c>
      <c r="AO195" s="41">
        <v>44690</v>
      </c>
      <c r="AP19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5" s="37" t="s">
        <v>856</v>
      </c>
      <c r="AR195" s="37"/>
      <c r="AS19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195" s="41" cm="1">
        <f t="array" aca="1" ref="AT195" ca="1">INDEX('SAP Customer Data'!A:Z,MATCH(بيانات_العملاء[[#This Row],[رمز شريك الأعمال]],'SAP Customer Data'!B:B,0),CELL("col",Table_Customer_Data[[#Headers],[CreateDate]]))</f>
        <v>45083</v>
      </c>
      <c r="AU195" s="41" t="s">
        <v>2080</v>
      </c>
      <c r="AV195" s="41"/>
      <c r="AW195" s="37" t="s">
        <v>2097</v>
      </c>
      <c r="AX195" s="37"/>
    </row>
    <row r="196" spans="1:50" x14ac:dyDescent="0.25">
      <c r="A196" s="36" t="str" cm="1">
        <f t="array" aca="1" ref="A196" ca="1">INDEX('SAP Customer Data'!$A:$AC,MATCH(بيانات_العملاء[[#This Row],[رمز شريك الأعمال]],'SAP Customer Data'!$B:$B,0),CELL("col",Table_Customer_Data[[#Headers],[GroupName]]))</f>
        <v>CS03</v>
      </c>
      <c r="B196" s="35" t="s">
        <v>267</v>
      </c>
      <c r="C196" s="37" t="str" cm="1">
        <f t="array" aca="1" ref="C196" ca="1">INDEX('SAP Customer Data'!$A:$AC,MATCH(بيانات_العملاء[[#This Row],[رمز شريك الأعمال]],'SAP Customer Data'!$B:$B,0),CELL("col",Table_Customer_Data[[#Headers],[CardName]]))</f>
        <v>مؤسسة ضوء نصف القمر-نقدي</v>
      </c>
      <c r="D196" s="37" t="str">
        <f ca="1">IF(بيانات_العملاء[[#This Row],[حد الائتمان على SAP]]&gt;0,"آجل","نقدى")</f>
        <v>نقدى</v>
      </c>
      <c r="E196" s="37" t="s">
        <v>2234</v>
      </c>
      <c r="F196" s="37" t="s">
        <v>1081</v>
      </c>
      <c r="G196" s="37" t="s">
        <v>918</v>
      </c>
      <c r="H19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96" s="37" t="s">
        <v>854</v>
      </c>
      <c r="J196" s="38">
        <v>44722</v>
      </c>
      <c r="K196" s="37" t="s">
        <v>855</v>
      </c>
      <c r="L196" s="37" t="str">
        <f ca="1">IF(AND(بيانات_العملاء[[#This Row],[السجل التجارى]]="موجود",TODAY()+'Other Data'!$B$23&lt;J196,بيانات_العملاء[[#This Row],[مطابقة اسم العميل بالاسم بالسجل التجارى]]="مطابق"), "سارى", "يجب اعادة طلبه")</f>
        <v>يجب اعادة طلبه</v>
      </c>
      <c r="M196" s="37" t="s">
        <v>854</v>
      </c>
      <c r="N196" s="39" t="str" cm="1">
        <f t="array" aca="1" ref="N196" ca="1">INDEX('SAP Customer Data'!$A:$AC,MATCH(بيانات_العملاء[[#This Row],[رمز شريك الأعمال]],'SAP Customer Data'!$B:$B,0),CELL("col",Table_Customer_Data[[#Headers],[LicTradNum]]))</f>
        <v>310213035700003</v>
      </c>
      <c r="O19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6" s="37" t="s">
        <v>856</v>
      </c>
      <c r="Q196" s="38"/>
      <c r="R19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96" s="37" t="s">
        <v>1080</v>
      </c>
      <c r="T196" s="40"/>
      <c r="U196" s="41"/>
      <c r="V19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9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96" s="37" cm="1">
        <f t="array" aca="1" ref="X196" ca="1">INDEX('SAP Customer Data'!$A:$AC,MATCH(بيانات_العملاء[[#This Row],[رمز شريك الأعمال]],'SAP Customer Data'!$B:$B,0),CELL("col",Table_Customer_Data[[#Headers],[CreditLine]]))</f>
        <v>0</v>
      </c>
      <c r="Y19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6" s="37"/>
      <c r="AA19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6" s="37" t="s">
        <v>856</v>
      </c>
      <c r="AC196" s="37"/>
      <c r="AD19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6" s="37"/>
      <c r="AF196" s="37"/>
      <c r="AG19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96" s="37"/>
      <c r="AI196" s="37"/>
      <c r="AJ19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96" s="37"/>
      <c r="AL196" s="38"/>
      <c r="AM19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6" s="37" t="s">
        <v>856</v>
      </c>
      <c r="AO196" s="41"/>
      <c r="AP19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6" s="37"/>
      <c r="AR196" s="37"/>
      <c r="AS19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96" s="41" cm="1">
        <f t="array" aca="1" ref="AT196" ca="1">INDEX('SAP Customer Data'!A:Z,MATCH(بيانات_العملاء[[#This Row],[رمز شريك الأعمال]],'SAP Customer Data'!B:B,0),CELL("col",Table_Customer_Data[[#Headers],[CreateDate]]))</f>
        <v>44578</v>
      </c>
      <c r="AU196" s="37"/>
      <c r="AV196" s="41"/>
      <c r="AW196" s="37" t="s">
        <v>2097</v>
      </c>
      <c r="AX196" s="37"/>
    </row>
    <row r="197" spans="1:50" x14ac:dyDescent="0.25">
      <c r="A197" s="50" t="str" cm="1">
        <f t="array" aca="1" ref="A197" ca="1">INDEX('SAP Customer Data'!$A:$AC,MATCH(بيانات_العملاء[[#This Row],[رمز شريك الأعمال]],'SAP Customer Data'!$B:$B,0),CELL("col",Table_Customer_Data[[#Headers],[GroupName]]))</f>
        <v>CS03</v>
      </c>
      <c r="B197" s="51" t="s">
        <v>946</v>
      </c>
      <c r="C197" s="52" t="str" cm="1">
        <f t="array" aca="1" ref="C197" ca="1">INDEX('SAP Customer Data'!$A:$AC,MATCH(بيانات_العملاء[[#This Row],[رمز شريك الأعمال]],'SAP Customer Data'!$B:$B,0),CELL("col",Table_Customer_Data[[#Headers],[CardName]]))</f>
        <v>مجموعة سليمان الربيعه الدوليه للتجارة-الملز</v>
      </c>
      <c r="D197" s="52" t="str">
        <f ca="1">IF(بيانات_العملاء[[#This Row],[حد الائتمان على SAP]]&gt;0,"آجل","نقدى")</f>
        <v>آجل</v>
      </c>
      <c r="E197" s="52" t="s">
        <v>995</v>
      </c>
      <c r="F197" s="52" t="s">
        <v>1081</v>
      </c>
      <c r="G197" s="52" t="s">
        <v>856</v>
      </c>
      <c r="H197" s="52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97" s="52" t="s">
        <v>854</v>
      </c>
      <c r="J197" s="53">
        <v>45057</v>
      </c>
      <c r="K197" s="52" t="s">
        <v>855</v>
      </c>
      <c r="L197" s="52" t="str">
        <f ca="1">IF(AND(بيانات_العملاء[[#This Row],[السجل التجارى]]="موجود",TODAY()+'Other Data'!$B$23&lt;J197,بيانات_العملاء[[#This Row],[مطابقة اسم العميل بالاسم بالسجل التجارى]]="مطابق"), "سارى", "يجب اعادة طلبه")</f>
        <v>يجب اعادة طلبه</v>
      </c>
      <c r="M197" s="52" t="s">
        <v>854</v>
      </c>
      <c r="N197" s="54" t="str" cm="1">
        <f t="array" aca="1" ref="N197" ca="1">INDEX('SAP Customer Data'!$A:$AC,MATCH(بيانات_العملاء[[#This Row],[رمز شريك الأعمال]],'SAP Customer Data'!$B:$B,0),CELL("col",Table_Customer_Data[[#Headers],[LicTradNum]]))</f>
        <v>300464613700003</v>
      </c>
      <c r="O197" s="52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7" s="52" t="s">
        <v>854</v>
      </c>
      <c r="Q197" s="53">
        <v>45209</v>
      </c>
      <c r="R197" s="52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97" s="52" t="s">
        <v>1075</v>
      </c>
      <c r="T197" s="55">
        <v>35000</v>
      </c>
      <c r="U197" s="56"/>
      <c r="V197" s="52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9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35000</v>
      </c>
      <c r="X197" s="52" cm="1">
        <f t="array" aca="1" ref="X197" ca="1">INDEX('SAP Customer Data'!$A:$AC,MATCH(بيانات_العملاء[[#This Row],[رمز شريك الأعمال]],'SAP Customer Data'!$B:$B,0),CELL("col",Table_Customer_Data[[#Headers],[CreditLine]]))</f>
        <v>10000</v>
      </c>
      <c r="Y19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197" s="37"/>
      <c r="AA19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7" s="52" t="s">
        <v>856</v>
      </c>
      <c r="AC197" s="52"/>
      <c r="AD197" s="52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7" s="52" t="s">
        <v>856</v>
      </c>
      <c r="AF197" s="52"/>
      <c r="AG197" s="52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97" s="52" t="s">
        <v>856</v>
      </c>
      <c r="AI197" s="52"/>
      <c r="AJ197" s="52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97" s="52"/>
      <c r="AL197" s="53"/>
      <c r="AM197" s="52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7" s="52" t="s">
        <v>854</v>
      </c>
      <c r="AO197" s="56"/>
      <c r="AP197" s="52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7" s="52" t="s">
        <v>856</v>
      </c>
      <c r="AR197" s="56"/>
      <c r="AS197" s="52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97" s="56" cm="1">
        <f t="array" aca="1" ref="AT197" ca="1">INDEX('SAP Customer Data'!A:Z,MATCH(بيانات_العملاء[[#This Row],[رمز شريك الأعمال]],'SAP Customer Data'!B:B,0),CELL("col",Table_Customer_Data[[#Headers],[CreateDate]]))</f>
        <v>44990</v>
      </c>
      <c r="AU197" s="52"/>
      <c r="AV197" s="56"/>
      <c r="AW197" s="52" t="s">
        <v>2097</v>
      </c>
      <c r="AX197" s="52"/>
    </row>
    <row r="198" spans="1:50" x14ac:dyDescent="0.25">
      <c r="A198" s="36" t="str" cm="1">
        <f t="array" aca="1" ref="A198" ca="1">INDEX('SAP Customer Data'!$A:$AC,MATCH(بيانات_العملاء[[#This Row],[رمز شريك الأعمال]],'SAP Customer Data'!$B:$B,0),CELL("col",Table_Customer_Data[[#Headers],[GroupName]]))</f>
        <v>CS03</v>
      </c>
      <c r="B198" s="35" t="s">
        <v>950</v>
      </c>
      <c r="C198" s="37" t="str" cm="1">
        <f t="array" aca="1" ref="C198" ca="1">INDEX('SAP Customer Data'!$A:$AC,MATCH(بيانات_العملاء[[#This Row],[رمز شريك الأعمال]],'SAP Customer Data'!$B:$B,0),CELL("col",Table_Customer_Data[[#Headers],[CardName]]))</f>
        <v>شركة نوارة التميز-نقدي</v>
      </c>
      <c r="D198" s="37" t="str">
        <f ca="1">IF(بيانات_العملاء[[#This Row],[حد الائتمان على SAP]]&gt;0,"آجل","نقدى")</f>
        <v>نقدى</v>
      </c>
      <c r="E198" s="37"/>
      <c r="F198" s="37" t="s">
        <v>996</v>
      </c>
      <c r="G198" s="37" t="s">
        <v>856</v>
      </c>
      <c r="H19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198" s="37" t="s">
        <v>854</v>
      </c>
      <c r="J198" s="38">
        <v>45001</v>
      </c>
      <c r="K198" s="37" t="s">
        <v>855</v>
      </c>
      <c r="L198" s="37" t="str">
        <f ca="1">IF(AND(بيانات_العملاء[[#This Row],[السجل التجارى]]="موجود",TODAY()+'Other Data'!$B$23&lt;J198,بيانات_العملاء[[#This Row],[مطابقة اسم العميل بالاسم بالسجل التجارى]]="مطابق"), "سارى", "يجب اعادة طلبه")</f>
        <v>يجب اعادة طلبه</v>
      </c>
      <c r="M198" s="37" t="s">
        <v>854</v>
      </c>
      <c r="N198" s="39" t="str" cm="1">
        <f t="array" aca="1" ref="N198" ca="1">INDEX('SAP Customer Data'!$A:$AC,MATCH(بيانات_العملاء[[#This Row],[رمز شريك الأعمال]],'SAP Customer Data'!$B:$B,0),CELL("col",Table_Customer_Data[[#Headers],[LicTradNum]]))</f>
        <v>311272528200003</v>
      </c>
      <c r="O19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8" s="37" t="s">
        <v>856</v>
      </c>
      <c r="Q198" s="38"/>
      <c r="R19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198" s="37" t="s">
        <v>1080</v>
      </c>
      <c r="T198" s="40"/>
      <c r="U198" s="41"/>
      <c r="V19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19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198" s="37" cm="1">
        <f t="array" aca="1" ref="X198" ca="1">INDEX('SAP Customer Data'!$A:$AC,MATCH(بيانات_العملاء[[#This Row],[رمز شريك الأعمال]],'SAP Customer Data'!$B:$B,0),CELL("col",Table_Customer_Data[[#Headers],[CreditLine]]))</f>
        <v>0</v>
      </c>
      <c r="Y19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8" s="37"/>
      <c r="AA19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8" s="37" t="s">
        <v>856</v>
      </c>
      <c r="AC198" s="37"/>
      <c r="AD19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8" s="37" t="s">
        <v>856</v>
      </c>
      <c r="AF198" s="37"/>
      <c r="AG19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98" s="37" t="s">
        <v>856</v>
      </c>
      <c r="AI198" s="37"/>
      <c r="AJ19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98" s="37"/>
      <c r="AL198" s="38"/>
      <c r="AM19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8" s="37" t="s">
        <v>854</v>
      </c>
      <c r="AO198" s="41">
        <v>44850</v>
      </c>
      <c r="AP19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8" s="37" t="s">
        <v>856</v>
      </c>
      <c r="AR198" s="37"/>
      <c r="AS19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98" s="41" cm="1">
        <f t="array" aca="1" ref="AT198" ca="1">INDEX('SAP Customer Data'!A:Z,MATCH(بيانات_العملاء[[#This Row],[رمز شريك الأعمال]],'SAP Customer Data'!B:B,0),CELL("col",Table_Customer_Data[[#Headers],[CreateDate]]))</f>
        <v>44992</v>
      </c>
      <c r="AU198" s="37"/>
      <c r="AV198" s="41"/>
      <c r="AW198" s="37" t="s">
        <v>2097</v>
      </c>
      <c r="AX198" s="37"/>
    </row>
    <row r="199" spans="1:50" x14ac:dyDescent="0.25">
      <c r="A199" s="36" t="str" cm="1">
        <f t="array" aca="1" ref="A199" ca="1">INDEX('SAP Customer Data'!$A:$AC,MATCH(بيانات_العملاء[[#This Row],[رمز شريك الأعمال]],'SAP Customer Data'!$B:$B,0),CELL("col",Table_Customer_Data[[#Headers],[GroupName]]))</f>
        <v>CS03</v>
      </c>
      <c r="B199" s="35" t="s">
        <v>951</v>
      </c>
      <c r="C199" s="37" t="str" cm="1">
        <f t="array" aca="1" ref="C199" ca="1">INDEX('SAP Customer Data'!$A:$AC,MATCH(بيانات_العملاء[[#This Row],[رمز شريك الأعمال]],'SAP Customer Data'!$B:$B,0),CELL("col",Table_Customer_Data[[#Headers],[CardName]]))</f>
        <v>شركة فروع البناء لمواد البناء</v>
      </c>
      <c r="D199" s="37" t="str">
        <f ca="1">IF(بيانات_العملاء[[#This Row],[حد الائتمان على SAP]]&gt;0,"آجل","نقدى")</f>
        <v>آجل</v>
      </c>
      <c r="E199" s="37"/>
      <c r="F199" s="37" t="s">
        <v>997</v>
      </c>
      <c r="G199" s="37" t="s">
        <v>854</v>
      </c>
      <c r="H19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199" s="37" t="s">
        <v>854</v>
      </c>
      <c r="J199" s="38">
        <v>46033</v>
      </c>
      <c r="K199" s="37" t="s">
        <v>855</v>
      </c>
      <c r="L199" s="37" t="str">
        <f ca="1">IF(AND(بيانات_العملاء[[#This Row],[السجل التجارى]]="موجود",TODAY()+'Other Data'!$B$23&lt;J199,بيانات_العملاء[[#This Row],[مطابقة اسم العميل بالاسم بالسجل التجارى]]="مطابق"), "سارى", "يجب اعادة طلبه")</f>
        <v>سارى</v>
      </c>
      <c r="M199" s="37" t="s">
        <v>854</v>
      </c>
      <c r="N199" s="39" t="str" cm="1">
        <f t="array" aca="1" ref="N199" ca="1">INDEX('SAP Customer Data'!$A:$AC,MATCH(بيانات_العملاء[[#This Row],[رمز شريك الأعمال]],'SAP Customer Data'!$B:$B,0),CELL("col",Table_Customer_Data[[#Headers],[LicTradNum]]))</f>
        <v>310889739500003</v>
      </c>
      <c r="O19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199" s="37" t="s">
        <v>854</v>
      </c>
      <c r="Q199" s="38">
        <v>45313</v>
      </c>
      <c r="R19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199" s="37" t="s">
        <v>854</v>
      </c>
      <c r="T199" s="40">
        <v>100000</v>
      </c>
      <c r="U199" s="41">
        <v>44992</v>
      </c>
      <c r="V199" s="41">
        <f>IF(بيانات_العملاء[[#This Row],[تاريخ انشاء سند الامر او الاستثناء]]="",0,بيانات_العملاء[[#This Row],[تاريخ انشاء سند الامر او الاستثناء]]+365*3)</f>
        <v>46087</v>
      </c>
      <c r="W19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199" s="37" cm="1">
        <f t="array" aca="1" ref="X199" ca="1">INDEX('SAP Customer Data'!$A:$AC,MATCH(بيانات_العملاء[[#This Row],[رمز شريك الأعمال]],'SAP Customer Data'!$B:$B,0),CELL("col",Table_Customer_Data[[#Headers],[CreditLine]]))</f>
        <v>80000</v>
      </c>
      <c r="Y19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199" s="37" t="s">
        <v>855</v>
      </c>
      <c r="AA19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199" s="37" t="s">
        <v>856</v>
      </c>
      <c r="AC199" s="37"/>
      <c r="AD19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199" s="37" t="s">
        <v>856</v>
      </c>
      <c r="AF199" s="37"/>
      <c r="AG19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199" s="37" t="s">
        <v>856</v>
      </c>
      <c r="AI199" s="37"/>
      <c r="AJ19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199" s="37"/>
      <c r="AL199" s="38"/>
      <c r="AM19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199" s="37" t="s">
        <v>854</v>
      </c>
      <c r="AO199" s="41">
        <v>45116</v>
      </c>
      <c r="AP19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199" s="37" t="s">
        <v>856</v>
      </c>
      <c r="AR199" s="37"/>
      <c r="AS19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199" s="41" cm="1">
        <f t="array" aca="1" ref="AT199" ca="1">INDEX('SAP Customer Data'!A:Z,MATCH(بيانات_العملاء[[#This Row],[رمز شريك الأعمال]],'SAP Customer Data'!B:B,0),CELL("col",Table_Customer_Data[[#Headers],[CreateDate]]))</f>
        <v>44992</v>
      </c>
      <c r="AU199" s="37"/>
      <c r="AV199" s="41"/>
      <c r="AW199" s="37" t="s">
        <v>2097</v>
      </c>
      <c r="AX199" s="37"/>
    </row>
    <row r="200" spans="1:50" x14ac:dyDescent="0.25">
      <c r="A200" s="36" t="str" cm="1">
        <f t="array" aca="1" ref="A200" ca="1">INDEX('SAP Customer Data'!$A:$AC,MATCH(بيانات_العملاء[[#This Row],[رمز شريك الأعمال]],'SAP Customer Data'!$B:$B,0),CELL("col",Table_Customer_Data[[#Headers],[GroupName]]))</f>
        <v>CS03</v>
      </c>
      <c r="B200" s="42" t="s">
        <v>470</v>
      </c>
      <c r="C200" s="37" t="str" cm="1">
        <f t="array" aca="1" ref="C200" ca="1">INDEX('SAP Customer Data'!$A:$AC,MATCH(بيانات_العملاء[[#This Row],[رمز شريك الأعمال]],'SAP Customer Data'!$B:$B,0),CELL("col",Table_Customer_Data[[#Headers],[CardName]]))</f>
        <v>شركة نايف حسن جباري للتجارة والمقاولات-نقدي</v>
      </c>
      <c r="D200" s="37" t="str">
        <f ca="1">IF(بيانات_العملاء[[#This Row],[حد الائتمان على SAP]]&gt;0,"آجل","نقدى")</f>
        <v>نقدى</v>
      </c>
      <c r="E200" s="37"/>
      <c r="F200" s="37" t="s">
        <v>1082</v>
      </c>
      <c r="G200" s="37"/>
      <c r="H20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0" s="37" t="s">
        <v>856</v>
      </c>
      <c r="J200" s="38"/>
      <c r="K200" s="37"/>
      <c r="L200" s="37" t="str">
        <f ca="1">IF(AND(بيانات_العملاء[[#This Row],[السجل التجارى]]="موجود",TODAY()+'Other Data'!$B$23&lt;J200,بيانات_العملاء[[#This Row],[مطابقة اسم العميل بالاسم بالسجل التجارى]]="مطابق"), "سارى", "يجب اعادة طلبه")</f>
        <v>يجب اعادة طلبه</v>
      </c>
      <c r="M200" s="37" t="s">
        <v>854</v>
      </c>
      <c r="N200" s="39" t="str" cm="1">
        <f t="array" aca="1" ref="N200" ca="1">INDEX('SAP Customer Data'!$A:$AC,MATCH(بيانات_العملاء[[#This Row],[رمز شريك الأعمال]],'SAP Customer Data'!$B:$B,0),CELL("col",Table_Customer_Data[[#Headers],[LicTradNum]]))</f>
        <v>301032571800003</v>
      </c>
      <c r="O20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0" s="37"/>
      <c r="Q200" s="38"/>
      <c r="R20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0" s="37" t="s">
        <v>1080</v>
      </c>
      <c r="T200" s="40"/>
      <c r="U200" s="41"/>
      <c r="V20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0" s="37" cm="1">
        <f t="array" aca="1" ref="X200" ca="1">INDEX('SAP Customer Data'!$A:$AC,MATCH(بيانات_العملاء[[#This Row],[رمز شريك الأعمال]],'SAP Customer Data'!$B:$B,0),CELL("col",Table_Customer_Data[[#Headers],[CreditLine]]))</f>
        <v>0</v>
      </c>
      <c r="Y20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0" s="37"/>
      <c r="AA20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0" s="37"/>
      <c r="AC200" s="37"/>
      <c r="AD20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0" s="37"/>
      <c r="AF200" s="37"/>
      <c r="AG20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0" s="37"/>
      <c r="AI200" s="37"/>
      <c r="AJ20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0" s="37"/>
      <c r="AL200" s="38"/>
      <c r="AM20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0" s="37"/>
      <c r="AO200" s="41"/>
      <c r="AP20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0" s="37"/>
      <c r="AR200" s="37"/>
      <c r="AS20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0" s="41" cm="1">
        <f t="array" aca="1" ref="AT200" ca="1">INDEX('SAP Customer Data'!A:Z,MATCH(بيانات_العملاء[[#This Row],[رمز شريك الأعمال]],'SAP Customer Data'!B:B,0),CELL("col",Table_Customer_Data[[#Headers],[CreateDate]]))</f>
        <v>44704</v>
      </c>
      <c r="AU200" s="37"/>
      <c r="AV200" s="41"/>
      <c r="AW200" s="37" t="s">
        <v>2097</v>
      </c>
      <c r="AX200" s="37"/>
    </row>
    <row r="201" spans="1:50" x14ac:dyDescent="0.25">
      <c r="A201" s="36" t="str" cm="1">
        <f t="array" aca="1" ref="A201" ca="1">INDEX('SAP Customer Data'!$A:$AC,MATCH(بيانات_العملاء[[#This Row],[رمز شريك الأعمال]],'SAP Customer Data'!$B:$B,0),CELL("col",Table_Customer_Data[[#Headers],[GroupName]]))</f>
        <v>CS03</v>
      </c>
      <c r="B201" s="42" t="s">
        <v>472</v>
      </c>
      <c r="C201" s="37" t="str" cm="1">
        <f t="array" aca="1" ref="C201" ca="1">INDEX('SAP Customer Data'!$A:$AC,MATCH(بيانات_العملاء[[#This Row],[رمز شريك الأعمال]],'SAP Customer Data'!$B:$B,0),CELL("col",Table_Customer_Data[[#Headers],[CardName]]))</f>
        <v>شركة ركن هدوء الانارة التجارية-نقدي</v>
      </c>
      <c r="D201" s="37" t="str">
        <f ca="1">IF(بيانات_العملاء[[#This Row],[حد الائتمان على SAP]]&gt;0,"آجل","نقدى")</f>
        <v>نقدى</v>
      </c>
      <c r="E201" s="37"/>
      <c r="F201" s="37" t="s">
        <v>1082</v>
      </c>
      <c r="G201" s="37"/>
      <c r="H20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1" s="37" t="s">
        <v>856</v>
      </c>
      <c r="J201" s="38"/>
      <c r="K201" s="37"/>
      <c r="L201" s="37" t="str">
        <f ca="1">IF(AND(بيانات_العملاء[[#This Row],[السجل التجارى]]="موجود",TODAY()+'Other Data'!$B$23&lt;J201,بيانات_العملاء[[#This Row],[مطابقة اسم العميل بالاسم بالسجل التجارى]]="مطابق"), "سارى", "يجب اعادة طلبه")</f>
        <v>يجب اعادة طلبه</v>
      </c>
      <c r="M201" s="37" t="s">
        <v>854</v>
      </c>
      <c r="N201" s="39" t="str" cm="1">
        <f t="array" aca="1" ref="N201" ca="1">INDEX('SAP Customer Data'!$A:$AC,MATCH(بيانات_العملاء[[#This Row],[رمز شريك الأعمال]],'SAP Customer Data'!$B:$B,0),CELL("col",Table_Customer_Data[[#Headers],[LicTradNum]]))</f>
        <v>310027224900003</v>
      </c>
      <c r="O20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1" s="37"/>
      <c r="Q201" s="38"/>
      <c r="R20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1" s="37" t="s">
        <v>1080</v>
      </c>
      <c r="T201" s="40"/>
      <c r="U201" s="41"/>
      <c r="V20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1" s="37" cm="1">
        <f t="array" aca="1" ref="X201" ca="1">INDEX('SAP Customer Data'!$A:$AC,MATCH(بيانات_العملاء[[#This Row],[رمز شريك الأعمال]],'SAP Customer Data'!$B:$B,0),CELL("col",Table_Customer_Data[[#Headers],[CreditLine]]))</f>
        <v>0</v>
      </c>
      <c r="Y20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1" s="37"/>
      <c r="AA20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1" s="37"/>
      <c r="AC201" s="37"/>
      <c r="AD20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1" s="37"/>
      <c r="AF201" s="37"/>
      <c r="AG20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1" s="37"/>
      <c r="AI201" s="37"/>
      <c r="AJ20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1" s="37"/>
      <c r="AL201" s="38"/>
      <c r="AM20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1" s="37"/>
      <c r="AO201" s="41"/>
      <c r="AP20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1" s="37"/>
      <c r="AR201" s="37"/>
      <c r="AS20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1" s="41" cm="1">
        <f t="array" aca="1" ref="AT201" ca="1">INDEX('SAP Customer Data'!A:Z,MATCH(بيانات_العملاء[[#This Row],[رمز شريك الأعمال]],'SAP Customer Data'!B:B,0),CELL("col",Table_Customer_Data[[#Headers],[CreateDate]]))</f>
        <v>44704</v>
      </c>
      <c r="AU201" s="37"/>
      <c r="AV201" s="41"/>
      <c r="AW201" s="37" t="s">
        <v>2097</v>
      </c>
      <c r="AX201" s="37"/>
    </row>
    <row r="202" spans="1:50" x14ac:dyDescent="0.25">
      <c r="A202" s="36" t="str" cm="1">
        <f t="array" aca="1" ref="A202" ca="1">INDEX('SAP Customer Data'!$A:$AC,MATCH(بيانات_العملاء[[#This Row],[رمز شريك الأعمال]],'SAP Customer Data'!$B:$B,0),CELL("col",Table_Customer_Data[[#Headers],[GroupName]]))</f>
        <v>CS03</v>
      </c>
      <c r="B202" s="42" t="s">
        <v>278</v>
      </c>
      <c r="C202" s="37" t="str" cm="1">
        <f t="array" aca="1" ref="C202" ca="1">INDEX('SAP Customer Data'!$A:$AC,MATCH(بيانات_العملاء[[#This Row],[رمز شريك الأعمال]],'SAP Customer Data'!$B:$B,0),CELL("col",Table_Customer_Data[[#Headers],[CardName]]))</f>
        <v>مؤسسة هدوء الانارة للتجارة-نقدي</v>
      </c>
      <c r="D202" s="37" t="str">
        <f ca="1">IF(بيانات_العملاء[[#This Row],[حد الائتمان على SAP]]&gt;0,"آجل","نقدى")</f>
        <v>نقدى</v>
      </c>
      <c r="E202" s="37"/>
      <c r="F202" s="37" t="s">
        <v>1082</v>
      </c>
      <c r="G202" s="37"/>
      <c r="H20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2" s="37" t="s">
        <v>856</v>
      </c>
      <c r="J202" s="38"/>
      <c r="K202" s="37"/>
      <c r="L202" s="37" t="str">
        <f ca="1">IF(AND(بيانات_العملاء[[#This Row],[السجل التجارى]]="موجود",TODAY()+'Other Data'!$B$23&lt;J202,بيانات_العملاء[[#This Row],[مطابقة اسم العميل بالاسم بالسجل التجارى]]="مطابق"), "سارى", "يجب اعادة طلبه")</f>
        <v>يجب اعادة طلبه</v>
      </c>
      <c r="M202" s="37" t="s">
        <v>854</v>
      </c>
      <c r="N202" s="39" t="str" cm="1">
        <f t="array" aca="1" ref="N202" ca="1">INDEX('SAP Customer Data'!$A:$AC,MATCH(بيانات_العملاء[[#This Row],[رمز شريك الأعمال]],'SAP Customer Data'!$B:$B,0),CELL("col",Table_Customer_Data[[#Headers],[LicTradNum]]))</f>
        <v>310051474700003</v>
      </c>
      <c r="O20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2" s="37"/>
      <c r="Q202" s="38"/>
      <c r="R20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2" s="37" t="s">
        <v>1080</v>
      </c>
      <c r="T202" s="40"/>
      <c r="U202" s="41"/>
      <c r="V20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2" s="37" cm="1">
        <f t="array" aca="1" ref="X202" ca="1">INDEX('SAP Customer Data'!$A:$AC,MATCH(بيانات_العملاء[[#This Row],[رمز شريك الأعمال]],'SAP Customer Data'!$B:$B,0),CELL("col",Table_Customer_Data[[#Headers],[CreditLine]]))</f>
        <v>0</v>
      </c>
      <c r="Y20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2" s="37"/>
      <c r="AA20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2" s="37"/>
      <c r="AC202" s="37"/>
      <c r="AD20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2" s="37"/>
      <c r="AF202" s="37"/>
      <c r="AG20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2" s="37"/>
      <c r="AI202" s="37"/>
      <c r="AJ20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2" s="37"/>
      <c r="AL202" s="38"/>
      <c r="AM20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2" s="37"/>
      <c r="AO202" s="41"/>
      <c r="AP20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2" s="37"/>
      <c r="AR202" s="37"/>
      <c r="AS20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2" s="41" cm="1">
        <f t="array" aca="1" ref="AT202" ca="1">INDEX('SAP Customer Data'!A:Z,MATCH(بيانات_العملاء[[#This Row],[رمز شريك الأعمال]],'SAP Customer Data'!B:B,0),CELL("col",Table_Customer_Data[[#Headers],[CreateDate]]))</f>
        <v>44698</v>
      </c>
      <c r="AU202" s="37"/>
      <c r="AV202" s="41"/>
      <c r="AW202" s="37" t="s">
        <v>2097</v>
      </c>
      <c r="AX202" s="37"/>
    </row>
    <row r="203" spans="1:50" x14ac:dyDescent="0.25">
      <c r="A203" s="36" t="str" cm="1">
        <f t="array" aca="1" ref="A203" ca="1">INDEX('SAP Customer Data'!$A:$AC,MATCH(بيانات_العملاء[[#This Row],[رمز شريك الأعمال]],'SAP Customer Data'!$B:$B,0),CELL("col",Table_Customer_Data[[#Headers],[GroupName]]))</f>
        <v>CS03</v>
      </c>
      <c r="B203" s="42" t="s">
        <v>276</v>
      </c>
      <c r="C203" s="37" t="str" cm="1">
        <f t="array" aca="1" ref="C203" ca="1">INDEX('SAP Customer Data'!$A:$AC,MATCH(بيانات_العملاء[[#This Row],[رمز شريك الأعمال]],'SAP Customer Data'!$B:$B,0),CELL("col",Table_Customer_Data[[#Headers],[CardName]]))</f>
        <v>شركة جوهر الباديه للمقاولات -نقدي</v>
      </c>
      <c r="D203" s="37" t="str">
        <f ca="1">IF(بيانات_العملاء[[#This Row],[حد الائتمان على SAP]]&gt;0,"آجل","نقدى")</f>
        <v>نقدى</v>
      </c>
      <c r="E203" s="37"/>
      <c r="F203" s="37" t="s">
        <v>1082</v>
      </c>
      <c r="G203" s="37"/>
      <c r="H20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3" s="37" t="s">
        <v>856</v>
      </c>
      <c r="J203" s="38"/>
      <c r="K203" s="37"/>
      <c r="L203" s="37" t="str">
        <f ca="1">IF(AND(بيانات_العملاء[[#This Row],[السجل التجارى]]="موجود",TODAY()+'Other Data'!$B$23&lt;J203,بيانات_العملاء[[#This Row],[مطابقة اسم العميل بالاسم بالسجل التجارى]]="مطابق"), "سارى", "يجب اعادة طلبه")</f>
        <v>يجب اعادة طلبه</v>
      </c>
      <c r="M203" s="37" t="s">
        <v>854</v>
      </c>
      <c r="N203" s="39" t="str" cm="1">
        <f t="array" aca="1" ref="N203" ca="1">INDEX('SAP Customer Data'!$A:$AC,MATCH(بيانات_العملاء[[#This Row],[رمز شريك الأعمال]],'SAP Customer Data'!$B:$B,0),CELL("col",Table_Customer_Data[[#Headers],[LicTradNum]]))</f>
        <v>311087579400003</v>
      </c>
      <c r="O20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3" s="37"/>
      <c r="Q203" s="38"/>
      <c r="R20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3" s="37" t="s">
        <v>1080</v>
      </c>
      <c r="T203" s="40"/>
      <c r="U203" s="41"/>
      <c r="V20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3" s="37" cm="1">
        <f t="array" aca="1" ref="X203" ca="1">INDEX('SAP Customer Data'!$A:$AC,MATCH(بيانات_العملاء[[#This Row],[رمز شريك الأعمال]],'SAP Customer Data'!$B:$B,0),CELL("col",Table_Customer_Data[[#Headers],[CreditLine]]))</f>
        <v>0</v>
      </c>
      <c r="Y20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3" s="37"/>
      <c r="AA20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3" s="37"/>
      <c r="AC203" s="37"/>
      <c r="AD20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3" s="37"/>
      <c r="AF203" s="37"/>
      <c r="AG20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3" s="37"/>
      <c r="AI203" s="37"/>
      <c r="AJ20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3" s="37"/>
      <c r="AL203" s="38"/>
      <c r="AM20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3" s="37"/>
      <c r="AO203" s="41"/>
      <c r="AP20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3" s="37"/>
      <c r="AR203" s="37"/>
      <c r="AS20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3" s="41" cm="1">
        <f t="array" aca="1" ref="AT203" ca="1">INDEX('SAP Customer Data'!A:Z,MATCH(بيانات_العملاء[[#This Row],[رمز شريك الأعمال]],'SAP Customer Data'!B:B,0),CELL("col",Table_Customer_Data[[#Headers],[CreateDate]]))</f>
        <v>44698</v>
      </c>
      <c r="AU203" s="37"/>
      <c r="AV203" s="41"/>
      <c r="AW203" s="37" t="s">
        <v>2097</v>
      </c>
      <c r="AX203" s="37"/>
    </row>
    <row r="204" spans="1:50" x14ac:dyDescent="0.25">
      <c r="A204" s="36" t="str" cm="1">
        <f t="array" aca="1" ref="A204" ca="1">INDEX('SAP Customer Data'!$A:$AC,MATCH(بيانات_العملاء[[#This Row],[رمز شريك الأعمال]],'SAP Customer Data'!$B:$B,0),CELL("col",Table_Customer_Data[[#Headers],[GroupName]]))</f>
        <v>CS03</v>
      </c>
      <c r="B204" s="42" t="s">
        <v>399</v>
      </c>
      <c r="C204" s="37" t="str" cm="1">
        <f t="array" aca="1" ref="C204" ca="1">INDEX('SAP Customer Data'!$A:$AC,MATCH(بيانات_العملاء[[#This Row],[رمز شريك الأعمال]],'SAP Customer Data'!$B:$B,0),CELL("col",Table_Customer_Data[[#Headers],[CardName]]))</f>
        <v>مؤسسة محمد عبدالله النهام للتجارة - نقدي</v>
      </c>
      <c r="D204" s="37" t="str">
        <f ca="1">IF(بيانات_العملاء[[#This Row],[حد الائتمان على SAP]]&gt;0,"آجل","نقدى")</f>
        <v>نقدى</v>
      </c>
      <c r="E204" s="37"/>
      <c r="F204" s="37" t="s">
        <v>1082</v>
      </c>
      <c r="G204" s="37"/>
      <c r="H20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4" s="37" t="s">
        <v>856</v>
      </c>
      <c r="J204" s="38"/>
      <c r="K204" s="37"/>
      <c r="L204" s="37" t="str">
        <f ca="1">IF(AND(بيانات_العملاء[[#This Row],[السجل التجارى]]="موجود",TODAY()+'Other Data'!$B$23&lt;J204,بيانات_العملاء[[#This Row],[مطابقة اسم العميل بالاسم بالسجل التجارى]]="مطابق"), "سارى", "يجب اعادة طلبه")</f>
        <v>يجب اعادة طلبه</v>
      </c>
      <c r="M204" s="37" t="s">
        <v>854</v>
      </c>
      <c r="N204" s="39" t="str" cm="1">
        <f t="array" aca="1" ref="N204" ca="1">INDEX('SAP Customer Data'!$A:$AC,MATCH(بيانات_العملاء[[#This Row],[رمز شريك الأعمال]],'SAP Customer Data'!$B:$B,0),CELL("col",Table_Customer_Data[[#Headers],[LicTradNum]]))</f>
        <v>300846402200003</v>
      </c>
      <c r="O20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4" s="37"/>
      <c r="Q204" s="38"/>
      <c r="R20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4" s="37" t="s">
        <v>1080</v>
      </c>
      <c r="T204" s="40"/>
      <c r="U204" s="41"/>
      <c r="V20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4" s="37" cm="1">
        <f t="array" aca="1" ref="X204" ca="1">INDEX('SAP Customer Data'!$A:$AC,MATCH(بيانات_العملاء[[#This Row],[رمز شريك الأعمال]],'SAP Customer Data'!$B:$B,0),CELL("col",Table_Customer_Data[[#Headers],[CreditLine]]))</f>
        <v>0</v>
      </c>
      <c r="Y20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4" s="37"/>
      <c r="AA20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4" s="37"/>
      <c r="AC204" s="37"/>
      <c r="AD20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4" s="37"/>
      <c r="AF204" s="37"/>
      <c r="AG20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4" s="37"/>
      <c r="AI204" s="37"/>
      <c r="AJ20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4" s="37"/>
      <c r="AL204" s="38"/>
      <c r="AM20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4" s="37"/>
      <c r="AO204" s="41"/>
      <c r="AP20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4" s="37"/>
      <c r="AR204" s="37"/>
      <c r="AS20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4" s="41" cm="1">
        <f t="array" aca="1" ref="AT204" ca="1">INDEX('SAP Customer Data'!A:Z,MATCH(بيانات_العملاء[[#This Row],[رمز شريك الأعمال]],'SAP Customer Data'!B:B,0),CELL("col",Table_Customer_Data[[#Headers],[CreateDate]]))</f>
        <v>44476</v>
      </c>
      <c r="AU204" s="37"/>
      <c r="AV204" s="41"/>
      <c r="AW204" s="37" t="s">
        <v>2097</v>
      </c>
      <c r="AX204" s="37"/>
    </row>
    <row r="205" spans="1:50" x14ac:dyDescent="0.25">
      <c r="A205" s="36" t="str" cm="1">
        <f t="array" aca="1" ref="A205" ca="1">INDEX('SAP Customer Data'!$A:$AC,MATCH(بيانات_العملاء[[#This Row],[رمز شريك الأعمال]],'SAP Customer Data'!$B:$B,0),CELL("col",Table_Customer_Data[[#Headers],[GroupName]]))</f>
        <v>CS03</v>
      </c>
      <c r="B205" s="42" t="s">
        <v>367</v>
      </c>
      <c r="C205" s="37" t="str" cm="1">
        <f t="array" aca="1" ref="C205" ca="1">INDEX('SAP Customer Data'!$A:$AC,MATCH(بيانات_العملاء[[#This Row],[رمز شريك الأعمال]],'SAP Customer Data'!$B:$B,0),CELL("col",Table_Customer_Data[[#Headers],[CardName]]))</f>
        <v>مؤسسة علي حسن الحبجر التجارية-نقدي</v>
      </c>
      <c r="D205" s="37" t="str">
        <f ca="1">IF(بيانات_العملاء[[#This Row],[حد الائتمان على SAP]]&gt;0,"آجل","نقدى")</f>
        <v>نقدى</v>
      </c>
      <c r="E205" s="37"/>
      <c r="F205" s="37" t="s">
        <v>1082</v>
      </c>
      <c r="G205" s="37"/>
      <c r="H20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5" s="37" t="s">
        <v>856</v>
      </c>
      <c r="J205" s="38"/>
      <c r="K205" s="37"/>
      <c r="L205" s="37" t="str">
        <f ca="1">IF(AND(بيانات_العملاء[[#This Row],[السجل التجارى]]="موجود",TODAY()+'Other Data'!$B$23&lt;J205,بيانات_العملاء[[#This Row],[مطابقة اسم العميل بالاسم بالسجل التجارى]]="مطابق"), "سارى", "يجب اعادة طلبه")</f>
        <v>يجب اعادة طلبه</v>
      </c>
      <c r="M205" s="37" t="s">
        <v>854</v>
      </c>
      <c r="N205" s="39" t="str" cm="1">
        <f t="array" aca="1" ref="N205" ca="1">INDEX('SAP Customer Data'!$A:$AC,MATCH(بيانات_العملاء[[#This Row],[رمز شريك الأعمال]],'SAP Customer Data'!$B:$B,0),CELL("col",Table_Customer_Data[[#Headers],[LicTradNum]]))</f>
        <v>300973962300003</v>
      </c>
      <c r="O20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5" s="37"/>
      <c r="Q205" s="38"/>
      <c r="R20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5" s="37" t="s">
        <v>1080</v>
      </c>
      <c r="T205" s="40"/>
      <c r="U205" s="41"/>
      <c r="V20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5" s="37" cm="1">
        <f t="array" aca="1" ref="X205" ca="1">INDEX('SAP Customer Data'!$A:$AC,MATCH(بيانات_العملاء[[#This Row],[رمز شريك الأعمال]],'SAP Customer Data'!$B:$B,0),CELL("col",Table_Customer_Data[[#Headers],[CreditLine]]))</f>
        <v>0</v>
      </c>
      <c r="Y20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5" s="37"/>
      <c r="AA20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5" s="37"/>
      <c r="AC205" s="37"/>
      <c r="AD20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5" s="37"/>
      <c r="AF205" s="37"/>
      <c r="AG20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5" s="37"/>
      <c r="AI205" s="37"/>
      <c r="AJ20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5" s="37"/>
      <c r="AL205" s="38"/>
      <c r="AM20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5" s="37"/>
      <c r="AO205" s="41"/>
      <c r="AP20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5" s="37"/>
      <c r="AR205" s="37"/>
      <c r="AS20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5" s="41" cm="1">
        <f t="array" aca="1" ref="AT205" ca="1">INDEX('SAP Customer Data'!A:Z,MATCH(بيانات_العملاء[[#This Row],[رمز شريك الأعمال]],'SAP Customer Data'!B:B,0),CELL("col",Table_Customer_Data[[#Headers],[CreateDate]]))</f>
        <v>44622</v>
      </c>
      <c r="AU205" s="37"/>
      <c r="AV205" s="41"/>
      <c r="AW205" s="37" t="s">
        <v>2097</v>
      </c>
      <c r="AX205" s="37"/>
    </row>
    <row r="206" spans="1:50" x14ac:dyDescent="0.25">
      <c r="A206" s="36" t="str" cm="1">
        <f t="array" aca="1" ref="A206" ca="1">INDEX('SAP Customer Data'!$A:$AC,MATCH(بيانات_العملاء[[#This Row],[رمز شريك الأعمال]],'SAP Customer Data'!$B:$B,0),CELL("col",Table_Customer_Data[[#Headers],[GroupName]]))</f>
        <v>CS03</v>
      </c>
      <c r="B206" s="42" t="s">
        <v>389</v>
      </c>
      <c r="C206" s="37" t="str" cm="1">
        <f t="array" aca="1" ref="C206" ca="1">INDEX('SAP Customer Data'!$A:$AC,MATCH(بيانات_العملاء[[#This Row],[رمز شريك الأعمال]],'SAP Customer Data'!$B:$B,0),CELL("col",Table_Customer_Data[[#Headers],[CardName]]))</f>
        <v>مؤسسة رياض نجد للمقاولات-نقدي</v>
      </c>
      <c r="D206" s="37" t="str">
        <f ca="1">IF(بيانات_العملاء[[#This Row],[حد الائتمان على SAP]]&gt;0,"آجل","نقدى")</f>
        <v>نقدى</v>
      </c>
      <c r="E206" s="37"/>
      <c r="F206" s="37" t="s">
        <v>1082</v>
      </c>
      <c r="G206" s="37"/>
      <c r="H20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6" s="37" t="s">
        <v>856</v>
      </c>
      <c r="J206" s="38"/>
      <c r="K206" s="37"/>
      <c r="L206" s="37" t="str">
        <f ca="1">IF(AND(بيانات_العملاء[[#This Row],[السجل التجارى]]="موجود",TODAY()+'Other Data'!$B$23&lt;J206,بيانات_العملاء[[#This Row],[مطابقة اسم العميل بالاسم بالسجل التجارى]]="مطابق"), "سارى", "يجب اعادة طلبه")</f>
        <v>يجب اعادة طلبه</v>
      </c>
      <c r="M206" s="37" t="s">
        <v>854</v>
      </c>
      <c r="N206" s="39" t="str" cm="1">
        <f t="array" aca="1" ref="N206" ca="1">INDEX('SAP Customer Data'!$A:$AC,MATCH(بيانات_العملاء[[#This Row],[رمز شريك الأعمال]],'SAP Customer Data'!$B:$B,0),CELL("col",Table_Customer_Data[[#Headers],[LicTradNum]]))</f>
        <v>302167956500003</v>
      </c>
      <c r="O20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6" s="37"/>
      <c r="Q206" s="38"/>
      <c r="R20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6" s="37" t="s">
        <v>1080</v>
      </c>
      <c r="T206" s="40"/>
      <c r="U206" s="41"/>
      <c r="V20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6" s="37" cm="1">
        <f t="array" aca="1" ref="X206" ca="1">INDEX('SAP Customer Data'!$A:$AC,MATCH(بيانات_العملاء[[#This Row],[رمز شريك الأعمال]],'SAP Customer Data'!$B:$B,0),CELL("col",Table_Customer_Data[[#Headers],[CreditLine]]))</f>
        <v>0</v>
      </c>
      <c r="Y20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6" s="37"/>
      <c r="AA20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6" s="37"/>
      <c r="AC206" s="37"/>
      <c r="AD20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6" s="37"/>
      <c r="AF206" s="37"/>
      <c r="AG20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6" s="37"/>
      <c r="AI206" s="37"/>
      <c r="AJ20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6" s="37"/>
      <c r="AL206" s="38"/>
      <c r="AM20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6" s="37"/>
      <c r="AO206" s="41"/>
      <c r="AP20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6" s="37"/>
      <c r="AR206" s="37"/>
      <c r="AS20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6" s="41" cm="1">
        <f t="array" aca="1" ref="AT206" ca="1">INDEX('SAP Customer Data'!A:Z,MATCH(بيانات_العملاء[[#This Row],[رمز شريك الأعمال]],'SAP Customer Data'!B:B,0),CELL("col",Table_Customer_Data[[#Headers],[CreateDate]]))</f>
        <v>44605</v>
      </c>
      <c r="AU206" s="37"/>
      <c r="AV206" s="41"/>
      <c r="AW206" s="37" t="s">
        <v>2097</v>
      </c>
      <c r="AX206" s="37"/>
    </row>
    <row r="207" spans="1:50" x14ac:dyDescent="0.25">
      <c r="A207" s="36" t="str" cm="1">
        <f t="array" aca="1" ref="A207" ca="1">INDEX('SAP Customer Data'!$A:$AC,MATCH(بيانات_العملاء[[#This Row],[رمز شريك الأعمال]],'SAP Customer Data'!$B:$B,0),CELL("col",Table_Customer_Data[[#Headers],[GroupName]]))</f>
        <v>CS03</v>
      </c>
      <c r="B207" s="42" t="s">
        <v>363</v>
      </c>
      <c r="C207" s="37" t="str" cm="1">
        <f t="array" aca="1" ref="C207" ca="1">INDEX('SAP Customer Data'!$A:$AC,MATCH(بيانات_العملاء[[#This Row],[رمز شريك الأعمال]],'SAP Customer Data'!$B:$B,0),CELL("col",Table_Customer_Data[[#Headers],[CardName]]))</f>
        <v>مؤسسة تصاميم الغد التجارية-نقدي</v>
      </c>
      <c r="D207" s="37" t="str">
        <f ca="1">IF(بيانات_العملاء[[#This Row],[حد الائتمان على SAP]]&gt;0,"آجل","نقدى")</f>
        <v>نقدى</v>
      </c>
      <c r="E207" s="37"/>
      <c r="F207" s="37" t="s">
        <v>1082</v>
      </c>
      <c r="G207" s="37"/>
      <c r="H20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7" s="37" t="s">
        <v>856</v>
      </c>
      <c r="J207" s="38"/>
      <c r="K207" s="37"/>
      <c r="L207" s="37" t="str">
        <f ca="1">IF(AND(بيانات_العملاء[[#This Row],[السجل التجارى]]="موجود",TODAY()+'Other Data'!$B$23&lt;J207,بيانات_العملاء[[#This Row],[مطابقة اسم العميل بالاسم بالسجل التجارى]]="مطابق"), "سارى", "يجب اعادة طلبه")</f>
        <v>يجب اعادة طلبه</v>
      </c>
      <c r="M207" s="37" t="s">
        <v>854</v>
      </c>
      <c r="N207" s="39" t="str" cm="1">
        <f t="array" aca="1" ref="N207" ca="1">INDEX('SAP Customer Data'!$A:$AC,MATCH(بيانات_العملاء[[#This Row],[رمز شريك الأعمال]],'SAP Customer Data'!$B:$B,0),CELL("col",Table_Customer_Data[[#Headers],[LicTradNum]]))</f>
        <v>300852509800003</v>
      </c>
      <c r="O20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7" s="37"/>
      <c r="Q207" s="38"/>
      <c r="R20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7" s="37" t="s">
        <v>1080</v>
      </c>
      <c r="T207" s="40"/>
      <c r="U207" s="41"/>
      <c r="V20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7" s="37" cm="1">
        <f t="array" aca="1" ref="X207" ca="1">INDEX('SAP Customer Data'!$A:$AC,MATCH(بيانات_العملاء[[#This Row],[رمز شريك الأعمال]],'SAP Customer Data'!$B:$B,0),CELL("col",Table_Customer_Data[[#Headers],[CreditLine]]))</f>
        <v>0</v>
      </c>
      <c r="Y20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7" s="37"/>
      <c r="AA20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7" s="37"/>
      <c r="AC207" s="37"/>
      <c r="AD20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7" s="37"/>
      <c r="AF207" s="37"/>
      <c r="AG20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7" s="37"/>
      <c r="AI207" s="37"/>
      <c r="AJ20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7" s="37"/>
      <c r="AL207" s="38"/>
      <c r="AM20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7" s="37"/>
      <c r="AO207" s="41"/>
      <c r="AP20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7" s="37"/>
      <c r="AR207" s="37"/>
      <c r="AS20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7" s="41" cm="1">
        <f t="array" aca="1" ref="AT207" ca="1">INDEX('SAP Customer Data'!A:Z,MATCH(بيانات_العملاء[[#This Row],[رمز شريك الأعمال]],'SAP Customer Data'!B:B,0),CELL("col",Table_Customer_Data[[#Headers],[CreateDate]]))</f>
        <v>44601</v>
      </c>
      <c r="AU207" s="37"/>
      <c r="AV207" s="41"/>
      <c r="AW207" s="37" t="s">
        <v>2097</v>
      </c>
      <c r="AX207" s="37"/>
    </row>
    <row r="208" spans="1:50" x14ac:dyDescent="0.25">
      <c r="A208" s="36" t="str" cm="1">
        <f t="array" aca="1" ref="A208" ca="1">INDEX('SAP Customer Data'!$A:$AC,MATCH(بيانات_العملاء[[#This Row],[رمز شريك الأعمال]],'SAP Customer Data'!$B:$B,0),CELL("col",Table_Customer_Data[[#Headers],[GroupName]]))</f>
        <v>CS03</v>
      </c>
      <c r="B208" s="42" t="s">
        <v>264</v>
      </c>
      <c r="C208" s="37" t="str" cm="1">
        <f t="array" aca="1" ref="C208" ca="1">INDEX('SAP Customer Data'!$A:$AC,MATCH(بيانات_العملاء[[#This Row],[رمز شريك الأعمال]],'SAP Customer Data'!$B:$B,0),CELL("col",Table_Customer_Data[[#Headers],[CardName]]))</f>
        <v>مؤسسة روافد الاضاءة للتجارة - نقدي</v>
      </c>
      <c r="D208" s="37" t="str">
        <f ca="1">IF(بيانات_العملاء[[#This Row],[حد الائتمان على SAP]]&gt;0,"آجل","نقدى")</f>
        <v>نقدى</v>
      </c>
      <c r="E208" s="37"/>
      <c r="F208" s="37" t="s">
        <v>1082</v>
      </c>
      <c r="G208" s="37"/>
      <c r="H20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8" s="37" t="s">
        <v>856</v>
      </c>
      <c r="J208" s="38"/>
      <c r="K208" s="37"/>
      <c r="L208" s="37" t="str">
        <f ca="1">IF(AND(بيانات_العملاء[[#This Row],[السجل التجارى]]="موجود",TODAY()+'Other Data'!$B$23&lt;J208,بيانات_العملاء[[#This Row],[مطابقة اسم العميل بالاسم بالسجل التجارى]]="مطابق"), "سارى", "يجب اعادة طلبه")</f>
        <v>يجب اعادة طلبه</v>
      </c>
      <c r="M208" s="37" t="s">
        <v>854</v>
      </c>
      <c r="N208" s="39" t="str" cm="1">
        <f t="array" aca="1" ref="N208" ca="1">INDEX('SAP Customer Data'!$A:$AC,MATCH(بيانات_العملاء[[#This Row],[رمز شريك الأعمال]],'SAP Customer Data'!$B:$B,0),CELL("col",Table_Customer_Data[[#Headers],[LicTradNum]]))</f>
        <v>310389488300003</v>
      </c>
      <c r="O20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8" s="37"/>
      <c r="Q208" s="38"/>
      <c r="R20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8" s="37" t="s">
        <v>1080</v>
      </c>
      <c r="T208" s="40"/>
      <c r="U208" s="41"/>
      <c r="V20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8" s="37" cm="1">
        <f t="array" aca="1" ref="X208" ca="1">INDEX('SAP Customer Data'!$A:$AC,MATCH(بيانات_العملاء[[#This Row],[رمز شريك الأعمال]],'SAP Customer Data'!$B:$B,0),CELL("col",Table_Customer_Data[[#Headers],[CreditLine]]))</f>
        <v>0</v>
      </c>
      <c r="Y20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8" s="37"/>
      <c r="AA20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8" s="37"/>
      <c r="AC208" s="37"/>
      <c r="AD20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8" s="37"/>
      <c r="AF208" s="37"/>
      <c r="AG20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8" s="37"/>
      <c r="AI208" s="37"/>
      <c r="AJ20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8" s="37"/>
      <c r="AL208" s="38"/>
      <c r="AM20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8" s="37"/>
      <c r="AO208" s="41"/>
      <c r="AP20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8" s="37"/>
      <c r="AR208" s="37"/>
      <c r="AS20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8" s="41" cm="1">
        <f t="array" aca="1" ref="AT208" ca="1">INDEX('SAP Customer Data'!A:Z,MATCH(بيانات_العملاء[[#This Row],[رمز شريك الأعمال]],'SAP Customer Data'!B:B,0),CELL("col",Table_Customer_Data[[#Headers],[CreateDate]]))</f>
        <v>44564</v>
      </c>
      <c r="AU208" s="37"/>
      <c r="AV208" s="41"/>
      <c r="AW208" s="37" t="s">
        <v>2097</v>
      </c>
      <c r="AX208" s="37"/>
    </row>
    <row r="209" spans="1:50" x14ac:dyDescent="0.25">
      <c r="A209" s="36" t="str" cm="1">
        <f t="array" aca="1" ref="A209" ca="1">INDEX('SAP Customer Data'!$A:$AC,MATCH(بيانات_العملاء[[#This Row],[رمز شريك الأعمال]],'SAP Customer Data'!$B:$B,0),CELL("col",Table_Customer_Data[[#Headers],[GroupName]]))</f>
        <v>CS03</v>
      </c>
      <c r="B209" s="42" t="s">
        <v>260</v>
      </c>
      <c r="C209" s="37" t="str" cm="1">
        <f t="array" aca="1" ref="C209" ca="1">INDEX('SAP Customer Data'!$A:$AC,MATCH(بيانات_العملاء[[#This Row],[رمز شريك الأعمال]],'SAP Customer Data'!$B:$B,0),CELL("col",Table_Customer_Data[[#Headers],[CardName]]))</f>
        <v>مؤسسة نيرفا التجارية -نقدي</v>
      </c>
      <c r="D209" s="37" t="str">
        <f ca="1">IF(بيانات_العملاء[[#This Row],[حد الائتمان على SAP]]&gt;0,"آجل","نقدى")</f>
        <v>نقدى</v>
      </c>
      <c r="E209" s="37"/>
      <c r="F209" s="37" t="s">
        <v>1082</v>
      </c>
      <c r="G209" s="37"/>
      <c r="H20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09" s="37" t="s">
        <v>856</v>
      </c>
      <c r="J209" s="38"/>
      <c r="K209" s="37"/>
      <c r="L209" s="37" t="str">
        <f ca="1">IF(AND(بيانات_العملاء[[#This Row],[السجل التجارى]]="موجود",TODAY()+'Other Data'!$B$23&lt;J209,بيانات_العملاء[[#This Row],[مطابقة اسم العميل بالاسم بالسجل التجارى]]="مطابق"), "سارى", "يجب اعادة طلبه")</f>
        <v>يجب اعادة طلبه</v>
      </c>
      <c r="M209" s="37" t="s">
        <v>854</v>
      </c>
      <c r="N209" s="39" t="str" cm="1">
        <f t="array" aca="1" ref="N209" ca="1">INDEX('SAP Customer Data'!$A:$AC,MATCH(بيانات_العملاء[[#This Row],[رمز شريك الأعمال]],'SAP Customer Data'!$B:$B,0),CELL("col",Table_Customer_Data[[#Headers],[LicTradNum]]))</f>
        <v>300842107300003</v>
      </c>
      <c r="O20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09" s="37"/>
      <c r="Q209" s="38"/>
      <c r="R20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09" s="37" t="s">
        <v>1080</v>
      </c>
      <c r="T209" s="40"/>
      <c r="U209" s="41"/>
      <c r="V20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0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09" s="37" cm="1">
        <f t="array" aca="1" ref="X209" ca="1">INDEX('SAP Customer Data'!$A:$AC,MATCH(بيانات_العملاء[[#This Row],[رمز شريك الأعمال]],'SAP Customer Data'!$B:$B,0),CELL("col",Table_Customer_Data[[#Headers],[CreditLine]]))</f>
        <v>0</v>
      </c>
      <c r="Y20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09" s="37"/>
      <c r="AA20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09" s="37"/>
      <c r="AC209" s="37"/>
      <c r="AD20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09" s="37"/>
      <c r="AF209" s="37"/>
      <c r="AG20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09" s="37"/>
      <c r="AI209" s="37"/>
      <c r="AJ20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09" s="37"/>
      <c r="AL209" s="38"/>
      <c r="AM20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09" s="37"/>
      <c r="AO209" s="41"/>
      <c r="AP20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09" s="37"/>
      <c r="AR209" s="37"/>
      <c r="AS20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09" s="41" cm="1">
        <f t="array" aca="1" ref="AT209" ca="1">INDEX('SAP Customer Data'!A:Z,MATCH(بيانات_العملاء[[#This Row],[رمز شريك الأعمال]],'SAP Customer Data'!B:B,0),CELL("col",Table_Customer_Data[[#Headers],[CreateDate]]))</f>
        <v>44562</v>
      </c>
      <c r="AU209" s="37"/>
      <c r="AV209" s="41"/>
      <c r="AW209" s="37" t="s">
        <v>2097</v>
      </c>
      <c r="AX209" s="37"/>
    </row>
    <row r="210" spans="1:50" x14ac:dyDescent="0.25">
      <c r="A210" s="36" t="str" cm="1">
        <f t="array" aca="1" ref="A210" ca="1">INDEX('SAP Customer Data'!$A:$AC,MATCH(بيانات_العملاء[[#This Row],[رمز شريك الأعمال]],'SAP Customer Data'!$B:$B,0),CELL("col",Table_Customer_Data[[#Headers],[GroupName]]))</f>
        <v>CS03</v>
      </c>
      <c r="B210" s="42" t="s">
        <v>458</v>
      </c>
      <c r="C210" s="37" t="str" cm="1">
        <f t="array" aca="1" ref="C210" ca="1">INDEX('SAP Customer Data'!$A:$AC,MATCH(بيانات_العملاء[[#This Row],[رمز شريك الأعمال]],'SAP Customer Data'!$B:$B,0),CELL("col",Table_Customer_Data[[#Headers],[CardName]]))</f>
        <v>شركة انوار الخليج المتحدة للادوات الكهربائية-نقدي</v>
      </c>
      <c r="D210" s="37" t="str">
        <f ca="1">IF(بيانات_العملاء[[#This Row],[حد الائتمان على SAP]]&gt;0,"آجل","نقدى")</f>
        <v>نقدى</v>
      </c>
      <c r="E210" s="37"/>
      <c r="F210" s="37" t="s">
        <v>1082</v>
      </c>
      <c r="G210" s="37"/>
      <c r="H21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0" s="37" t="s">
        <v>856</v>
      </c>
      <c r="J210" s="38"/>
      <c r="K210" s="37"/>
      <c r="L210" s="37" t="str">
        <f ca="1">IF(AND(بيانات_العملاء[[#This Row],[السجل التجارى]]="موجود",TODAY()+'Other Data'!$B$23&lt;J210,بيانات_العملاء[[#This Row],[مطابقة اسم العميل بالاسم بالسجل التجارى]]="مطابق"), "سارى", "يجب اعادة طلبه")</f>
        <v>يجب اعادة طلبه</v>
      </c>
      <c r="M210" s="37" t="s">
        <v>854</v>
      </c>
      <c r="N210" s="39" t="str" cm="1">
        <f t="array" aca="1" ref="N210" ca="1">INDEX('SAP Customer Data'!$A:$AC,MATCH(بيانات_العملاء[[#This Row],[رمز شريك الأعمال]],'SAP Customer Data'!$B:$B,0),CELL("col",Table_Customer_Data[[#Headers],[LicTradNum]]))</f>
        <v>310051560600003</v>
      </c>
      <c r="O21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0" s="37"/>
      <c r="Q210" s="38"/>
      <c r="R21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0" s="37" t="s">
        <v>1080</v>
      </c>
      <c r="T210" s="40"/>
      <c r="U210" s="41"/>
      <c r="V21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0" s="37" cm="1">
        <f t="array" aca="1" ref="X210" ca="1">INDEX('SAP Customer Data'!$A:$AC,MATCH(بيانات_العملاء[[#This Row],[رمز شريك الأعمال]],'SAP Customer Data'!$B:$B,0),CELL("col",Table_Customer_Data[[#Headers],[CreditLine]]))</f>
        <v>0</v>
      </c>
      <c r="Y21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0" s="37"/>
      <c r="AA21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0" s="37"/>
      <c r="AC210" s="37"/>
      <c r="AD21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0" s="37"/>
      <c r="AF210" s="37"/>
      <c r="AG21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0" s="37"/>
      <c r="AI210" s="37"/>
      <c r="AJ21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0" s="37"/>
      <c r="AL210" s="38"/>
      <c r="AM21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0" s="37"/>
      <c r="AO210" s="41"/>
      <c r="AP21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0" s="37"/>
      <c r="AR210" s="37"/>
      <c r="AS21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0" s="41" cm="1">
        <f t="array" aca="1" ref="AT210" ca="1">INDEX('SAP Customer Data'!A:Z,MATCH(بيانات_العملاء[[#This Row],[رمز شريك الأعمال]],'SAP Customer Data'!B:B,0),CELL("col",Table_Customer_Data[[#Headers],[CreateDate]]))</f>
        <v>44552</v>
      </c>
      <c r="AU210" s="37"/>
      <c r="AV210" s="41"/>
      <c r="AW210" s="37" t="s">
        <v>2097</v>
      </c>
      <c r="AX210" s="37"/>
    </row>
    <row r="211" spans="1:50" x14ac:dyDescent="0.25">
      <c r="A211" s="36" t="str" cm="1">
        <f t="array" aca="1" ref="A211" ca="1">INDEX('SAP Customer Data'!$A:$AC,MATCH(بيانات_العملاء[[#This Row],[رمز شريك الأعمال]],'SAP Customer Data'!$B:$B,0),CELL("col",Table_Customer_Data[[#Headers],[GroupName]]))</f>
        <v>CS03</v>
      </c>
      <c r="B211" s="42" t="s">
        <v>424</v>
      </c>
      <c r="C211" s="37" t="str" cm="1">
        <f t="array" aca="1" ref="C211" ca="1">INDEX('SAP Customer Data'!$A:$AC,MATCH(بيانات_العملاء[[#This Row],[رمز شريك الأعمال]],'SAP Customer Data'!$B:$B,0),CELL("col",Table_Customer_Data[[#Headers],[CardName]]))</f>
        <v>مؤسسة راكان علي هادي اليامي للتجارة - نقدي</v>
      </c>
      <c r="D211" s="37" t="str">
        <f ca="1">IF(بيانات_العملاء[[#This Row],[حد الائتمان على SAP]]&gt;0,"آجل","نقدى")</f>
        <v>نقدى</v>
      </c>
      <c r="E211" s="37"/>
      <c r="F211" s="37" t="s">
        <v>1082</v>
      </c>
      <c r="G211" s="37"/>
      <c r="H21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1" s="37" t="s">
        <v>856</v>
      </c>
      <c r="J211" s="38"/>
      <c r="K211" s="37"/>
      <c r="L211" s="37" t="str">
        <f ca="1">IF(AND(بيانات_العملاء[[#This Row],[السجل التجارى]]="موجود",TODAY()+'Other Data'!$B$23&lt;J211,بيانات_العملاء[[#This Row],[مطابقة اسم العميل بالاسم بالسجل التجارى]]="مطابق"), "سارى", "يجب اعادة طلبه")</f>
        <v>يجب اعادة طلبه</v>
      </c>
      <c r="M211" s="37" t="s">
        <v>854</v>
      </c>
      <c r="N211" s="39" t="str" cm="1">
        <f t="array" aca="1" ref="N211" ca="1">INDEX('SAP Customer Data'!$A:$AC,MATCH(بيانات_العملاء[[#This Row],[رمز شريك الأعمال]],'SAP Customer Data'!$B:$B,0),CELL("col",Table_Customer_Data[[#Headers],[LicTradNum]]))</f>
        <v>310095945800003</v>
      </c>
      <c r="O21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1" s="37"/>
      <c r="Q211" s="38"/>
      <c r="R21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1" s="37" t="s">
        <v>1080</v>
      </c>
      <c r="T211" s="40"/>
      <c r="U211" s="41"/>
      <c r="V21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1" s="37" cm="1">
        <f t="array" aca="1" ref="X211" ca="1">INDEX('SAP Customer Data'!$A:$AC,MATCH(بيانات_العملاء[[#This Row],[رمز شريك الأعمال]],'SAP Customer Data'!$B:$B,0),CELL("col",Table_Customer_Data[[#Headers],[CreditLine]]))</f>
        <v>0</v>
      </c>
      <c r="Y21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1" s="37"/>
      <c r="AA21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1" s="37"/>
      <c r="AC211" s="37"/>
      <c r="AD21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1" s="37"/>
      <c r="AF211" s="37"/>
      <c r="AG21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1" s="37"/>
      <c r="AI211" s="37"/>
      <c r="AJ21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1" s="37"/>
      <c r="AL211" s="38"/>
      <c r="AM21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1" s="37"/>
      <c r="AO211" s="41"/>
      <c r="AP21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1" s="37"/>
      <c r="AR211" s="37"/>
      <c r="AS21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1" s="41" cm="1">
        <f t="array" aca="1" ref="AT211" ca="1">INDEX('SAP Customer Data'!A:Z,MATCH(بيانات_العملاء[[#This Row],[رمز شريك الأعمال]],'SAP Customer Data'!B:B,0),CELL("col",Table_Customer_Data[[#Headers],[CreateDate]]))</f>
        <v>44203</v>
      </c>
      <c r="AU211" s="37"/>
      <c r="AV211" s="41"/>
      <c r="AW211" s="37" t="s">
        <v>2097</v>
      </c>
      <c r="AX211" s="37"/>
    </row>
    <row r="212" spans="1:50" x14ac:dyDescent="0.25">
      <c r="A212" s="36" t="str" cm="1">
        <f t="array" aca="1" ref="A212" ca="1">INDEX('SAP Customer Data'!$A:$AC,MATCH(بيانات_العملاء[[#This Row],[رمز شريك الأعمال]],'SAP Customer Data'!$B:$B,0),CELL("col",Table_Customer_Data[[#Headers],[GroupName]]))</f>
        <v>CS03</v>
      </c>
      <c r="B212" s="42" t="s">
        <v>822</v>
      </c>
      <c r="C212" s="37" t="str" cm="1">
        <f t="array" aca="1" ref="C212" ca="1">INDEX('SAP Customer Data'!$A:$AC,MATCH(بيانات_العملاء[[#This Row],[رمز شريك الأعمال]],'SAP Customer Data'!$B:$B,0),CELL("col",Table_Customer_Data[[#Headers],[CardName]]))</f>
        <v>مؤسسة راجح سفر العصيمي للتجارة - نقدي</v>
      </c>
      <c r="D212" s="37" t="str">
        <f ca="1">IF(بيانات_العملاء[[#This Row],[حد الائتمان على SAP]]&gt;0,"آجل","نقدى")</f>
        <v>نقدى</v>
      </c>
      <c r="E212" s="37"/>
      <c r="F212" s="37" t="s">
        <v>1082</v>
      </c>
      <c r="G212" s="37"/>
      <c r="H21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2" s="37" t="s">
        <v>856</v>
      </c>
      <c r="J212" s="38"/>
      <c r="K212" s="37"/>
      <c r="L212" s="37" t="str">
        <f ca="1">IF(AND(بيانات_العملاء[[#This Row],[السجل التجارى]]="موجود",TODAY()+'Other Data'!$B$23&lt;J212,بيانات_العملاء[[#This Row],[مطابقة اسم العميل بالاسم بالسجل التجارى]]="مطابق"), "سارى", "يجب اعادة طلبه")</f>
        <v>يجب اعادة طلبه</v>
      </c>
      <c r="M212" s="37" t="s">
        <v>854</v>
      </c>
      <c r="N212" s="39" t="str" cm="1">
        <f t="array" aca="1" ref="N212" ca="1">INDEX('SAP Customer Data'!$A:$AC,MATCH(بيانات_العملاء[[#This Row],[رمز شريك الأعمال]],'SAP Customer Data'!$B:$B,0),CELL("col",Table_Customer_Data[[#Headers],[LicTradNum]]))</f>
        <v>310103418900003</v>
      </c>
      <c r="O21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2" s="37"/>
      <c r="Q212" s="38"/>
      <c r="R21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2" s="37" t="s">
        <v>1080</v>
      </c>
      <c r="T212" s="40"/>
      <c r="U212" s="41"/>
      <c r="V21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2" s="37" cm="1">
        <f t="array" aca="1" ref="X212" ca="1">INDEX('SAP Customer Data'!$A:$AC,MATCH(بيانات_العملاء[[#This Row],[رمز شريك الأعمال]],'SAP Customer Data'!$B:$B,0),CELL("col",Table_Customer_Data[[#Headers],[CreditLine]]))</f>
        <v>0</v>
      </c>
      <c r="Y21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2" s="37"/>
      <c r="AA21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2" s="37"/>
      <c r="AC212" s="37"/>
      <c r="AD21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2" s="37"/>
      <c r="AF212" s="37"/>
      <c r="AG21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2" s="37"/>
      <c r="AI212" s="37"/>
      <c r="AJ21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2" s="37"/>
      <c r="AL212" s="38"/>
      <c r="AM21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2" s="37"/>
      <c r="AO212" s="41"/>
      <c r="AP21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2" s="37"/>
      <c r="AR212" s="37"/>
      <c r="AS21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2" s="41" cm="1">
        <f t="array" aca="1" ref="AT212" ca="1">INDEX('SAP Customer Data'!A:Z,MATCH(بيانات_العملاء[[#This Row],[رمز شريك الأعمال]],'SAP Customer Data'!B:B,0),CELL("col",Table_Customer_Data[[#Headers],[CreateDate]]))</f>
        <v>44320</v>
      </c>
      <c r="AU212" s="37"/>
      <c r="AV212" s="41"/>
      <c r="AW212" s="37" t="s">
        <v>2097</v>
      </c>
      <c r="AX212" s="37"/>
    </row>
    <row r="213" spans="1:50" x14ac:dyDescent="0.25">
      <c r="A213" s="36" t="str" cm="1">
        <f t="array" aca="1" ref="A213" ca="1">INDEX('SAP Customer Data'!$A:$AC,MATCH(بيانات_العملاء[[#This Row],[رمز شريك الأعمال]],'SAP Customer Data'!$B:$B,0),CELL("col",Table_Customer_Data[[#Headers],[GroupName]]))</f>
        <v>CS03</v>
      </c>
      <c r="B213" s="42" t="s">
        <v>827</v>
      </c>
      <c r="C213" s="37" t="str" cm="1">
        <f t="array" aca="1" ref="C213" ca="1">INDEX('SAP Customer Data'!$A:$AC,MATCH(بيانات_العملاء[[#This Row],[رمز شريك الأعمال]],'SAP Customer Data'!$B:$B,0),CELL("col",Table_Customer_Data[[#Headers],[CardName]]))</f>
        <v>محل محمد احمد سعيد باجنيد للادوات الصحية  - نقدي</v>
      </c>
      <c r="D213" s="37" t="str">
        <f ca="1">IF(بيانات_العملاء[[#This Row],[حد الائتمان على SAP]]&gt;0,"آجل","نقدى")</f>
        <v>نقدى</v>
      </c>
      <c r="E213" s="37"/>
      <c r="F213" s="37" t="s">
        <v>1082</v>
      </c>
      <c r="G213" s="37"/>
      <c r="H21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3" s="37" t="s">
        <v>856</v>
      </c>
      <c r="J213" s="38"/>
      <c r="K213" s="37"/>
      <c r="L213" s="37" t="str">
        <f ca="1">IF(AND(بيانات_العملاء[[#This Row],[السجل التجارى]]="موجود",TODAY()+'Other Data'!$B$23&lt;J213,بيانات_العملاء[[#This Row],[مطابقة اسم العميل بالاسم بالسجل التجارى]]="مطابق"), "سارى", "يجب اعادة طلبه")</f>
        <v>يجب اعادة طلبه</v>
      </c>
      <c r="M213" s="37" t="s">
        <v>854</v>
      </c>
      <c r="N213" s="39" t="str" cm="1">
        <f t="array" aca="1" ref="N213" ca="1">INDEX('SAP Customer Data'!$A:$AC,MATCH(بيانات_العملاء[[#This Row],[رمز شريك الأعمال]],'SAP Customer Data'!$B:$B,0),CELL("col",Table_Customer_Data[[#Headers],[LicTradNum]]))</f>
        <v>310121652400003</v>
      </c>
      <c r="O21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3" s="37"/>
      <c r="Q213" s="38"/>
      <c r="R21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3" s="37" t="s">
        <v>1080</v>
      </c>
      <c r="T213" s="40"/>
      <c r="U213" s="41"/>
      <c r="V21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3" s="37" cm="1">
        <f t="array" aca="1" ref="X213" ca="1">INDEX('SAP Customer Data'!$A:$AC,MATCH(بيانات_العملاء[[#This Row],[رمز شريك الأعمال]],'SAP Customer Data'!$B:$B,0),CELL("col",Table_Customer_Data[[#Headers],[CreditLine]]))</f>
        <v>0</v>
      </c>
      <c r="Y21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3" s="37"/>
      <c r="AA21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3" s="37"/>
      <c r="AC213" s="37"/>
      <c r="AD21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3" s="37"/>
      <c r="AF213" s="37"/>
      <c r="AG21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3" s="37"/>
      <c r="AI213" s="37"/>
      <c r="AJ21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3" s="37"/>
      <c r="AL213" s="38"/>
      <c r="AM21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3" s="37"/>
      <c r="AO213" s="41"/>
      <c r="AP21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3" s="37"/>
      <c r="AR213" s="37"/>
      <c r="AS21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3" s="41" cm="1">
        <f t="array" aca="1" ref="AT213" ca="1">INDEX('SAP Customer Data'!A:Z,MATCH(بيانات_العملاء[[#This Row],[رمز شريك الأعمال]],'SAP Customer Data'!B:B,0),CELL("col",Table_Customer_Data[[#Headers],[CreateDate]]))</f>
        <v>44342</v>
      </c>
      <c r="AU213" s="37"/>
      <c r="AV213" s="41"/>
      <c r="AW213" s="37" t="s">
        <v>2097</v>
      </c>
      <c r="AX213" s="37"/>
    </row>
    <row r="214" spans="1:50" x14ac:dyDescent="0.25">
      <c r="A214" s="22" t="str" cm="1">
        <f t="array" aca="1" ref="A214" ca="1">INDEX('SAP Customer Data'!$A:$AC,MATCH(بيانات_العملاء[[#This Row],[رمز شريك الأعمال]],'SAP Customer Data'!$B:$B,0),CELL("col",Table_Customer_Data[[#Headers],[GroupName]]))</f>
        <v>CS03</v>
      </c>
      <c r="B214" s="34" t="s">
        <v>313</v>
      </c>
      <c r="C214" s="24" t="str" cm="1">
        <f t="array" aca="1" ref="C214" ca="1">INDEX('SAP Customer Data'!$A:$AC,MATCH(بيانات_العملاء[[#This Row],[رمز شريك الأعمال]],'SAP Customer Data'!$B:$B,0),CELL("col",Table_Customer_Data[[#Headers],[CardName]]))</f>
        <v>شركة الانارة الاولي للتجارة</v>
      </c>
      <c r="D214" s="24" t="str">
        <f ca="1">IF(بيانات_العملاء[[#This Row],[حد الائتمان على SAP]]&gt;0,"آجل","نقدى")</f>
        <v>آجل</v>
      </c>
      <c r="E214" s="24"/>
      <c r="F214" s="24" t="s">
        <v>1082</v>
      </c>
      <c r="G214" s="24" t="s">
        <v>856</v>
      </c>
      <c r="H214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4" s="24" t="s">
        <v>856</v>
      </c>
      <c r="J214" s="25"/>
      <c r="K214" s="24"/>
      <c r="L214" s="24" t="str">
        <f ca="1">IF(AND(بيانات_العملاء[[#This Row],[السجل التجارى]]="موجود",TODAY()+'Other Data'!$B$23&lt;J214,بيانات_العملاء[[#This Row],[مطابقة اسم العميل بالاسم بالسجل التجارى]]="مطابق"), "سارى", "يجب اعادة طلبه")</f>
        <v>يجب اعادة طلبه</v>
      </c>
      <c r="M214" s="24" t="s">
        <v>856</v>
      </c>
      <c r="N214" s="2" t="str" cm="1">
        <f t="array" aca="1" ref="N214" ca="1">INDEX('SAP Customer Data'!$A:$AC,MATCH(بيانات_العملاء[[#This Row],[رمز شريك الأعمال]],'SAP Customer Data'!$B:$B,0),CELL("col",Table_Customer_Data[[#Headers],[LicTradNum]]))</f>
        <v>310156620700003</v>
      </c>
      <c r="O214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14" s="15" t="s">
        <v>856</v>
      </c>
      <c r="Q214" s="25"/>
      <c r="R214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4" s="15" t="s">
        <v>856</v>
      </c>
      <c r="T214" s="27"/>
      <c r="U214" s="11"/>
      <c r="V214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4" s="24" cm="1">
        <f t="array" aca="1" ref="X214" ca="1">INDEX('SAP Customer Data'!$A:$AC,MATCH(بيانات_العملاء[[#This Row],[رمز شريك الأعمال]],'SAP Customer Data'!$B:$B,0),CELL("col",Table_Customer_Data[[#Headers],[CreditLine]]))</f>
        <v>24000</v>
      </c>
      <c r="Y21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214" s="37"/>
      <c r="AA21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14" s="15" t="s">
        <v>856</v>
      </c>
      <c r="AC214" s="24"/>
      <c r="AD214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4" s="15" t="s">
        <v>856</v>
      </c>
      <c r="AF214" s="24"/>
      <c r="AG214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4" s="15" t="s">
        <v>856</v>
      </c>
      <c r="AI214" s="24"/>
      <c r="AJ214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4" s="24"/>
      <c r="AL214" s="25"/>
      <c r="AM214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4" s="15" t="s">
        <v>856</v>
      </c>
      <c r="AO214" s="11"/>
      <c r="AP214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4" s="15" t="s">
        <v>856</v>
      </c>
      <c r="AR214" s="24"/>
      <c r="AS214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4" s="11" cm="1">
        <f t="array" aca="1" ref="AT214" ca="1">INDEX('SAP Customer Data'!A:Z,MATCH(بيانات_العملاء[[#This Row],[رمز شريك الأعمال]],'SAP Customer Data'!B:B,0),CELL("col",Table_Customer_Data[[#Headers],[CreateDate]]))</f>
        <v>43647</v>
      </c>
      <c r="AU214" s="24"/>
      <c r="AV214" s="33" t="s">
        <v>920</v>
      </c>
      <c r="AW214" s="24" t="s">
        <v>2097</v>
      </c>
      <c r="AX214" s="24"/>
    </row>
    <row r="215" spans="1:50" x14ac:dyDescent="0.25">
      <c r="A215" s="36" t="str" cm="1">
        <f t="array" aca="1" ref="A215" ca="1">INDEX('SAP Customer Data'!$A:$AC,MATCH(بيانات_العملاء[[#This Row],[رمز شريك الأعمال]],'SAP Customer Data'!$B:$B,0),CELL("col",Table_Customer_Data[[#Headers],[GroupName]]))</f>
        <v>CS03</v>
      </c>
      <c r="B215" s="42" t="s">
        <v>297</v>
      </c>
      <c r="C215" s="37" t="str" cm="1">
        <f t="array" aca="1" ref="C215" ca="1">INDEX('SAP Customer Data'!$A:$AC,MATCH(بيانات_العملاء[[#This Row],[رمز شريك الأعمال]],'SAP Customer Data'!$B:$B,0),CELL("col",Table_Customer_Data[[#Headers],[CardName]]))</f>
        <v>شركة شموس الدولية للطاقة - نقدي</v>
      </c>
      <c r="D215" s="37" t="str">
        <f ca="1">IF(بيانات_العملاء[[#This Row],[حد الائتمان على SAP]]&gt;0,"آجل","نقدى")</f>
        <v>نقدى</v>
      </c>
      <c r="E215" s="37"/>
      <c r="F215" s="37" t="s">
        <v>1082</v>
      </c>
      <c r="G215" s="37"/>
      <c r="H21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5" s="37" t="s">
        <v>856</v>
      </c>
      <c r="J215" s="38"/>
      <c r="K215" s="37"/>
      <c r="L215" s="37" t="str">
        <f ca="1">IF(AND(بيانات_العملاء[[#This Row],[السجل التجارى]]="موجود",TODAY()+'Other Data'!$B$23&lt;J215,بيانات_العملاء[[#This Row],[مطابقة اسم العميل بالاسم بالسجل التجارى]]="مطابق"), "سارى", "يجب اعادة طلبه")</f>
        <v>يجب اعادة طلبه</v>
      </c>
      <c r="M215" s="37" t="s">
        <v>854</v>
      </c>
      <c r="N215" s="39" t="str" cm="1">
        <f t="array" aca="1" ref="N215" ca="1">INDEX('SAP Customer Data'!$A:$AC,MATCH(بيانات_العملاء[[#This Row],[رمز شريك الأعمال]],'SAP Customer Data'!$B:$B,0),CELL("col",Table_Customer_Data[[#Headers],[LicTradNum]]))</f>
        <v>310274342200003</v>
      </c>
      <c r="O21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5" s="37"/>
      <c r="Q215" s="38"/>
      <c r="R21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5" s="37" t="s">
        <v>1080</v>
      </c>
      <c r="T215" s="40"/>
      <c r="U215" s="41"/>
      <c r="V21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5" s="37" cm="1">
        <f t="array" aca="1" ref="X215" ca="1">INDEX('SAP Customer Data'!$A:$AC,MATCH(بيانات_العملاء[[#This Row],[رمز شريك الأعمال]],'SAP Customer Data'!$B:$B,0),CELL("col",Table_Customer_Data[[#Headers],[CreditLine]]))</f>
        <v>0</v>
      </c>
      <c r="Y21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5" s="37"/>
      <c r="AA21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5" s="37"/>
      <c r="AC215" s="37"/>
      <c r="AD21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5" s="37"/>
      <c r="AF215" s="37"/>
      <c r="AG21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5" s="37"/>
      <c r="AI215" s="37"/>
      <c r="AJ21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5" s="37"/>
      <c r="AL215" s="38"/>
      <c r="AM21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5" s="37"/>
      <c r="AO215" s="41"/>
      <c r="AP21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5" s="37"/>
      <c r="AR215" s="37"/>
      <c r="AS21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5" s="41" cm="1">
        <f t="array" aca="1" ref="AT215" ca="1">INDEX('SAP Customer Data'!A:Z,MATCH(بيانات_العملاء[[#This Row],[رمز شريك الأعمال]],'SAP Customer Data'!B:B,0),CELL("col",Table_Customer_Data[[#Headers],[CreateDate]]))</f>
        <v>44425</v>
      </c>
      <c r="AU215" s="37"/>
      <c r="AV215" s="41"/>
      <c r="AW215" s="37" t="s">
        <v>2097</v>
      </c>
      <c r="AX215" s="37"/>
    </row>
    <row r="216" spans="1:50" x14ac:dyDescent="0.25">
      <c r="A216" s="36" t="str" cm="1">
        <f t="array" aca="1" ref="A216" ca="1">INDEX('SAP Customer Data'!$A:$AC,MATCH(بيانات_العملاء[[#This Row],[رمز شريك الأعمال]],'SAP Customer Data'!$B:$B,0),CELL("col",Table_Customer_Data[[#Headers],[GroupName]]))</f>
        <v>CS03</v>
      </c>
      <c r="B216" s="42" t="s">
        <v>405</v>
      </c>
      <c r="C216" s="37" t="str" cm="1">
        <f t="array" aca="1" ref="C216" ca="1">INDEX('SAP Customer Data'!$A:$AC,MATCH(بيانات_العملاء[[#This Row],[رمز شريك الأعمال]],'SAP Customer Data'!$B:$B,0),CELL("col",Table_Customer_Data[[#Headers],[CardName]]))</f>
        <v>مؤسسة مكعب الاضاءة التجارية -نقدي</v>
      </c>
      <c r="D216" s="37" t="str">
        <f ca="1">IF(بيانات_العملاء[[#This Row],[حد الائتمان على SAP]]&gt;0,"آجل","نقدى")</f>
        <v>نقدى</v>
      </c>
      <c r="E216" s="37"/>
      <c r="F216" s="37" t="s">
        <v>1082</v>
      </c>
      <c r="G216" s="37"/>
      <c r="H21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6" s="37" t="s">
        <v>856</v>
      </c>
      <c r="J216" s="38"/>
      <c r="K216" s="37"/>
      <c r="L216" s="37" t="str">
        <f ca="1">IF(AND(بيانات_العملاء[[#This Row],[السجل التجارى]]="موجود",TODAY()+'Other Data'!$B$23&lt;J216,بيانات_العملاء[[#This Row],[مطابقة اسم العميل بالاسم بالسجل التجارى]]="مطابق"), "سارى", "يجب اعادة طلبه")</f>
        <v>يجب اعادة طلبه</v>
      </c>
      <c r="M216" s="37" t="s">
        <v>854</v>
      </c>
      <c r="N216" s="39" t="str" cm="1">
        <f t="array" aca="1" ref="N216" ca="1">INDEX('SAP Customer Data'!$A:$AC,MATCH(بيانات_العملاء[[#This Row],[رمز شريك الأعمال]],'SAP Customer Data'!$B:$B,0),CELL("col",Table_Customer_Data[[#Headers],[LicTradNum]]))</f>
        <v>310286323700003</v>
      </c>
      <c r="O21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6" s="37"/>
      <c r="Q216" s="38"/>
      <c r="R21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6" s="37" t="s">
        <v>1080</v>
      </c>
      <c r="T216" s="40"/>
      <c r="U216" s="41"/>
      <c r="V21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6" s="37" cm="1">
        <f t="array" aca="1" ref="X216" ca="1">INDEX('SAP Customer Data'!$A:$AC,MATCH(بيانات_العملاء[[#This Row],[رمز شريك الأعمال]],'SAP Customer Data'!$B:$B,0),CELL("col",Table_Customer_Data[[#Headers],[CreditLine]]))</f>
        <v>0</v>
      </c>
      <c r="Y21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6" s="37"/>
      <c r="AA21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6" s="37"/>
      <c r="AC216" s="37"/>
      <c r="AD21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6" s="37"/>
      <c r="AF216" s="37"/>
      <c r="AG21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6" s="37"/>
      <c r="AI216" s="37"/>
      <c r="AJ21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6" s="37"/>
      <c r="AL216" s="38"/>
      <c r="AM21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6" s="37"/>
      <c r="AO216" s="41"/>
      <c r="AP21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6" s="37"/>
      <c r="AR216" s="37"/>
      <c r="AS21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6" s="41" cm="1">
        <f t="array" aca="1" ref="AT216" ca="1">INDEX('SAP Customer Data'!A:Z,MATCH(بيانات_العملاء[[#This Row],[رمز شريك الأعمال]],'SAP Customer Data'!B:B,0),CELL("col",Table_Customer_Data[[#Headers],[CreateDate]]))</f>
        <v>44206</v>
      </c>
      <c r="AU216" s="37"/>
      <c r="AV216" s="41"/>
      <c r="AW216" s="37" t="s">
        <v>2097</v>
      </c>
      <c r="AX216" s="37"/>
    </row>
    <row r="217" spans="1:50" x14ac:dyDescent="0.25">
      <c r="A217" s="36" t="str" cm="1">
        <f t="array" aca="1" ref="A217" ca="1">INDEX('SAP Customer Data'!$A:$AC,MATCH(بيانات_العملاء[[#This Row],[رمز شريك الأعمال]],'SAP Customer Data'!$B:$B,0),CELL("col",Table_Customer_Data[[#Headers],[GroupName]]))</f>
        <v>CS03</v>
      </c>
      <c r="B217" s="42" t="s">
        <v>824</v>
      </c>
      <c r="C217" s="37" t="str" cm="1">
        <f t="array" aca="1" ref="C217" ca="1">INDEX('SAP Customer Data'!$A:$AC,MATCH(بيانات_العملاء[[#This Row],[رمز شريك الأعمال]],'SAP Customer Data'!$B:$B,0),CELL("col",Table_Customer_Data[[#Headers],[CardName]]))</f>
        <v>مؤسسة قمة كنوز للتجارة - نقدي</v>
      </c>
      <c r="D217" s="37" t="str">
        <f ca="1">IF(بيانات_العملاء[[#This Row],[حد الائتمان على SAP]]&gt;0,"آجل","نقدى")</f>
        <v>نقدى</v>
      </c>
      <c r="E217" s="37"/>
      <c r="F217" s="37" t="s">
        <v>1082</v>
      </c>
      <c r="G217" s="37"/>
      <c r="H21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7" s="37" t="s">
        <v>856</v>
      </c>
      <c r="J217" s="38"/>
      <c r="K217" s="37"/>
      <c r="L217" s="37" t="str">
        <f ca="1">IF(AND(بيانات_العملاء[[#This Row],[السجل التجارى]]="موجود",TODAY()+'Other Data'!$B$23&lt;J217,بيانات_العملاء[[#This Row],[مطابقة اسم العميل بالاسم بالسجل التجارى]]="مطابق"), "سارى", "يجب اعادة طلبه")</f>
        <v>يجب اعادة طلبه</v>
      </c>
      <c r="M217" s="37" t="s">
        <v>854</v>
      </c>
      <c r="N217" s="39" t="str" cm="1">
        <f t="array" aca="1" ref="N217" ca="1">INDEX('SAP Customer Data'!$A:$AC,MATCH(بيانات_العملاء[[#This Row],[رمز شريك الأعمال]],'SAP Customer Data'!$B:$B,0),CELL("col",Table_Customer_Data[[#Headers],[LicTradNum]]))</f>
        <v>310294087800003</v>
      </c>
      <c r="O21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7" s="37"/>
      <c r="Q217" s="38"/>
      <c r="R21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7" s="37" t="s">
        <v>1080</v>
      </c>
      <c r="T217" s="40"/>
      <c r="U217" s="41"/>
      <c r="V21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7" s="37" cm="1">
        <f t="array" aca="1" ref="X217" ca="1">INDEX('SAP Customer Data'!$A:$AC,MATCH(بيانات_العملاء[[#This Row],[رمز شريك الأعمال]],'SAP Customer Data'!$B:$B,0),CELL("col",Table_Customer_Data[[#Headers],[CreditLine]]))</f>
        <v>0</v>
      </c>
      <c r="Y21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7" s="37"/>
      <c r="AA21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7" s="37"/>
      <c r="AC217" s="37"/>
      <c r="AD21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7" s="37"/>
      <c r="AF217" s="37"/>
      <c r="AG21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7" s="37"/>
      <c r="AI217" s="37"/>
      <c r="AJ21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7" s="37"/>
      <c r="AL217" s="38"/>
      <c r="AM21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7" s="37"/>
      <c r="AO217" s="41"/>
      <c r="AP21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7" s="37"/>
      <c r="AR217" s="37"/>
      <c r="AS21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7" s="41" cm="1">
        <f t="array" aca="1" ref="AT217" ca="1">INDEX('SAP Customer Data'!A:Z,MATCH(بيانات_العملاء[[#This Row],[رمز شريك الأعمال]],'SAP Customer Data'!B:B,0),CELL("col",Table_Customer_Data[[#Headers],[CreateDate]]))</f>
        <v>44338</v>
      </c>
      <c r="AU217" s="37"/>
      <c r="AV217" s="41"/>
      <c r="AW217" s="37" t="s">
        <v>2097</v>
      </c>
      <c r="AX217" s="37"/>
    </row>
    <row r="218" spans="1:50" x14ac:dyDescent="0.25">
      <c r="A218" s="36" t="str" cm="1">
        <f t="array" aca="1" ref="A218" ca="1">INDEX('SAP Customer Data'!$A:$AC,MATCH(بيانات_العملاء[[#This Row],[رمز شريك الأعمال]],'SAP Customer Data'!$B:$B,0),CELL("col",Table_Customer_Data[[#Headers],[GroupName]]))</f>
        <v>CS03</v>
      </c>
      <c r="B218" s="42" t="s">
        <v>239</v>
      </c>
      <c r="C218" s="37" t="str" cm="1">
        <f t="array" aca="1" ref="C218" ca="1">INDEX('SAP Customer Data'!$A:$AC,MATCH(بيانات_العملاء[[#This Row],[رمز شريك الأعمال]],'SAP Customer Data'!$B:$B,0),CELL("col",Table_Customer_Data[[#Headers],[CardName]]))</f>
        <v>مؤسسة رقم الف للادوات الكهربائية  -نقدي</v>
      </c>
      <c r="D218" s="37" t="str">
        <f ca="1">IF(بيانات_العملاء[[#This Row],[حد الائتمان على SAP]]&gt;0,"آجل","نقدى")</f>
        <v>نقدى</v>
      </c>
      <c r="E218" s="37"/>
      <c r="F218" s="37" t="s">
        <v>1082</v>
      </c>
      <c r="G218" s="37"/>
      <c r="H21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8" s="37" t="s">
        <v>856</v>
      </c>
      <c r="J218" s="38"/>
      <c r="K218" s="37"/>
      <c r="L218" s="37" t="str">
        <f ca="1">IF(AND(بيانات_العملاء[[#This Row],[السجل التجارى]]="موجود",TODAY()+'Other Data'!$B$23&lt;J218,بيانات_العملاء[[#This Row],[مطابقة اسم العميل بالاسم بالسجل التجارى]]="مطابق"), "سارى", "يجب اعادة طلبه")</f>
        <v>يجب اعادة طلبه</v>
      </c>
      <c r="M218" s="37" t="s">
        <v>856</v>
      </c>
      <c r="N218" s="39" t="str" cm="1">
        <f t="array" aca="1" ref="N218" ca="1">INDEX('SAP Customer Data'!$A:$AC,MATCH(بيانات_العملاء[[#This Row],[رمز شريك الأعمال]],'SAP Customer Data'!$B:$B,0),CELL("col",Table_Customer_Data[[#Headers],[LicTradNum]]))</f>
        <v>310305319300003</v>
      </c>
      <c r="O21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18" s="37" t="s">
        <v>856</v>
      </c>
      <c r="Q218" s="38"/>
      <c r="R21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8" s="37" t="s">
        <v>1080</v>
      </c>
      <c r="T218" s="40"/>
      <c r="U218" s="41"/>
      <c r="V21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8" s="37" cm="1">
        <f t="array" aca="1" ref="X218" ca="1">INDEX('SAP Customer Data'!$A:$AC,MATCH(بيانات_العملاء[[#This Row],[رمز شريك الأعمال]],'SAP Customer Data'!$B:$B,0),CELL("col",Table_Customer_Data[[#Headers],[CreditLine]]))</f>
        <v>0</v>
      </c>
      <c r="Y21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8" s="37"/>
      <c r="AA21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8" s="37"/>
      <c r="AC218" s="37"/>
      <c r="AD21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8" s="37"/>
      <c r="AF218" s="37"/>
      <c r="AG21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8" s="37"/>
      <c r="AI218" s="37"/>
      <c r="AJ21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8" s="37"/>
      <c r="AL218" s="38"/>
      <c r="AM21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8" s="37"/>
      <c r="AO218" s="41"/>
      <c r="AP21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8" s="37"/>
      <c r="AR218" s="37"/>
      <c r="AS21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8" s="41" cm="1">
        <f t="array" aca="1" ref="AT218" ca="1">INDEX('SAP Customer Data'!A:Z,MATCH(بيانات_العملاء[[#This Row],[رمز شريك الأعمال]],'SAP Customer Data'!B:B,0),CELL("col",Table_Customer_Data[[#Headers],[CreateDate]]))</f>
        <v>44541</v>
      </c>
      <c r="AU218" s="37"/>
      <c r="AV218" s="41"/>
      <c r="AW218" s="37" t="s">
        <v>2097</v>
      </c>
      <c r="AX218" s="37"/>
    </row>
    <row r="219" spans="1:50" x14ac:dyDescent="0.25">
      <c r="A219" s="36" t="str" cm="1">
        <f t="array" aca="1" ref="A219" ca="1">INDEX('SAP Customer Data'!$A:$AC,MATCH(بيانات_العملاء[[#This Row],[رمز شريك الأعمال]],'SAP Customer Data'!$B:$B,0),CELL("col",Table_Customer_Data[[#Headers],[GroupName]]))</f>
        <v>CS03</v>
      </c>
      <c r="B219" s="42" t="s">
        <v>393</v>
      </c>
      <c r="C219" s="37" t="str" cm="1">
        <f t="array" aca="1" ref="C219" ca="1">INDEX('SAP Customer Data'!$A:$AC,MATCH(بيانات_العملاء[[#This Row],[رمز شريك الأعمال]],'SAP Customer Data'!$B:$B,0),CELL("col",Table_Customer_Data[[#Headers],[CardName]]))</f>
        <v>شركة نسما الدولية للتجارة - نقدي</v>
      </c>
      <c r="D219" s="37" t="str">
        <f ca="1">IF(بيانات_العملاء[[#This Row],[حد الائتمان على SAP]]&gt;0,"آجل","نقدى")</f>
        <v>نقدى</v>
      </c>
      <c r="E219" s="37"/>
      <c r="F219" s="37" t="s">
        <v>1082</v>
      </c>
      <c r="G219" s="37"/>
      <c r="H21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19" s="37" t="s">
        <v>856</v>
      </c>
      <c r="J219" s="38"/>
      <c r="K219" s="37"/>
      <c r="L219" s="37" t="str">
        <f ca="1">IF(AND(بيانات_العملاء[[#This Row],[السجل التجارى]]="موجود",TODAY()+'Other Data'!$B$23&lt;J219,بيانات_العملاء[[#This Row],[مطابقة اسم العميل بالاسم بالسجل التجارى]]="مطابق"), "سارى", "يجب اعادة طلبه")</f>
        <v>يجب اعادة طلبه</v>
      </c>
      <c r="M219" s="37" t="s">
        <v>854</v>
      </c>
      <c r="N219" s="39" t="str" cm="1">
        <f t="array" aca="1" ref="N219" ca="1">INDEX('SAP Customer Data'!$A:$AC,MATCH(بيانات_العملاء[[#This Row],[رمز شريك الأعمال]],'SAP Customer Data'!$B:$B,0),CELL("col",Table_Customer_Data[[#Headers],[LicTradNum]]))</f>
        <v>311229393700003</v>
      </c>
      <c r="O21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19" s="37"/>
      <c r="Q219" s="38"/>
      <c r="R21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19" s="37" t="s">
        <v>1080</v>
      </c>
      <c r="T219" s="40"/>
      <c r="U219" s="41"/>
      <c r="V21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1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19" s="37" cm="1">
        <f t="array" aca="1" ref="X219" ca="1">INDEX('SAP Customer Data'!$A:$AC,MATCH(بيانات_العملاء[[#This Row],[رمز شريك الأعمال]],'SAP Customer Data'!$B:$B,0),CELL("col",Table_Customer_Data[[#Headers],[CreditLine]]))</f>
        <v>0</v>
      </c>
      <c r="Y21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19" s="37"/>
      <c r="AA21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19" s="37"/>
      <c r="AC219" s="37"/>
      <c r="AD21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19" s="37"/>
      <c r="AF219" s="37"/>
      <c r="AG21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19" s="37"/>
      <c r="AI219" s="37"/>
      <c r="AJ21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19" s="37"/>
      <c r="AL219" s="38"/>
      <c r="AM21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19" s="37"/>
      <c r="AO219" s="41"/>
      <c r="AP21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19" s="37"/>
      <c r="AR219" s="37"/>
      <c r="AS21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19" s="41" cm="1">
        <f t="array" aca="1" ref="AT219" ca="1">INDEX('SAP Customer Data'!A:Z,MATCH(بيانات_العملاء[[#This Row],[رمز شريك الأعمال]],'SAP Customer Data'!B:B,0),CELL("col",Table_Customer_Data[[#Headers],[CreateDate]]))</f>
        <v>44520</v>
      </c>
      <c r="AU219" s="37"/>
      <c r="AV219" s="41"/>
      <c r="AW219" s="37" t="s">
        <v>2097</v>
      </c>
      <c r="AX219" s="37"/>
    </row>
    <row r="220" spans="1:50" x14ac:dyDescent="0.25">
      <c r="A220" s="36" t="str" cm="1">
        <f t="array" aca="1" ref="A220" ca="1">INDEX('SAP Customer Data'!$A:$AC,MATCH(بيانات_العملاء[[#This Row],[رمز شريك الأعمال]],'SAP Customer Data'!$B:$B,0),CELL("col",Table_Customer_Data[[#Headers],[GroupName]]))</f>
        <v>CS04</v>
      </c>
      <c r="B220" s="42" t="s">
        <v>770</v>
      </c>
      <c r="C220" s="37" t="str" cm="1">
        <f t="array" aca="1" ref="C220" ca="1">INDEX('SAP Customer Data'!$A:$AC,MATCH(بيانات_العملاء[[#This Row],[رمز شريك الأعمال]],'SAP Customer Data'!$B:$B,0),CELL("col",Table_Customer_Data[[#Headers],[CardName]]))</f>
        <v>محل العنقي - نقدى</v>
      </c>
      <c r="D220" s="37" t="str">
        <f ca="1">IF(بيانات_العملاء[[#This Row],[حد الائتمان على SAP]]&gt;0,"آجل","نقدى")</f>
        <v>نقدى</v>
      </c>
      <c r="E220" s="37"/>
      <c r="F220" s="37" t="s">
        <v>1082</v>
      </c>
      <c r="G220" s="37"/>
      <c r="H22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0" s="37" t="s">
        <v>856</v>
      </c>
      <c r="J220" s="38"/>
      <c r="K220" s="37"/>
      <c r="L220" s="37" t="str">
        <f ca="1">IF(AND(بيانات_العملاء[[#This Row],[السجل التجارى]]="موجود",TODAY()+'Other Data'!$B$23&lt;J220,بيانات_العملاء[[#This Row],[مطابقة اسم العميل بالاسم بالسجل التجارى]]="مطابق"), "سارى", "يجب اعادة طلبه")</f>
        <v>يجب اعادة طلبه</v>
      </c>
      <c r="M220" s="37" t="s">
        <v>856</v>
      </c>
      <c r="N220" s="39" cm="1">
        <f t="array" aca="1" ref="N220" ca="1">INDEX('SAP Customer Data'!$A:$AC,MATCH(بيانات_العملاء[[#This Row],[رمز شريك الأعمال]],'SAP Customer Data'!$B:$B,0),CELL("col",Table_Customer_Data[[#Headers],[LicTradNum]]))</f>
        <v>0</v>
      </c>
      <c r="O22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0" s="37"/>
      <c r="Q220" s="38"/>
      <c r="R22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0" s="37" t="s">
        <v>1080</v>
      </c>
      <c r="T220" s="40"/>
      <c r="U220" s="41"/>
      <c r="V22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0" s="37" cm="1">
        <f t="array" aca="1" ref="X220" ca="1">INDEX('SAP Customer Data'!$A:$AC,MATCH(بيانات_العملاء[[#This Row],[رمز شريك الأعمال]],'SAP Customer Data'!$B:$B,0),CELL("col",Table_Customer_Data[[#Headers],[CreditLine]]))</f>
        <v>0</v>
      </c>
      <c r="Y22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0" s="37"/>
      <c r="AA22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0" s="37"/>
      <c r="AC220" s="37"/>
      <c r="AD22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0" s="37"/>
      <c r="AF220" s="37"/>
      <c r="AG22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0" s="37"/>
      <c r="AI220" s="37"/>
      <c r="AJ22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0" s="37"/>
      <c r="AL220" s="38"/>
      <c r="AM22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0" s="37"/>
      <c r="AO220" s="41"/>
      <c r="AP22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0" s="37"/>
      <c r="AR220" s="37"/>
      <c r="AS22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0" s="41" cm="1">
        <f t="array" aca="1" ref="AT220" ca="1">INDEX('SAP Customer Data'!A:Z,MATCH(بيانات_العملاء[[#This Row],[رمز شريك الأعمال]],'SAP Customer Data'!B:B,0),CELL("col",Table_Customer_Data[[#Headers],[CreateDate]]))</f>
        <v>43581</v>
      </c>
      <c r="AU220" s="37"/>
      <c r="AV220" s="41"/>
      <c r="AW220" s="37" t="s">
        <v>2097</v>
      </c>
      <c r="AX220" s="37"/>
    </row>
    <row r="221" spans="1:50" x14ac:dyDescent="0.25">
      <c r="A221" s="36" t="str" cm="1">
        <f t="array" aca="1" ref="A221" ca="1">INDEX('SAP Customer Data'!$A:$AC,MATCH(بيانات_العملاء[[#This Row],[رمز شريك الأعمال]],'SAP Customer Data'!$B:$B,0),CELL("col",Table_Customer_Data[[#Headers],[GroupName]]))</f>
        <v>CS04</v>
      </c>
      <c r="B221" s="42" t="s">
        <v>771</v>
      </c>
      <c r="C221" s="37" t="str" cm="1">
        <f t="array" aca="1" ref="C221" ca="1">INDEX('SAP Customer Data'!$A:$AC,MATCH(بيانات_العملاء[[#This Row],[رمز شريك الأعمال]],'SAP Customer Data'!$B:$B,0),CELL("col",Table_Customer_Data[[#Headers],[CardName]]))</f>
        <v>صالة فلاح الشمري الرياضية - نقدى</v>
      </c>
      <c r="D221" s="37" t="str">
        <f ca="1">IF(بيانات_العملاء[[#This Row],[حد الائتمان على SAP]]&gt;0,"آجل","نقدى")</f>
        <v>نقدى</v>
      </c>
      <c r="E221" s="37"/>
      <c r="F221" s="37" t="s">
        <v>1082</v>
      </c>
      <c r="G221" s="37"/>
      <c r="H22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1" s="37" t="s">
        <v>856</v>
      </c>
      <c r="J221" s="38"/>
      <c r="K221" s="37"/>
      <c r="L221" s="37" t="str">
        <f ca="1">IF(AND(بيانات_العملاء[[#This Row],[السجل التجارى]]="موجود",TODAY()+'Other Data'!$B$23&lt;J221,بيانات_العملاء[[#This Row],[مطابقة اسم العميل بالاسم بالسجل التجارى]]="مطابق"), "سارى", "يجب اعادة طلبه")</f>
        <v>يجب اعادة طلبه</v>
      </c>
      <c r="M221" s="37" t="s">
        <v>856</v>
      </c>
      <c r="N221" s="39" cm="1">
        <f t="array" aca="1" ref="N221" ca="1">INDEX('SAP Customer Data'!$A:$AC,MATCH(بيانات_العملاء[[#This Row],[رمز شريك الأعمال]],'SAP Customer Data'!$B:$B,0),CELL("col",Table_Customer_Data[[#Headers],[LicTradNum]]))</f>
        <v>0</v>
      </c>
      <c r="O22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1" s="37"/>
      <c r="Q221" s="38"/>
      <c r="R22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1" s="37" t="s">
        <v>1080</v>
      </c>
      <c r="T221" s="40"/>
      <c r="U221" s="41"/>
      <c r="V22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1" s="37" cm="1">
        <f t="array" aca="1" ref="X221" ca="1">INDEX('SAP Customer Data'!$A:$AC,MATCH(بيانات_العملاء[[#This Row],[رمز شريك الأعمال]],'SAP Customer Data'!$B:$B,0),CELL("col",Table_Customer_Data[[#Headers],[CreditLine]]))</f>
        <v>0</v>
      </c>
      <c r="Y22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1" s="37"/>
      <c r="AA22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1" s="37"/>
      <c r="AC221" s="37"/>
      <c r="AD22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1" s="37"/>
      <c r="AF221" s="37"/>
      <c r="AG22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1" s="37"/>
      <c r="AI221" s="37"/>
      <c r="AJ22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1" s="37"/>
      <c r="AL221" s="38"/>
      <c r="AM22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1" s="37"/>
      <c r="AO221" s="41"/>
      <c r="AP22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1" s="37"/>
      <c r="AR221" s="37"/>
      <c r="AS22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1" s="41" cm="1">
        <f t="array" aca="1" ref="AT221" ca="1">INDEX('SAP Customer Data'!A:Z,MATCH(بيانات_العملاء[[#This Row],[رمز شريك الأعمال]],'SAP Customer Data'!B:B,0),CELL("col",Table_Customer_Data[[#Headers],[CreateDate]]))</f>
        <v>43581</v>
      </c>
      <c r="AU221" s="37"/>
      <c r="AV221" s="41"/>
      <c r="AW221" s="37" t="s">
        <v>2097</v>
      </c>
      <c r="AX221" s="37"/>
    </row>
    <row r="222" spans="1:50" x14ac:dyDescent="0.25">
      <c r="A222" s="36" t="str" cm="1">
        <f t="array" aca="1" ref="A222" ca="1">INDEX('SAP Customer Data'!$A:$AC,MATCH(بيانات_العملاء[[#This Row],[رمز شريك الأعمال]],'SAP Customer Data'!$B:$B,0),CELL("col",Table_Customer_Data[[#Headers],[GroupName]]))</f>
        <v>CS04</v>
      </c>
      <c r="B222" s="42" t="s">
        <v>772</v>
      </c>
      <c r="C222" s="37" t="str" cm="1">
        <f t="array" aca="1" ref="C222" ca="1">INDEX('SAP Customer Data'!$A:$AC,MATCH(بيانات_العملاء[[#This Row],[رمز شريك الأعمال]],'SAP Customer Data'!$B:$B,0),CELL("col",Table_Customer_Data[[#Headers],[CardName]]))</f>
        <v>محل النخبة - الذيبية - نقدى</v>
      </c>
      <c r="D222" s="37" t="str">
        <f ca="1">IF(بيانات_العملاء[[#This Row],[حد الائتمان على SAP]]&gt;0,"آجل","نقدى")</f>
        <v>نقدى</v>
      </c>
      <c r="E222" s="37"/>
      <c r="F222" s="37" t="s">
        <v>1082</v>
      </c>
      <c r="G222" s="37"/>
      <c r="H22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2" s="37" t="s">
        <v>856</v>
      </c>
      <c r="J222" s="38"/>
      <c r="K222" s="37"/>
      <c r="L222" s="37" t="str">
        <f ca="1">IF(AND(بيانات_العملاء[[#This Row],[السجل التجارى]]="موجود",TODAY()+'Other Data'!$B$23&lt;J222,بيانات_العملاء[[#This Row],[مطابقة اسم العميل بالاسم بالسجل التجارى]]="مطابق"), "سارى", "يجب اعادة طلبه")</f>
        <v>يجب اعادة طلبه</v>
      </c>
      <c r="M222" s="37" t="s">
        <v>856</v>
      </c>
      <c r="N222" s="39" cm="1">
        <f t="array" aca="1" ref="N222" ca="1">INDEX('SAP Customer Data'!$A:$AC,MATCH(بيانات_العملاء[[#This Row],[رمز شريك الأعمال]],'SAP Customer Data'!$B:$B,0),CELL("col",Table_Customer_Data[[#Headers],[LicTradNum]]))</f>
        <v>0</v>
      </c>
      <c r="O22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2" s="37"/>
      <c r="Q222" s="38"/>
      <c r="R22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2" s="37" t="s">
        <v>1080</v>
      </c>
      <c r="T222" s="40"/>
      <c r="U222" s="41"/>
      <c r="V22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2" s="37" cm="1">
        <f t="array" aca="1" ref="X222" ca="1">INDEX('SAP Customer Data'!$A:$AC,MATCH(بيانات_العملاء[[#This Row],[رمز شريك الأعمال]],'SAP Customer Data'!$B:$B,0),CELL("col",Table_Customer_Data[[#Headers],[CreditLine]]))</f>
        <v>0</v>
      </c>
      <c r="Y22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2" s="37"/>
      <c r="AA22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2" s="37"/>
      <c r="AC222" s="37"/>
      <c r="AD22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2" s="37"/>
      <c r="AF222" s="37"/>
      <c r="AG22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2" s="37"/>
      <c r="AI222" s="37"/>
      <c r="AJ22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2" s="37"/>
      <c r="AL222" s="38"/>
      <c r="AM22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2" s="37"/>
      <c r="AO222" s="41"/>
      <c r="AP22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2" s="37"/>
      <c r="AR222" s="37"/>
      <c r="AS22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2" s="41" cm="1">
        <f t="array" aca="1" ref="AT222" ca="1">INDEX('SAP Customer Data'!A:Z,MATCH(بيانات_العملاء[[#This Row],[رمز شريك الأعمال]],'SAP Customer Data'!B:B,0),CELL("col",Table_Customer_Data[[#Headers],[CreateDate]]))</f>
        <v>43581</v>
      </c>
      <c r="AU222" s="37"/>
      <c r="AV222" s="41"/>
      <c r="AW222" s="37" t="s">
        <v>2097</v>
      </c>
      <c r="AX222" s="37"/>
    </row>
    <row r="223" spans="1:50" x14ac:dyDescent="0.25">
      <c r="A223" s="36" t="str" cm="1">
        <f t="array" aca="1" ref="A223" ca="1">INDEX('SAP Customer Data'!$A:$AC,MATCH(بيانات_العملاء[[#This Row],[رمز شريك الأعمال]],'SAP Customer Data'!$B:$B,0),CELL("col",Table_Customer_Data[[#Headers],[GroupName]]))</f>
        <v>CS04</v>
      </c>
      <c r="B223" s="42" t="s">
        <v>773</v>
      </c>
      <c r="C223" s="37" t="str" cm="1">
        <f t="array" aca="1" ref="C223" ca="1">INDEX('SAP Customer Data'!$A:$AC,MATCH(بيانات_العملاء[[#This Row],[رمز شريك الأعمال]],'SAP Customer Data'!$B:$B,0),CELL("col",Table_Customer_Data[[#Headers],[CardName]]))</f>
        <v>محل ابو خالد المطيري - نقدى</v>
      </c>
      <c r="D223" s="37" t="str">
        <f ca="1">IF(بيانات_العملاء[[#This Row],[حد الائتمان على SAP]]&gt;0,"آجل","نقدى")</f>
        <v>نقدى</v>
      </c>
      <c r="E223" s="37"/>
      <c r="F223" s="37" t="s">
        <v>1082</v>
      </c>
      <c r="G223" s="37"/>
      <c r="H22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3" s="37" t="s">
        <v>856</v>
      </c>
      <c r="J223" s="38"/>
      <c r="K223" s="37"/>
      <c r="L223" s="37" t="str">
        <f ca="1">IF(AND(بيانات_العملاء[[#This Row],[السجل التجارى]]="موجود",TODAY()+'Other Data'!$B$23&lt;J223,بيانات_العملاء[[#This Row],[مطابقة اسم العميل بالاسم بالسجل التجارى]]="مطابق"), "سارى", "يجب اعادة طلبه")</f>
        <v>يجب اعادة طلبه</v>
      </c>
      <c r="M223" s="37" t="s">
        <v>856</v>
      </c>
      <c r="N223" s="39" cm="1">
        <f t="array" aca="1" ref="N223" ca="1">INDEX('SAP Customer Data'!$A:$AC,MATCH(بيانات_العملاء[[#This Row],[رمز شريك الأعمال]],'SAP Customer Data'!$B:$B,0),CELL("col",Table_Customer_Data[[#Headers],[LicTradNum]]))</f>
        <v>0</v>
      </c>
      <c r="O22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3" s="37"/>
      <c r="Q223" s="38"/>
      <c r="R22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3" s="37" t="s">
        <v>1080</v>
      </c>
      <c r="T223" s="40"/>
      <c r="U223" s="41"/>
      <c r="V22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3" s="37" cm="1">
        <f t="array" aca="1" ref="X223" ca="1">INDEX('SAP Customer Data'!$A:$AC,MATCH(بيانات_العملاء[[#This Row],[رمز شريك الأعمال]],'SAP Customer Data'!$B:$B,0),CELL("col",Table_Customer_Data[[#Headers],[CreditLine]]))</f>
        <v>0</v>
      </c>
      <c r="Y22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3" s="37"/>
      <c r="AA22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3" s="37"/>
      <c r="AC223" s="37"/>
      <c r="AD22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3" s="37"/>
      <c r="AF223" s="37"/>
      <c r="AG22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3" s="37"/>
      <c r="AI223" s="37"/>
      <c r="AJ22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3" s="37"/>
      <c r="AL223" s="38"/>
      <c r="AM22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3" s="37"/>
      <c r="AO223" s="41"/>
      <c r="AP22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3" s="37"/>
      <c r="AR223" s="37"/>
      <c r="AS22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3" s="41" cm="1">
        <f t="array" aca="1" ref="AT223" ca="1">INDEX('SAP Customer Data'!A:Z,MATCH(بيانات_العملاء[[#This Row],[رمز شريك الأعمال]],'SAP Customer Data'!B:B,0),CELL("col",Table_Customer_Data[[#Headers],[CreateDate]]))</f>
        <v>43581</v>
      </c>
      <c r="AU223" s="37"/>
      <c r="AV223" s="41"/>
      <c r="AW223" s="37" t="s">
        <v>2097</v>
      </c>
      <c r="AX223" s="37"/>
    </row>
    <row r="224" spans="1:50" x14ac:dyDescent="0.25">
      <c r="A224" s="36" t="str" cm="1">
        <f t="array" aca="1" ref="A224" ca="1">INDEX('SAP Customer Data'!$A:$AC,MATCH(بيانات_العملاء[[#This Row],[رمز شريك الأعمال]],'SAP Customer Data'!$B:$B,0),CELL("col",Table_Customer_Data[[#Headers],[GroupName]]))</f>
        <v>CS04</v>
      </c>
      <c r="B224" s="42" t="s">
        <v>777</v>
      </c>
      <c r="C224" s="37" t="str" cm="1">
        <f t="array" aca="1" ref="C224" ca="1">INDEX('SAP Customer Data'!$A:$AC,MATCH(بيانات_العملاء[[#This Row],[رمز شريك الأعمال]],'SAP Customer Data'!$B:$B,0),CELL("col",Table_Customer_Data[[#Headers],[CardName]]))</f>
        <v>التويجري للمستلزمات الرجالية -حفر الباطن- نقدى</v>
      </c>
      <c r="D224" s="37" t="str">
        <f ca="1">IF(بيانات_العملاء[[#This Row],[حد الائتمان على SAP]]&gt;0,"آجل","نقدى")</f>
        <v>نقدى</v>
      </c>
      <c r="E224" s="37"/>
      <c r="F224" s="37" t="s">
        <v>1082</v>
      </c>
      <c r="G224" s="37"/>
      <c r="H22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4" s="37" t="s">
        <v>856</v>
      </c>
      <c r="J224" s="38"/>
      <c r="K224" s="37"/>
      <c r="L224" s="37" t="str">
        <f ca="1">IF(AND(بيانات_العملاء[[#This Row],[السجل التجارى]]="موجود",TODAY()+'Other Data'!$B$23&lt;J224,بيانات_العملاء[[#This Row],[مطابقة اسم العميل بالاسم بالسجل التجارى]]="مطابق"), "سارى", "يجب اعادة طلبه")</f>
        <v>يجب اعادة طلبه</v>
      </c>
      <c r="M224" s="37" t="s">
        <v>856</v>
      </c>
      <c r="N224" s="39" cm="1">
        <f t="array" aca="1" ref="N224" ca="1">INDEX('SAP Customer Data'!$A:$AC,MATCH(بيانات_العملاء[[#This Row],[رمز شريك الأعمال]],'SAP Customer Data'!$B:$B,0),CELL("col",Table_Customer_Data[[#Headers],[LicTradNum]]))</f>
        <v>0</v>
      </c>
      <c r="O22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4" s="37"/>
      <c r="Q224" s="38"/>
      <c r="R22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4" s="37" t="s">
        <v>1080</v>
      </c>
      <c r="T224" s="40"/>
      <c r="U224" s="41"/>
      <c r="V22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4" s="37" cm="1">
        <f t="array" aca="1" ref="X224" ca="1">INDEX('SAP Customer Data'!$A:$AC,MATCH(بيانات_العملاء[[#This Row],[رمز شريك الأعمال]],'SAP Customer Data'!$B:$B,0),CELL("col",Table_Customer_Data[[#Headers],[CreditLine]]))</f>
        <v>0</v>
      </c>
      <c r="Y22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4" s="37"/>
      <c r="AA22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4" s="37"/>
      <c r="AC224" s="37"/>
      <c r="AD22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4" s="37"/>
      <c r="AF224" s="37"/>
      <c r="AG22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4" s="37"/>
      <c r="AI224" s="37"/>
      <c r="AJ22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4" s="37"/>
      <c r="AL224" s="38"/>
      <c r="AM22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4" s="37"/>
      <c r="AO224" s="41"/>
      <c r="AP22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4" s="37"/>
      <c r="AR224" s="37"/>
      <c r="AS22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4" s="41" cm="1">
        <f t="array" aca="1" ref="AT224" ca="1">INDEX('SAP Customer Data'!A:Z,MATCH(بيانات_العملاء[[#This Row],[رمز شريك الأعمال]],'SAP Customer Data'!B:B,0),CELL("col",Table_Customer_Data[[#Headers],[CreateDate]]))</f>
        <v>43646</v>
      </c>
      <c r="AU224" s="37"/>
      <c r="AV224" s="41"/>
      <c r="AW224" s="37" t="s">
        <v>2097</v>
      </c>
      <c r="AX224" s="37"/>
    </row>
    <row r="225" spans="1:50" x14ac:dyDescent="0.25">
      <c r="A225" s="36" t="str" cm="1">
        <f t="array" aca="1" ref="A225" ca="1">INDEX('SAP Customer Data'!$A:$AC,MATCH(بيانات_العملاء[[#This Row],[رمز شريك الأعمال]],'SAP Customer Data'!$B:$B,0),CELL("col",Table_Customer_Data[[#Headers],[GroupName]]))</f>
        <v>CS04</v>
      </c>
      <c r="B225" s="42" t="s">
        <v>781</v>
      </c>
      <c r="C225" s="37" t="str" cm="1">
        <f t="array" aca="1" ref="C225" ca="1">INDEX('SAP Customer Data'!$A:$AC,MATCH(بيانات_العملاء[[#This Row],[رمز شريك الأعمال]],'SAP Customer Data'!$B:$B,0),CELL("col",Table_Customer_Data[[#Headers],[CardName]]))</f>
        <v>محل القرية العليا للسباكة والكهرباء- نقدى</v>
      </c>
      <c r="D225" s="37" t="str">
        <f ca="1">IF(بيانات_العملاء[[#This Row],[حد الائتمان على SAP]]&gt;0,"آجل","نقدى")</f>
        <v>نقدى</v>
      </c>
      <c r="E225" s="37"/>
      <c r="F225" s="37" t="s">
        <v>1082</v>
      </c>
      <c r="G225" s="37"/>
      <c r="H22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5" s="37" t="s">
        <v>856</v>
      </c>
      <c r="J225" s="38"/>
      <c r="K225" s="37"/>
      <c r="L225" s="37" t="str">
        <f ca="1">IF(AND(بيانات_العملاء[[#This Row],[السجل التجارى]]="موجود",TODAY()+'Other Data'!$B$23&lt;J225,بيانات_العملاء[[#This Row],[مطابقة اسم العميل بالاسم بالسجل التجارى]]="مطابق"), "سارى", "يجب اعادة طلبه")</f>
        <v>يجب اعادة طلبه</v>
      </c>
      <c r="M225" s="37" t="s">
        <v>856</v>
      </c>
      <c r="N225" s="39" cm="1">
        <f t="array" aca="1" ref="N225" ca="1">INDEX('SAP Customer Data'!$A:$AC,MATCH(بيانات_العملاء[[#This Row],[رمز شريك الأعمال]],'SAP Customer Data'!$B:$B,0),CELL("col",Table_Customer_Data[[#Headers],[LicTradNum]]))</f>
        <v>0</v>
      </c>
      <c r="O22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5" s="37"/>
      <c r="Q225" s="38"/>
      <c r="R22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5" s="37" t="s">
        <v>1080</v>
      </c>
      <c r="T225" s="40"/>
      <c r="U225" s="41"/>
      <c r="V22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5" s="37" cm="1">
        <f t="array" aca="1" ref="X225" ca="1">INDEX('SAP Customer Data'!$A:$AC,MATCH(بيانات_العملاء[[#This Row],[رمز شريك الأعمال]],'SAP Customer Data'!$B:$B,0),CELL("col",Table_Customer_Data[[#Headers],[CreditLine]]))</f>
        <v>0</v>
      </c>
      <c r="Y22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5" s="37"/>
      <c r="AA22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5" s="37"/>
      <c r="AC225" s="37"/>
      <c r="AD22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5" s="37"/>
      <c r="AF225" s="37"/>
      <c r="AG22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5" s="37"/>
      <c r="AI225" s="37"/>
      <c r="AJ22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5" s="37"/>
      <c r="AL225" s="38"/>
      <c r="AM22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5" s="37"/>
      <c r="AO225" s="41"/>
      <c r="AP22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5" s="37"/>
      <c r="AR225" s="37"/>
      <c r="AS22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5" s="41" cm="1">
        <f t="array" aca="1" ref="AT225" ca="1">INDEX('SAP Customer Data'!A:Z,MATCH(بيانات_العملاء[[#This Row],[رمز شريك الأعمال]],'SAP Customer Data'!B:B,0),CELL("col",Table_Customer_Data[[#Headers],[CreateDate]]))</f>
        <v>43581</v>
      </c>
      <c r="AU225" s="37"/>
      <c r="AV225" s="41"/>
      <c r="AW225" s="37" t="s">
        <v>2097</v>
      </c>
      <c r="AX225" s="37"/>
    </row>
    <row r="226" spans="1:50" x14ac:dyDescent="0.25">
      <c r="A226" s="36" t="str" cm="1">
        <f t="array" aca="1" ref="A226" ca="1">INDEX('SAP Customer Data'!$A:$AC,MATCH(بيانات_العملاء[[#This Row],[رمز شريك الأعمال]],'SAP Customer Data'!$B:$B,0),CELL("col",Table_Customer_Data[[#Headers],[GroupName]]))</f>
        <v>CS04</v>
      </c>
      <c r="B226" s="42" t="s">
        <v>782</v>
      </c>
      <c r="C226" s="37" t="str" cm="1">
        <f t="array" aca="1" ref="C226" ca="1">INDEX('SAP Customer Data'!$A:$AC,MATCH(بيانات_العملاء[[#This Row],[رمز شريك الأعمال]],'SAP Customer Data'!$B:$B,0),CELL("col",Table_Customer_Data[[#Headers],[CardName]]))</f>
        <v>الرشدان للتجارة والمقاولات - نقدى</v>
      </c>
      <c r="D226" s="37" t="str">
        <f ca="1">IF(بيانات_العملاء[[#This Row],[حد الائتمان على SAP]]&gt;0,"آجل","نقدى")</f>
        <v>نقدى</v>
      </c>
      <c r="E226" s="37"/>
      <c r="F226" s="37" t="s">
        <v>1082</v>
      </c>
      <c r="G226" s="37"/>
      <c r="H22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6" s="37" t="s">
        <v>856</v>
      </c>
      <c r="J226" s="38"/>
      <c r="K226" s="37"/>
      <c r="L226" s="37" t="str">
        <f ca="1">IF(AND(بيانات_العملاء[[#This Row],[السجل التجارى]]="موجود",TODAY()+'Other Data'!$B$23&lt;J226,بيانات_العملاء[[#This Row],[مطابقة اسم العميل بالاسم بالسجل التجارى]]="مطابق"), "سارى", "يجب اعادة طلبه")</f>
        <v>يجب اعادة طلبه</v>
      </c>
      <c r="M226" s="37" t="s">
        <v>856</v>
      </c>
      <c r="N226" s="39" cm="1">
        <f t="array" aca="1" ref="N226" ca="1">INDEX('SAP Customer Data'!$A:$AC,MATCH(بيانات_العملاء[[#This Row],[رمز شريك الأعمال]],'SAP Customer Data'!$B:$B,0),CELL("col",Table_Customer_Data[[#Headers],[LicTradNum]]))</f>
        <v>0</v>
      </c>
      <c r="O22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6" s="37"/>
      <c r="Q226" s="38"/>
      <c r="R22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6" s="37" t="s">
        <v>1080</v>
      </c>
      <c r="T226" s="40"/>
      <c r="U226" s="41"/>
      <c r="V22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6" s="37" cm="1">
        <f t="array" aca="1" ref="X226" ca="1">INDEX('SAP Customer Data'!$A:$AC,MATCH(بيانات_العملاء[[#This Row],[رمز شريك الأعمال]],'SAP Customer Data'!$B:$B,0),CELL("col",Table_Customer_Data[[#Headers],[CreditLine]]))</f>
        <v>0</v>
      </c>
      <c r="Y22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6" s="37"/>
      <c r="AA22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6" s="37"/>
      <c r="AC226" s="37"/>
      <c r="AD22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6" s="37"/>
      <c r="AF226" s="37"/>
      <c r="AG22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6" s="37"/>
      <c r="AI226" s="37"/>
      <c r="AJ22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6" s="37"/>
      <c r="AL226" s="38"/>
      <c r="AM22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6" s="37"/>
      <c r="AO226" s="41"/>
      <c r="AP22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6" s="37"/>
      <c r="AR226" s="37"/>
      <c r="AS22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6" s="41" cm="1">
        <f t="array" aca="1" ref="AT226" ca="1">INDEX('SAP Customer Data'!A:Z,MATCH(بيانات_العملاء[[#This Row],[رمز شريك الأعمال]],'SAP Customer Data'!B:B,0),CELL("col",Table_Customer_Data[[#Headers],[CreateDate]]))</f>
        <v>43581</v>
      </c>
      <c r="AU226" s="37"/>
      <c r="AV226" s="41"/>
      <c r="AW226" s="37" t="s">
        <v>2097</v>
      </c>
      <c r="AX226" s="37"/>
    </row>
    <row r="227" spans="1:50" x14ac:dyDescent="0.25">
      <c r="A227" s="36" t="str" cm="1">
        <f t="array" aca="1" ref="A227" ca="1">INDEX('SAP Customer Data'!$A:$AC,MATCH(بيانات_العملاء[[#This Row],[رمز شريك الأعمال]],'SAP Customer Data'!$B:$B,0),CELL("col",Table_Customer_Data[[#Headers],[GroupName]]))</f>
        <v>CS04</v>
      </c>
      <c r="B227" s="42" t="s">
        <v>783</v>
      </c>
      <c r="C227" s="37" t="str" cm="1">
        <f t="array" aca="1" ref="C227" ca="1">INDEX('SAP Customer Data'!$A:$AC,MATCH(بيانات_العملاء[[#This Row],[رمز شريك الأعمال]],'SAP Customer Data'!$B:$B,0),CELL("col",Table_Customer_Data[[#Headers],[CardName]]))</f>
        <v>محل شرق الستين - نقدى</v>
      </c>
      <c r="D227" s="37" t="str">
        <f ca="1">IF(بيانات_العملاء[[#This Row],[حد الائتمان على SAP]]&gt;0,"آجل","نقدى")</f>
        <v>نقدى</v>
      </c>
      <c r="E227" s="37"/>
      <c r="F227" s="37" t="s">
        <v>1082</v>
      </c>
      <c r="G227" s="37"/>
      <c r="H22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7" s="37" t="s">
        <v>856</v>
      </c>
      <c r="J227" s="38"/>
      <c r="K227" s="37"/>
      <c r="L227" s="37" t="str">
        <f ca="1">IF(AND(بيانات_العملاء[[#This Row],[السجل التجارى]]="موجود",TODAY()+'Other Data'!$B$23&lt;J227,بيانات_العملاء[[#This Row],[مطابقة اسم العميل بالاسم بالسجل التجارى]]="مطابق"), "سارى", "يجب اعادة طلبه")</f>
        <v>يجب اعادة طلبه</v>
      </c>
      <c r="M227" s="37" t="s">
        <v>856</v>
      </c>
      <c r="N227" s="39" cm="1">
        <f t="array" aca="1" ref="N227" ca="1">INDEX('SAP Customer Data'!$A:$AC,MATCH(بيانات_العملاء[[#This Row],[رمز شريك الأعمال]],'SAP Customer Data'!$B:$B,0),CELL("col",Table_Customer_Data[[#Headers],[LicTradNum]]))</f>
        <v>0</v>
      </c>
      <c r="O22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27" s="37"/>
      <c r="Q227" s="38"/>
      <c r="R22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7" s="37" t="s">
        <v>1080</v>
      </c>
      <c r="T227" s="40"/>
      <c r="U227" s="41"/>
      <c r="V22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7" s="37" cm="1">
        <f t="array" aca="1" ref="X227" ca="1">INDEX('SAP Customer Data'!$A:$AC,MATCH(بيانات_العملاء[[#This Row],[رمز شريك الأعمال]],'SAP Customer Data'!$B:$B,0),CELL("col",Table_Customer_Data[[#Headers],[CreditLine]]))</f>
        <v>0</v>
      </c>
      <c r="Y22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7" s="37"/>
      <c r="AA22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7" s="37"/>
      <c r="AC227" s="37"/>
      <c r="AD22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7" s="37"/>
      <c r="AF227" s="37"/>
      <c r="AG22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7" s="37"/>
      <c r="AI227" s="37"/>
      <c r="AJ22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7" s="37"/>
      <c r="AL227" s="38"/>
      <c r="AM22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7" s="37"/>
      <c r="AO227" s="41"/>
      <c r="AP22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7" s="37"/>
      <c r="AR227" s="37"/>
      <c r="AS22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7" s="41" cm="1">
        <f t="array" aca="1" ref="AT227" ca="1">INDEX('SAP Customer Data'!A:Z,MATCH(بيانات_العملاء[[#This Row],[رمز شريك الأعمال]],'SAP Customer Data'!B:B,0),CELL("col",Table_Customer_Data[[#Headers],[CreateDate]]))</f>
        <v>43589</v>
      </c>
      <c r="AU227" s="37"/>
      <c r="AV227" s="41"/>
      <c r="AW227" s="37" t="s">
        <v>2097</v>
      </c>
      <c r="AX227" s="37"/>
    </row>
    <row r="228" spans="1:50" x14ac:dyDescent="0.25">
      <c r="A228" s="36" t="str" cm="1">
        <f t="array" aca="1" ref="A228" ca="1">INDEX('SAP Customer Data'!$A:$AC,MATCH(بيانات_العملاء[[#This Row],[رمز شريك الأعمال]],'SAP Customer Data'!$B:$B,0),CELL("col",Table_Customer_Data[[#Headers],[GroupName]]))</f>
        <v>CS04</v>
      </c>
      <c r="B228" s="42" t="s">
        <v>759</v>
      </c>
      <c r="C228" s="37" t="str" cm="1">
        <f t="array" aca="1" ref="C228" ca="1">INDEX('SAP Customer Data'!$A:$AC,MATCH(بيانات_العملاء[[#This Row],[رمز شريك الأعمال]],'SAP Customer Data'!$B:$B,0),CELL("col",Table_Customer_Data[[#Headers],[CardName]]))</f>
        <v>محل الدوار - نقدى</v>
      </c>
      <c r="D228" s="37" t="str">
        <f ca="1">IF(بيانات_العملاء[[#This Row],[حد الائتمان على SAP]]&gt;0,"آجل","نقدى")</f>
        <v>نقدى</v>
      </c>
      <c r="E228" s="37"/>
      <c r="F228" s="37" t="s">
        <v>1082</v>
      </c>
      <c r="G228" s="37"/>
      <c r="H22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8" s="37" t="s">
        <v>856</v>
      </c>
      <c r="J228" s="38"/>
      <c r="K228" s="37"/>
      <c r="L228" s="37" t="str">
        <f ca="1">IF(AND(بيانات_العملاء[[#This Row],[السجل التجارى]]="موجود",TODAY()+'Other Data'!$B$23&lt;J228,بيانات_العملاء[[#This Row],[مطابقة اسم العميل بالاسم بالسجل التجارى]]="مطابق"), "سارى", "يجب اعادة طلبه")</f>
        <v>يجب اعادة طلبه</v>
      </c>
      <c r="M228" s="37" t="s">
        <v>854</v>
      </c>
      <c r="N228" s="39" t="str" cm="1">
        <f t="array" aca="1" ref="N228" ca="1">INDEX('SAP Customer Data'!$A:$AC,MATCH(بيانات_العملاء[[#This Row],[رمز شريك الأعمال]],'SAP Customer Data'!$B:$B,0),CELL("col",Table_Customer_Data[[#Headers],[LicTradNum]]))</f>
        <v>300634072500003</v>
      </c>
      <c r="O22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28" s="37"/>
      <c r="Q228" s="38"/>
      <c r="R22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8" s="37" t="s">
        <v>1080</v>
      </c>
      <c r="T228" s="40"/>
      <c r="U228" s="41"/>
      <c r="V22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8" s="37" cm="1">
        <f t="array" aca="1" ref="X228" ca="1">INDEX('SAP Customer Data'!$A:$AC,MATCH(بيانات_العملاء[[#This Row],[رمز شريك الأعمال]],'SAP Customer Data'!$B:$B,0),CELL("col",Table_Customer_Data[[#Headers],[CreditLine]]))</f>
        <v>0</v>
      </c>
      <c r="Y22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8" s="37"/>
      <c r="AA22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8" s="37"/>
      <c r="AC228" s="37"/>
      <c r="AD22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8" s="37"/>
      <c r="AF228" s="37"/>
      <c r="AG22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8" s="37"/>
      <c r="AI228" s="37"/>
      <c r="AJ22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8" s="37"/>
      <c r="AL228" s="38"/>
      <c r="AM22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8" s="37"/>
      <c r="AO228" s="41"/>
      <c r="AP22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8" s="37"/>
      <c r="AR228" s="37"/>
      <c r="AS22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8" s="41" cm="1">
        <f t="array" aca="1" ref="AT228" ca="1">INDEX('SAP Customer Data'!A:Z,MATCH(بيانات_العملاء[[#This Row],[رمز شريك الأعمال]],'SAP Customer Data'!B:B,0),CELL("col",Table_Customer_Data[[#Headers],[CreateDate]]))</f>
        <v>43581</v>
      </c>
      <c r="AU228" s="37"/>
      <c r="AV228" s="41"/>
      <c r="AW228" s="37" t="s">
        <v>2096</v>
      </c>
      <c r="AX228" s="37"/>
    </row>
    <row r="229" spans="1:50" x14ac:dyDescent="0.25">
      <c r="A229" s="36" t="str" cm="1">
        <f t="array" aca="1" ref="A229" ca="1">INDEX('SAP Customer Data'!$A:$AC,MATCH(بيانات_العملاء[[#This Row],[رمز شريك الأعمال]],'SAP Customer Data'!$B:$B,0),CELL("col",Table_Customer_Data[[#Headers],[GroupName]]))</f>
        <v>CS04</v>
      </c>
      <c r="B229" s="42" t="s">
        <v>760</v>
      </c>
      <c r="C229" s="37" t="str" cm="1">
        <f t="array" aca="1" ref="C229" ca="1">INDEX('SAP Customer Data'!$A:$AC,MATCH(بيانات_العملاء[[#This Row],[رمز شريك الأعمال]],'SAP Customer Data'!$B:$B,0),CELL("col",Table_Customer_Data[[#Headers],[CardName]]))</f>
        <v>مستشفى الدكتورر محمد نور خان- نقدى</v>
      </c>
      <c r="D229" s="37" t="str">
        <f ca="1">IF(بيانات_العملاء[[#This Row],[حد الائتمان على SAP]]&gt;0,"آجل","نقدى")</f>
        <v>نقدى</v>
      </c>
      <c r="E229" s="37"/>
      <c r="F229" s="37" t="s">
        <v>1082</v>
      </c>
      <c r="G229" s="37"/>
      <c r="H22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29" s="37" t="s">
        <v>856</v>
      </c>
      <c r="J229" s="38"/>
      <c r="K229" s="37"/>
      <c r="L229" s="37" t="str">
        <f ca="1">IF(AND(بيانات_العملاء[[#This Row],[السجل التجارى]]="موجود",TODAY()+'Other Data'!$B$23&lt;J229,بيانات_العملاء[[#This Row],[مطابقة اسم العميل بالاسم بالسجل التجارى]]="مطابق"), "سارى", "يجب اعادة طلبه")</f>
        <v>يجب اعادة طلبه</v>
      </c>
      <c r="M229" s="37" t="s">
        <v>854</v>
      </c>
      <c r="N229" s="39" t="str" cm="1">
        <f t="array" aca="1" ref="N229" ca="1">INDEX('SAP Customer Data'!$A:$AC,MATCH(بيانات_العملاء[[#This Row],[رمز شريك الأعمال]],'SAP Customer Data'!$B:$B,0),CELL("col",Table_Customer_Data[[#Headers],[LicTradNum]]))</f>
        <v>300520683100003</v>
      </c>
      <c r="O22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29" s="37"/>
      <c r="Q229" s="38"/>
      <c r="R22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29" s="37" t="s">
        <v>1080</v>
      </c>
      <c r="T229" s="40"/>
      <c r="U229" s="41"/>
      <c r="V22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2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29" s="37" cm="1">
        <f t="array" aca="1" ref="X229" ca="1">INDEX('SAP Customer Data'!$A:$AC,MATCH(بيانات_العملاء[[#This Row],[رمز شريك الأعمال]],'SAP Customer Data'!$B:$B,0),CELL("col",Table_Customer_Data[[#Headers],[CreditLine]]))</f>
        <v>0</v>
      </c>
      <c r="Y22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29" s="37"/>
      <c r="AA22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29" s="37"/>
      <c r="AC229" s="37"/>
      <c r="AD22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29" s="37"/>
      <c r="AF229" s="37"/>
      <c r="AG22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29" s="37"/>
      <c r="AI229" s="37"/>
      <c r="AJ22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29" s="37"/>
      <c r="AL229" s="38"/>
      <c r="AM22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29" s="37"/>
      <c r="AO229" s="41"/>
      <c r="AP22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29" s="37"/>
      <c r="AR229" s="37"/>
      <c r="AS22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29" s="41" cm="1">
        <f t="array" aca="1" ref="AT229" ca="1">INDEX('SAP Customer Data'!A:Z,MATCH(بيانات_العملاء[[#This Row],[رمز شريك الأعمال]],'SAP Customer Data'!B:B,0),CELL("col",Table_Customer_Data[[#Headers],[CreateDate]]))</f>
        <v>43581</v>
      </c>
      <c r="AU229" s="37"/>
      <c r="AV229" s="41"/>
      <c r="AW229" s="37" t="s">
        <v>2097</v>
      </c>
      <c r="AX229" s="37"/>
    </row>
    <row r="230" spans="1:50" x14ac:dyDescent="0.25">
      <c r="A230" s="36" t="str" cm="1">
        <f t="array" aca="1" ref="A230" ca="1">INDEX('SAP Customer Data'!$A:$AC,MATCH(بيانات_العملاء[[#This Row],[رمز شريك الأعمال]],'SAP Customer Data'!$B:$B,0),CELL("col",Table_Customer_Data[[#Headers],[GroupName]]))</f>
        <v>CS04</v>
      </c>
      <c r="B230" s="42" t="s">
        <v>778</v>
      </c>
      <c r="C230" s="37" t="str" cm="1">
        <f t="array" aca="1" ref="C230" ca="1">INDEX('SAP Customer Data'!$A:$AC,MATCH(بيانات_العملاء[[#This Row],[رمز شريك الأعمال]],'SAP Customer Data'!$B:$B,0),CELL("col",Table_Customer_Data[[#Headers],[CardName]]))</f>
        <v>شركة الثلاجة العالمية - نقدى</v>
      </c>
      <c r="D230" s="37" t="str">
        <f ca="1">IF(بيانات_العملاء[[#This Row],[حد الائتمان على SAP]]&gt;0,"آجل","نقدى")</f>
        <v>نقدى</v>
      </c>
      <c r="E230" s="37"/>
      <c r="F230" s="37" t="s">
        <v>1082</v>
      </c>
      <c r="G230" s="37"/>
      <c r="H23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30" s="37" t="s">
        <v>856</v>
      </c>
      <c r="J230" s="38"/>
      <c r="K230" s="37"/>
      <c r="L230" s="37" t="str">
        <f ca="1">IF(AND(بيانات_العملاء[[#This Row],[السجل التجارى]]="موجود",TODAY()+'Other Data'!$B$23&lt;J230,بيانات_العملاء[[#This Row],[مطابقة اسم العميل بالاسم بالسجل التجارى]]="مطابق"), "سارى", "يجب اعادة طلبه")</f>
        <v>يجب اعادة طلبه</v>
      </c>
      <c r="M230" s="37" t="s">
        <v>854</v>
      </c>
      <c r="N230" s="39" t="str" cm="1">
        <f t="array" aca="1" ref="N230" ca="1">INDEX('SAP Customer Data'!$A:$AC,MATCH(بيانات_العملاء[[#This Row],[رمز شريك الأعمال]],'SAP Customer Data'!$B:$B,0),CELL("col",Table_Customer_Data[[#Headers],[LicTradNum]]))</f>
        <v>300562862400003</v>
      </c>
      <c r="O23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30" s="37"/>
      <c r="Q230" s="38"/>
      <c r="R23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0" s="37" t="s">
        <v>1080</v>
      </c>
      <c r="T230" s="40"/>
      <c r="U230" s="41"/>
      <c r="V23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30" s="37" cm="1">
        <f t="array" aca="1" ref="X230" ca="1">INDEX('SAP Customer Data'!$A:$AC,MATCH(بيانات_العملاء[[#This Row],[رمز شريك الأعمال]],'SAP Customer Data'!$B:$B,0),CELL("col",Table_Customer_Data[[#Headers],[CreditLine]]))</f>
        <v>0</v>
      </c>
      <c r="Y23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30" s="37"/>
      <c r="AA23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30" s="37"/>
      <c r="AC230" s="37"/>
      <c r="AD23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0" s="37"/>
      <c r="AF230" s="37"/>
      <c r="AG23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0" s="37"/>
      <c r="AI230" s="37"/>
      <c r="AJ23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0" s="37"/>
      <c r="AL230" s="38"/>
      <c r="AM23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0" s="37"/>
      <c r="AO230" s="41"/>
      <c r="AP23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0" s="37"/>
      <c r="AR230" s="37"/>
      <c r="AS23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0" s="41" cm="1">
        <f t="array" aca="1" ref="AT230" ca="1">INDEX('SAP Customer Data'!A:Z,MATCH(بيانات_العملاء[[#This Row],[رمز شريك الأعمال]],'SAP Customer Data'!B:B,0),CELL("col",Table_Customer_Data[[#Headers],[CreateDate]]))</f>
        <v>43581</v>
      </c>
      <c r="AU230" s="37"/>
      <c r="AV230" s="41"/>
      <c r="AW230" s="37" t="s">
        <v>2097</v>
      </c>
      <c r="AX230" s="37"/>
    </row>
    <row r="231" spans="1:50" x14ac:dyDescent="0.25">
      <c r="A231" s="36" t="str" cm="1">
        <f t="array" aca="1" ref="A231" ca="1">INDEX('SAP Customer Data'!$A:$AC,MATCH(بيانات_العملاء[[#This Row],[رمز شريك الأعمال]],'SAP Customer Data'!$B:$B,0),CELL("col",Table_Customer_Data[[#Headers],[GroupName]]))</f>
        <v>CS04</v>
      </c>
      <c r="B231" s="42" t="s">
        <v>791</v>
      </c>
      <c r="C231" s="37" t="str" cm="1">
        <f t="array" aca="1" ref="C231" ca="1">INDEX('SAP Customer Data'!$A:$AC,MATCH(بيانات_العملاء[[#This Row],[رمز شريك الأعمال]],'SAP Customer Data'!$B:$B,0),CELL("col",Table_Customer_Data[[#Headers],[CardName]]))</f>
        <v>مؤسسة عبدالحميد عبدالرزاق الونيس - نقدي</v>
      </c>
      <c r="D231" s="37" t="str">
        <f ca="1">IF(بيانات_العملاء[[#This Row],[حد الائتمان على SAP]]&gt;0,"آجل","نقدى")</f>
        <v>نقدى</v>
      </c>
      <c r="E231" s="37"/>
      <c r="F231" s="37" t="s">
        <v>1082</v>
      </c>
      <c r="G231" s="37"/>
      <c r="H23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31" s="37" t="s">
        <v>856</v>
      </c>
      <c r="J231" s="38"/>
      <c r="K231" s="37"/>
      <c r="L231" s="37" t="str">
        <f ca="1">IF(AND(بيانات_العملاء[[#This Row],[السجل التجارى]]="موجود",TODAY()+'Other Data'!$B$23&lt;J231,بيانات_العملاء[[#This Row],[مطابقة اسم العميل بالاسم بالسجل التجارى]]="مطابق"), "سارى", "يجب اعادة طلبه")</f>
        <v>يجب اعادة طلبه</v>
      </c>
      <c r="M231" s="37" t="s">
        <v>854</v>
      </c>
      <c r="N231" s="39" t="str" cm="1">
        <f t="array" aca="1" ref="N231" ca="1">INDEX('SAP Customer Data'!$A:$AC,MATCH(بيانات_العملاء[[#This Row],[رمز شريك الأعمال]],'SAP Customer Data'!$B:$B,0),CELL("col",Table_Customer_Data[[#Headers],[LicTradNum]]))</f>
        <v>300744098600003</v>
      </c>
      <c r="O23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31" s="37"/>
      <c r="Q231" s="38"/>
      <c r="R23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1" s="37" t="s">
        <v>1080</v>
      </c>
      <c r="T231" s="40"/>
      <c r="U231" s="41"/>
      <c r="V23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31" s="37" cm="1">
        <f t="array" aca="1" ref="X231" ca="1">INDEX('SAP Customer Data'!$A:$AC,MATCH(بيانات_العملاء[[#This Row],[رمز شريك الأعمال]],'SAP Customer Data'!$B:$B,0),CELL("col",Table_Customer_Data[[#Headers],[CreditLine]]))</f>
        <v>0</v>
      </c>
      <c r="Y23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31" s="37"/>
      <c r="AA23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31" s="37"/>
      <c r="AC231" s="37"/>
      <c r="AD23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1" s="37"/>
      <c r="AF231" s="37"/>
      <c r="AG23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1" s="37"/>
      <c r="AI231" s="37"/>
      <c r="AJ23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1" s="37"/>
      <c r="AL231" s="38"/>
      <c r="AM23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1" s="37"/>
      <c r="AO231" s="41"/>
      <c r="AP23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1" s="37"/>
      <c r="AR231" s="37"/>
      <c r="AS23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1" s="41" cm="1">
        <f t="array" aca="1" ref="AT231" ca="1">INDEX('SAP Customer Data'!A:Z,MATCH(بيانات_العملاء[[#This Row],[رمز شريك الأعمال]],'SAP Customer Data'!B:B,0),CELL("col",Table_Customer_Data[[#Headers],[CreateDate]]))</f>
        <v>43785</v>
      </c>
      <c r="AU231" s="37"/>
      <c r="AV231" s="41"/>
      <c r="AW231" s="37" t="s">
        <v>2097</v>
      </c>
      <c r="AX231" s="37"/>
    </row>
    <row r="232" spans="1:50" x14ac:dyDescent="0.25">
      <c r="A232" s="36" t="str" cm="1">
        <f t="array" aca="1" ref="A232" ca="1">INDEX('SAP Customer Data'!$A:$AC,MATCH(بيانات_العملاء[[#This Row],[رمز شريك الأعمال]],'SAP Customer Data'!$B:$B,0),CELL("col",Table_Customer_Data[[#Headers],[GroupName]]))</f>
        <v>CS04</v>
      </c>
      <c r="B232" s="35" t="s">
        <v>1479</v>
      </c>
      <c r="C232" s="37" t="str" cm="1">
        <f t="array" aca="1" ref="C232" ca="1">INDEX('SAP Customer Data'!$A:$AC,MATCH(بيانات_العملاء[[#This Row],[رمز شريك الأعمال]],'SAP Customer Data'!$B:$B,0),CELL("col",Table_Customer_Data[[#Headers],[CardName]]))</f>
        <v>عميل بضمان المندوب CS04</v>
      </c>
      <c r="D232" s="37" t="str">
        <f ca="1">IF(بيانات_العملاء[[#This Row],[حد الائتمان على SAP]]&gt;0,"آجل","نقدى")</f>
        <v>نقدى</v>
      </c>
      <c r="E232" s="37"/>
      <c r="F232" s="37"/>
      <c r="G232" s="37"/>
      <c r="H23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32" s="37"/>
      <c r="J232" s="38"/>
      <c r="K232" s="41" t="str">
        <f>IF(بيانات_العملاء[[#This Row],[السجل التجارى]]="غير موجود", "غير مطابق", "")</f>
        <v/>
      </c>
      <c r="L232" s="37" t="str">
        <f ca="1">IF(AND(بيانات_العملاء[[#This Row],[السجل التجارى]]="موجود",TODAY()+'Other Data'!$B$23&lt;J232,بيانات_العملاء[[#This Row],[مطابقة اسم العميل بالاسم بالسجل التجارى]]="مطابق"), "سارى", "يجب اعادة طلبه")</f>
        <v>يجب اعادة طلبه</v>
      </c>
      <c r="M232" s="37"/>
      <c r="N232" s="39" cm="1">
        <f t="array" aca="1" ref="N232" ca="1">INDEX('SAP Customer Data'!$A:$AC,MATCH(بيانات_العملاء[[#This Row],[رمز شريك الأعمال]],'SAP Customer Data'!$B:$B,0),CELL("col",Table_Customer_Data[[#Headers],[LicTradNum]]))</f>
        <v>0</v>
      </c>
      <c r="O23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32" s="37"/>
      <c r="Q232" s="38"/>
      <c r="R232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232" s="37" t="s">
        <v>1080</v>
      </c>
      <c r="T232" s="40"/>
      <c r="U232" s="41"/>
      <c r="V23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32" s="37" cm="1">
        <f t="array" aca="1" ref="X232" ca="1">INDEX('SAP Customer Data'!$A:$AC,MATCH(بيانات_العملاء[[#This Row],[رمز شريك الأعمال]],'SAP Customer Data'!$B:$B,0),CELL("col",Table_Customer_Data[[#Headers],[CreditLine]]))</f>
        <v>0</v>
      </c>
      <c r="Y23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32" s="37"/>
      <c r="AA23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32" s="37"/>
      <c r="AC232" s="37"/>
      <c r="AD232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2" s="37"/>
      <c r="AF232" s="37"/>
      <c r="AG23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232" s="37"/>
      <c r="AI232" s="37"/>
      <c r="AJ23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232" s="37"/>
      <c r="AL232" s="38"/>
      <c r="AM23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2" s="37"/>
      <c r="AO232" s="41"/>
      <c r="AP23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2" s="37"/>
      <c r="AR232" s="37"/>
      <c r="AS23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232" s="41" cm="1">
        <f t="array" aca="1" ref="AT232" ca="1">INDEX('SAP Customer Data'!A:Z,MATCH(بيانات_العملاء[[#This Row],[رمز شريك الأعمال]],'SAP Customer Data'!B:B,0),CELL("col",Table_Customer_Data[[#Headers],[CreateDate]]))</f>
        <v>43680</v>
      </c>
      <c r="AU232" s="41"/>
      <c r="AV232" s="41"/>
      <c r="AW232" s="37" t="s">
        <v>2097</v>
      </c>
      <c r="AX232" s="37"/>
    </row>
    <row r="233" spans="1:50" x14ac:dyDescent="0.25">
      <c r="A233" s="16" t="str" cm="1">
        <f t="array" aca="1" ref="A233" ca="1">INDEX('SAP Customer Data'!$A:$AC,MATCH(بيانات_العملاء[[#This Row],[رمز شريك الأعمال]],'SAP Customer Data'!$B:$B,0),CELL("col",Table_Customer_Data[[#Headers],[GroupName]]))</f>
        <v>CS04</v>
      </c>
      <c r="B233" s="17" t="s">
        <v>784</v>
      </c>
      <c r="C233" s="15" t="str" cm="1">
        <f t="array" aca="1" ref="C233" ca="1">INDEX('SAP Customer Data'!$A:$AC,MATCH(بيانات_العملاء[[#This Row],[رمز شريك الأعمال]],'SAP Customer Data'!$B:$B,0),CELL("col",Table_Customer_Data[[#Headers],[CardName]]))</f>
        <v>محل المفلح</v>
      </c>
      <c r="D233" s="15" t="str">
        <f ca="1">IF(بيانات_العملاء[[#This Row],[حد الائتمان على SAP]]&gt;0,"آجل","نقدى")</f>
        <v>آجل</v>
      </c>
      <c r="E233" s="15"/>
      <c r="F233" s="15" t="s">
        <v>1082</v>
      </c>
      <c r="G233" s="15" t="s">
        <v>856</v>
      </c>
      <c r="H233" s="15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33" s="15" t="s">
        <v>856</v>
      </c>
      <c r="J233" s="18"/>
      <c r="K233" s="15"/>
      <c r="L233" s="15" t="str">
        <f ca="1">IF(AND(بيانات_العملاء[[#This Row],[السجل التجارى]]="موجود",TODAY()+'Other Data'!$B$23&lt;J233,بيانات_العملاء[[#This Row],[مطابقة اسم العميل بالاسم بالسجل التجارى]]="مطابق"), "سارى", "يجب اعادة طلبه")</f>
        <v>يجب اعادة طلبه</v>
      </c>
      <c r="M233" s="15" t="s">
        <v>856</v>
      </c>
      <c r="N233" s="19" cm="1">
        <f t="array" aca="1" ref="N233" ca="1">INDEX('SAP Customer Data'!$A:$AC,MATCH(بيانات_العملاء[[#This Row],[رمز شريك الأعمال]],'SAP Customer Data'!$B:$B,0),CELL("col",Table_Customer_Data[[#Headers],[LicTradNum]]))</f>
        <v>0</v>
      </c>
      <c r="O233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33" s="15" t="s">
        <v>856</v>
      </c>
      <c r="Q233" s="18"/>
      <c r="R233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3" s="15" t="s">
        <v>856</v>
      </c>
      <c r="T233" s="20"/>
      <c r="U233" s="8"/>
      <c r="V233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33" s="15" cm="1">
        <f t="array" aca="1" ref="X233" ca="1">INDEX('SAP Customer Data'!$A:$AC,MATCH(بيانات_العملاء[[#This Row],[رمز شريك الأعمال]],'SAP Customer Data'!$B:$B,0),CELL("col",Table_Customer_Data[[#Headers],[CreditLine]]))</f>
        <v>16000</v>
      </c>
      <c r="Y23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233" s="37"/>
      <c r="AA23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33" s="15" t="s">
        <v>856</v>
      </c>
      <c r="AC233" s="15"/>
      <c r="AD233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3" s="15" t="s">
        <v>856</v>
      </c>
      <c r="AF233" s="15"/>
      <c r="AG233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3" s="15" t="s">
        <v>856</v>
      </c>
      <c r="AI233" s="15"/>
      <c r="AJ233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3" s="15" t="s">
        <v>856</v>
      </c>
      <c r="AL233" s="18"/>
      <c r="AM233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3" s="15" t="s">
        <v>856</v>
      </c>
      <c r="AO233" s="8"/>
      <c r="AP233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3" s="15"/>
      <c r="AR233" s="15"/>
      <c r="AS233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3" s="8" cm="1">
        <f t="array" aca="1" ref="AT233" ca="1">INDEX('SAP Customer Data'!A:Z,MATCH(بيانات_العملاء[[#This Row],[رمز شريك الأعمال]],'SAP Customer Data'!B:B,0),CELL("col",Table_Customer_Data[[#Headers],[CreateDate]]))</f>
        <v>43601</v>
      </c>
      <c r="AU233" s="15"/>
      <c r="AV233" s="33" t="s">
        <v>920</v>
      </c>
      <c r="AW233" s="15" t="s">
        <v>2097</v>
      </c>
      <c r="AX233" s="15"/>
    </row>
    <row r="234" spans="1:50" x14ac:dyDescent="0.25">
      <c r="A234" s="36" t="str" cm="1">
        <f t="array" aca="1" ref="A234" ca="1">INDEX('SAP Customer Data'!$A:$AC,MATCH(بيانات_العملاء[[#This Row],[رمز شريك الأعمال]],'SAP Customer Data'!$B:$B,0),CELL("col",Table_Customer_Data[[#Headers],[GroupName]]))</f>
        <v>CS04</v>
      </c>
      <c r="B234" s="35" t="s">
        <v>761</v>
      </c>
      <c r="C234" s="37" t="str" cm="1">
        <f t="array" aca="1" ref="C234" ca="1">INDEX('SAP Customer Data'!$A:$AC,MATCH(بيانات_العملاء[[#This Row],[رمز شريك الأعمال]],'SAP Customer Data'!$B:$B,0),CELL("col",Table_Customer_Data[[#Headers],[CardName]]))</f>
        <v>محل البيت الاول</v>
      </c>
      <c r="D234" s="37" t="str">
        <f ca="1">IF(بيانات_العملاء[[#This Row],[حد الائتمان على SAP]]&gt;0,"آجل","نقدى")</f>
        <v>آجل</v>
      </c>
      <c r="E234" s="37" t="s">
        <v>1068</v>
      </c>
      <c r="F234" s="37" t="s">
        <v>1081</v>
      </c>
      <c r="G234" s="37" t="s">
        <v>854</v>
      </c>
      <c r="H23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34" s="37" t="s">
        <v>854</v>
      </c>
      <c r="J234" s="38">
        <v>43658</v>
      </c>
      <c r="K234" s="37" t="s">
        <v>859</v>
      </c>
      <c r="L234" s="37" t="str">
        <f ca="1">IF(AND(بيانات_العملاء[[#This Row],[السجل التجارى]]="موجود",TODAY()+'Other Data'!$B$23&lt;J234,بيانات_العملاء[[#This Row],[مطابقة اسم العميل بالاسم بالسجل التجارى]]="مطابق"), "سارى", "يجب اعادة طلبه")</f>
        <v>يجب اعادة طلبه</v>
      </c>
      <c r="M234" s="37" t="s">
        <v>856</v>
      </c>
      <c r="N234" s="39" cm="1">
        <f t="array" aca="1" ref="N234" ca="1">INDEX('SAP Customer Data'!$A:$AC,MATCH(بيانات_العملاء[[#This Row],[رمز شريك الأعمال]],'SAP Customer Data'!$B:$B,0),CELL("col",Table_Customer_Data[[#Headers],[LicTradNum]]))</f>
        <v>0</v>
      </c>
      <c r="O23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34" s="37" t="s">
        <v>856</v>
      </c>
      <c r="Q234" s="38"/>
      <c r="R23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4" s="37" t="s">
        <v>854</v>
      </c>
      <c r="T234" s="40">
        <v>20000</v>
      </c>
      <c r="U234" s="41"/>
      <c r="V23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234" s="37" cm="1">
        <f t="array" aca="1" ref="X234" ca="1">INDEX('SAP Customer Data'!$A:$AC,MATCH(بيانات_العملاء[[#This Row],[رمز شريك الأعمال]],'SAP Customer Data'!$B:$B,0),CELL("col",Table_Customer_Data[[#Headers],[CreditLine]]))</f>
        <v>16000</v>
      </c>
      <c r="Y23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34" s="37" t="s">
        <v>855</v>
      </c>
      <c r="AA23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34" s="37" t="s">
        <v>856</v>
      </c>
      <c r="AC234" s="37"/>
      <c r="AD23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4" s="37" t="s">
        <v>856</v>
      </c>
      <c r="AF234" s="37"/>
      <c r="AG23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4" s="37" t="s">
        <v>856</v>
      </c>
      <c r="AI234" s="37"/>
      <c r="AJ23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4" s="37"/>
      <c r="AL234" s="38"/>
      <c r="AM23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4" s="37" t="s">
        <v>856</v>
      </c>
      <c r="AO234" s="41"/>
      <c r="AP23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4" s="37" t="s">
        <v>856</v>
      </c>
      <c r="AR234" s="37"/>
      <c r="AS23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4" s="41" cm="1">
        <f t="array" aca="1" ref="AT234" ca="1">INDEX('SAP Customer Data'!A:Z,MATCH(بيانات_العملاء[[#This Row],[رمز شريك الأعمال]],'SAP Customer Data'!B:B,0),CELL("col",Table_Customer_Data[[#Headers],[CreateDate]]))</f>
        <v>43646</v>
      </c>
      <c r="AU234" s="37"/>
      <c r="AV234" s="41"/>
      <c r="AW234" s="37" t="s">
        <v>2097</v>
      </c>
      <c r="AX234" s="37"/>
    </row>
    <row r="235" spans="1:50" x14ac:dyDescent="0.25">
      <c r="A235" s="16" t="str" cm="1">
        <f t="array" aca="1" ref="A235" ca="1">INDEX('SAP Customer Data'!$A:$AC,MATCH(بيانات_العملاء[[#This Row],[رمز شريك الأعمال]],'SAP Customer Data'!$B:$B,0),CELL("col",Table_Customer_Data[[#Headers],[GroupName]]))</f>
        <v>CS04</v>
      </c>
      <c r="B235" s="17" t="s">
        <v>769</v>
      </c>
      <c r="C235" s="15" t="str" cm="1">
        <f t="array" aca="1" ref="C235" ca="1">INDEX('SAP Customer Data'!$A:$AC,MATCH(بيانات_العملاء[[#This Row],[رمز شريك الأعمال]],'SAP Customer Data'!$B:$B,0),CELL("col",Table_Customer_Data[[#Headers],[CardName]]))</f>
        <v>مؤسسة محمد علي الشعري للتجارة</v>
      </c>
      <c r="D235" s="15" t="str">
        <f ca="1">IF(بيانات_العملاء[[#This Row],[حد الائتمان على SAP]]&gt;0,"آجل","نقدى")</f>
        <v>آجل</v>
      </c>
      <c r="E235" s="15" t="s">
        <v>1069</v>
      </c>
      <c r="F235" s="15" t="s">
        <v>1081</v>
      </c>
      <c r="G235" s="15" t="s">
        <v>854</v>
      </c>
      <c r="H235" s="15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35" s="15" t="s">
        <v>854</v>
      </c>
      <c r="J235" s="18">
        <v>44145</v>
      </c>
      <c r="K235" s="37" t="s">
        <v>855</v>
      </c>
      <c r="L235" s="15" t="str">
        <f ca="1">IF(AND(بيانات_العملاء[[#This Row],[السجل التجارى]]="موجود",TODAY()+'Other Data'!$B$23&lt;J235,بيانات_العملاء[[#This Row],[مطابقة اسم العميل بالاسم بالسجل التجارى]]="مطابق"), "سارى", "يجب اعادة طلبه")</f>
        <v>يجب اعادة طلبه</v>
      </c>
      <c r="M235" s="15" t="s">
        <v>856</v>
      </c>
      <c r="N235" s="19" t="str" cm="1">
        <f t="array" aca="1" ref="N235" ca="1">INDEX('SAP Customer Data'!$A:$AC,MATCH(بيانات_العملاء[[#This Row],[رمز شريك الأعمال]],'SAP Customer Data'!$B:$B,0),CELL("col",Table_Customer_Data[[#Headers],[LicTradNum]]))</f>
        <v>300634072500003</v>
      </c>
      <c r="O235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35" s="15" t="s">
        <v>856</v>
      </c>
      <c r="Q235" s="18"/>
      <c r="R235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5" s="15" t="s">
        <v>856</v>
      </c>
      <c r="T235" s="20"/>
      <c r="U235" s="8"/>
      <c r="V235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35" s="15" cm="1">
        <f t="array" aca="1" ref="X235" ca="1">INDEX('SAP Customer Data'!$A:$AC,MATCH(بيانات_العملاء[[#This Row],[رمز شريك الأعمال]],'SAP Customer Data'!$B:$B,0),CELL("col",Table_Customer_Data[[#Headers],[CreditLine]]))</f>
        <v>120000</v>
      </c>
      <c r="Y23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235" s="37"/>
      <c r="AA23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35" s="15"/>
      <c r="AC235" s="15"/>
      <c r="AD235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5" s="15"/>
      <c r="AF235" s="15"/>
      <c r="AG235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5" s="15"/>
      <c r="AI235" s="15"/>
      <c r="AJ235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5" s="15"/>
      <c r="AL235" s="18"/>
      <c r="AM235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5" s="15"/>
      <c r="AO235" s="8"/>
      <c r="AP235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5" s="15"/>
      <c r="AR235" s="15"/>
      <c r="AS235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5" s="8" cm="1">
        <f t="array" aca="1" ref="AT235" ca="1">INDEX('SAP Customer Data'!A:Z,MATCH(بيانات_العملاء[[#This Row],[رمز شريك الأعمال]],'SAP Customer Data'!B:B,0),CELL("col",Table_Customer_Data[[#Headers],[CreateDate]]))</f>
        <v>43586</v>
      </c>
      <c r="AU235" s="15"/>
      <c r="AV235" s="33" t="s">
        <v>920</v>
      </c>
      <c r="AW235" s="15" t="s">
        <v>2096</v>
      </c>
      <c r="AX235" s="16"/>
    </row>
    <row r="236" spans="1:50" x14ac:dyDescent="0.25">
      <c r="A236" s="36" t="str" cm="1">
        <f t="array" aca="1" ref="A236" ca="1">INDEX('SAP Customer Data'!$A:$AC,MATCH(بيانات_العملاء[[#This Row],[رمز شريك الأعمال]],'SAP Customer Data'!$B:$B,0),CELL("col",Table_Customer_Data[[#Headers],[GroupName]]))</f>
        <v>CS04</v>
      </c>
      <c r="B236" s="35" t="s">
        <v>779</v>
      </c>
      <c r="C236" s="37" t="str" cm="1">
        <f t="array" aca="1" ref="C236" ca="1">INDEX('SAP Customer Data'!$A:$AC,MATCH(بيانات_العملاء[[#This Row],[رمز شريك الأعمال]],'SAP Customer Data'!$B:$B,0),CELL("col",Table_Customer_Data[[#Headers],[CardName]]))</f>
        <v>مؤسسة انوار المدينة الخفجي</v>
      </c>
      <c r="D236" s="37" t="str">
        <f ca="1">IF(بيانات_العملاء[[#This Row],[حد الائتمان على SAP]]&gt;0,"آجل","نقدى")</f>
        <v>آجل</v>
      </c>
      <c r="E236" s="37" t="s">
        <v>1070</v>
      </c>
      <c r="F236" s="37" t="s">
        <v>1081</v>
      </c>
      <c r="G236" s="37" t="s">
        <v>854</v>
      </c>
      <c r="H23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36" s="37" t="s">
        <v>854</v>
      </c>
      <c r="J236" s="38">
        <v>45271</v>
      </c>
      <c r="K236" s="37" t="s">
        <v>859</v>
      </c>
      <c r="L236" s="37" t="str">
        <f ca="1">IF(AND(بيانات_العملاء[[#This Row],[السجل التجارى]]="موجود",TODAY()+'Other Data'!$B$23&lt;J236,بيانات_العملاء[[#This Row],[مطابقة اسم العميل بالاسم بالسجل التجارى]]="مطابق"), "سارى", "يجب اعادة طلبه")</f>
        <v>يجب اعادة طلبه</v>
      </c>
      <c r="M236" s="37" t="s">
        <v>856</v>
      </c>
      <c r="N236" s="39" t="str" cm="1">
        <f t="array" aca="1" ref="N236" ca="1">INDEX('SAP Customer Data'!$A:$AC,MATCH(بيانات_العملاء[[#This Row],[رمز شريك الأعمال]],'SAP Customer Data'!$B:$B,0),CELL("col",Table_Customer_Data[[#Headers],[LicTradNum]]))</f>
        <v>300406236100003</v>
      </c>
      <c r="O23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36" s="37" t="s">
        <v>856</v>
      </c>
      <c r="Q236" s="38"/>
      <c r="R23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6" s="37" t="s">
        <v>854</v>
      </c>
      <c r="T236" s="40">
        <v>50000</v>
      </c>
      <c r="U236" s="41"/>
      <c r="V23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236" s="37" cm="1">
        <f t="array" aca="1" ref="X236" ca="1">INDEX('SAP Customer Data'!$A:$AC,MATCH(بيانات_العملاء[[#This Row],[رمز شريك الأعمال]],'SAP Customer Data'!$B:$B,0),CELL("col",Table_Customer_Data[[#Headers],[CreditLine]]))</f>
        <v>40000</v>
      </c>
      <c r="Y23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36" s="37" t="s">
        <v>855</v>
      </c>
      <c r="AA23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36" s="37" t="s">
        <v>856</v>
      </c>
      <c r="AC236" s="37"/>
      <c r="AD23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6" s="37" t="s">
        <v>856</v>
      </c>
      <c r="AF236" s="37"/>
      <c r="AG23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6" s="37" t="s">
        <v>856</v>
      </c>
      <c r="AI236" s="37"/>
      <c r="AJ23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6" s="37"/>
      <c r="AL236" s="38"/>
      <c r="AM23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6" s="37" t="s">
        <v>856</v>
      </c>
      <c r="AO236" s="41"/>
      <c r="AP23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6" s="37" t="s">
        <v>856</v>
      </c>
      <c r="AR236" s="37"/>
      <c r="AS23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6" s="41" cm="1">
        <f t="array" aca="1" ref="AT236" ca="1">INDEX('SAP Customer Data'!A:Z,MATCH(بيانات_العملاء[[#This Row],[رمز شريك الأعمال]],'SAP Customer Data'!B:B,0),CELL("col",Table_Customer_Data[[#Headers],[CreateDate]]))</f>
        <v>43659</v>
      </c>
      <c r="AU236" s="37"/>
      <c r="AV236" s="41"/>
      <c r="AW236" s="37" t="s">
        <v>2097</v>
      </c>
      <c r="AX236" s="37"/>
    </row>
    <row r="237" spans="1:50" x14ac:dyDescent="0.25">
      <c r="A237" s="36" t="str" cm="1">
        <f t="array" aca="1" ref="A237" ca="1">INDEX('SAP Customer Data'!$A:$AC,MATCH(بيانات_العملاء[[#This Row],[رمز شريك الأعمال]],'SAP Customer Data'!$B:$B,0),CELL("col",Table_Customer_Data[[#Headers],[GroupName]]))</f>
        <v>CS04</v>
      </c>
      <c r="B237" s="35" t="s">
        <v>768</v>
      </c>
      <c r="C237" s="37" t="str" cm="1">
        <f t="array" aca="1" ref="C237" ca="1">INDEX('SAP Customer Data'!$A:$AC,MATCH(بيانات_العملاء[[#This Row],[رمز شريك الأعمال]],'SAP Customer Data'!$B:$B,0),CELL("col",Table_Customer_Data[[#Headers],[CardName]]))</f>
        <v>محل ابو عبدالله الحفر - نقدي</v>
      </c>
      <c r="D237" s="37" t="str">
        <f ca="1">IF(بيانات_العملاء[[#This Row],[حد الائتمان على SAP]]&gt;0,"آجل","نقدى")</f>
        <v>نقدى</v>
      </c>
      <c r="E237" s="37"/>
      <c r="F237" s="37" t="s">
        <v>1082</v>
      </c>
      <c r="G237" s="37" t="s">
        <v>854</v>
      </c>
      <c r="H23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37" s="37" t="s">
        <v>856</v>
      </c>
      <c r="J237" s="38"/>
      <c r="K237" s="37"/>
      <c r="L237" s="37" t="str">
        <f ca="1">IF(AND(بيانات_العملاء[[#This Row],[السجل التجارى]]="موجود",TODAY()+'Other Data'!$B$23&lt;J237,بيانات_العملاء[[#This Row],[مطابقة اسم العميل بالاسم بالسجل التجارى]]="مطابق"), "سارى", "يجب اعادة طلبه")</f>
        <v>يجب اعادة طلبه</v>
      </c>
      <c r="M237" s="37" t="s">
        <v>856</v>
      </c>
      <c r="N237" s="39" t="str" cm="1">
        <f t="array" aca="1" ref="N237" ca="1">INDEX('SAP Customer Data'!$A:$AC,MATCH(بيانات_العملاء[[#This Row],[رمز شريك الأعمال]],'SAP Customer Data'!$B:$B,0),CELL("col",Table_Customer_Data[[#Headers],[LicTradNum]]))</f>
        <v>300550997300003</v>
      </c>
      <c r="O23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37" s="37" t="s">
        <v>856</v>
      </c>
      <c r="Q237" s="38"/>
      <c r="R23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7" s="37" t="s">
        <v>854</v>
      </c>
      <c r="T237" s="40">
        <v>10000</v>
      </c>
      <c r="U237" s="41">
        <v>43635</v>
      </c>
      <c r="V237" s="41">
        <f>IF(بيانات_العملاء[[#This Row],[تاريخ انشاء سند الامر او الاستثناء]]="",0,بيانات_العملاء[[#This Row],[تاريخ انشاء سند الامر او الاستثناء]]+365*3)</f>
        <v>44730</v>
      </c>
      <c r="W23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</v>
      </c>
      <c r="X237" s="37" cm="1">
        <f t="array" aca="1" ref="X237" ca="1">INDEX('SAP Customer Data'!$A:$AC,MATCH(بيانات_العملاء[[#This Row],[رمز شريك الأعمال]],'SAP Customer Data'!$B:$B,0),CELL("col",Table_Customer_Data[[#Headers],[CreditLine]]))</f>
        <v>0</v>
      </c>
      <c r="Y23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237" s="37" t="s">
        <v>859</v>
      </c>
      <c r="AA23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37" s="37" t="s">
        <v>856</v>
      </c>
      <c r="AC237" s="37"/>
      <c r="AD23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7" s="37" t="s">
        <v>856</v>
      </c>
      <c r="AF237" s="37"/>
      <c r="AG23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7" s="37" t="s">
        <v>856</v>
      </c>
      <c r="AI237" s="37"/>
      <c r="AJ23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7" s="37"/>
      <c r="AL237" s="38"/>
      <c r="AM23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7" s="37" t="s">
        <v>856</v>
      </c>
      <c r="AO237" s="41"/>
      <c r="AP23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7" s="37" t="s">
        <v>856</v>
      </c>
      <c r="AR237" s="37"/>
      <c r="AS23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7" s="41" cm="1">
        <f t="array" aca="1" ref="AT237" ca="1">INDEX('SAP Customer Data'!A:Z,MATCH(بيانات_العملاء[[#This Row],[رمز شريك الأعمال]],'SAP Customer Data'!B:B,0),CELL("col",Table_Customer_Data[[#Headers],[CreateDate]]))</f>
        <v>43634</v>
      </c>
      <c r="AU237" s="37"/>
      <c r="AV237" s="41"/>
      <c r="AW237" s="37" t="s">
        <v>2097</v>
      </c>
      <c r="AX237" s="37"/>
    </row>
    <row r="238" spans="1:50" x14ac:dyDescent="0.25">
      <c r="A238" s="36" t="str" cm="1">
        <f t="array" aca="1" ref="A238" ca="1">INDEX('SAP Customer Data'!$A:$AC,MATCH(بيانات_العملاء[[#This Row],[رمز شريك الأعمال]],'SAP Customer Data'!$B:$B,0),CELL("col",Table_Customer_Data[[#Headers],[GroupName]]))</f>
        <v>CS04</v>
      </c>
      <c r="B238" s="35" t="s">
        <v>787</v>
      </c>
      <c r="C238" s="37" t="str" cm="1">
        <f t="array" aca="1" ref="C238" ca="1">INDEX('SAP Customer Data'!$A:$AC,MATCH(بيانات_العملاء[[#This Row],[رمز شريك الأعمال]],'SAP Customer Data'!$B:$B,0),CELL("col",Table_Customer_Data[[#Headers],[CardName]]))</f>
        <v>عبر الاماكن لمواد البناء</v>
      </c>
      <c r="D238" s="37" t="str">
        <f ca="1">IF(بيانات_العملاء[[#This Row],[حد الائتمان على SAP]]&gt;0,"آجل","نقدى")</f>
        <v>آجل</v>
      </c>
      <c r="E238" s="37" t="s">
        <v>1071</v>
      </c>
      <c r="F238" s="37" t="s">
        <v>1081</v>
      </c>
      <c r="G238" s="37" t="s">
        <v>854</v>
      </c>
      <c r="H23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38" s="37" t="s">
        <v>854</v>
      </c>
      <c r="J238" s="38">
        <v>43711</v>
      </c>
      <c r="K238" s="37" t="s">
        <v>855</v>
      </c>
      <c r="L238" s="37" t="str">
        <f ca="1">IF(AND(بيانات_العملاء[[#This Row],[السجل التجارى]]="موجود",TODAY()+'Other Data'!$B$23&lt;J238,بيانات_العملاء[[#This Row],[مطابقة اسم العميل بالاسم بالسجل التجارى]]="مطابق"), "سارى", "يجب اعادة طلبه")</f>
        <v>يجب اعادة طلبه</v>
      </c>
      <c r="M238" s="37" t="s">
        <v>854</v>
      </c>
      <c r="N238" s="39" t="str" cm="1">
        <f t="array" aca="1" ref="N238" ca="1">INDEX('SAP Customer Data'!$A:$AC,MATCH(بيانات_العملاء[[#This Row],[رمز شريك الأعمال]],'SAP Customer Data'!$B:$B,0),CELL("col",Table_Customer_Data[[#Headers],[LicTradNum]]))</f>
        <v>300817654100003</v>
      </c>
      <c r="O23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38" s="37" t="s">
        <v>856</v>
      </c>
      <c r="Q238" s="38"/>
      <c r="R23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8" s="37" t="s">
        <v>854</v>
      </c>
      <c r="T238" s="40">
        <v>30000</v>
      </c>
      <c r="U238" s="41"/>
      <c r="V23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238" s="37" cm="1">
        <f t="array" aca="1" ref="X238" ca="1">INDEX('SAP Customer Data'!$A:$AC,MATCH(بيانات_العملاء[[#This Row],[رمز شريك الأعمال]],'SAP Customer Data'!$B:$B,0),CELL("col",Table_Customer_Data[[#Headers],[CreditLine]]))</f>
        <v>24000</v>
      </c>
      <c r="Y23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38" s="37" t="s">
        <v>855</v>
      </c>
      <c r="AA23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38" s="37" t="s">
        <v>856</v>
      </c>
      <c r="AC238" s="37"/>
      <c r="AD23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8" s="37" t="s">
        <v>856</v>
      </c>
      <c r="AF238" s="37"/>
      <c r="AG23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8" s="37" t="s">
        <v>856</v>
      </c>
      <c r="AI238" s="37"/>
      <c r="AJ23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8" s="37"/>
      <c r="AL238" s="38"/>
      <c r="AM23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8" s="37" t="s">
        <v>856</v>
      </c>
      <c r="AO238" s="41"/>
      <c r="AP23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8" s="37" t="s">
        <v>856</v>
      </c>
      <c r="AR238" s="37"/>
      <c r="AS23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8" s="41" cm="1">
        <f t="array" aca="1" ref="AT238" ca="1">INDEX('SAP Customer Data'!A:Z,MATCH(بيانات_العملاء[[#This Row],[رمز شريك الأعمال]],'SAP Customer Data'!B:B,0),CELL("col",Table_Customer_Data[[#Headers],[CreateDate]]))</f>
        <v>43671</v>
      </c>
      <c r="AU238" s="37"/>
      <c r="AV238" s="41"/>
      <c r="AW238" s="37" t="s">
        <v>2097</v>
      </c>
      <c r="AX238" s="37"/>
    </row>
    <row r="239" spans="1:50" x14ac:dyDescent="0.25">
      <c r="A239" s="36" t="str" cm="1">
        <f t="array" aca="1" ref="A239" ca="1">INDEX('SAP Customer Data'!$A:$AC,MATCH(بيانات_العملاء[[#This Row],[رمز شريك الأعمال]],'SAP Customer Data'!$B:$B,0),CELL("col",Table_Customer_Data[[#Headers],[GroupName]]))</f>
        <v>CS04</v>
      </c>
      <c r="B239" s="35" t="s">
        <v>789</v>
      </c>
      <c r="C239" s="37" t="str" cm="1">
        <f t="array" aca="1" ref="C239" ca="1">INDEX('SAP Customer Data'!$A:$AC,MATCH(بيانات_العملاء[[#This Row],[رمز شريك الأعمال]],'SAP Customer Data'!$B:$B,0),CELL("col",Table_Customer_Data[[#Headers],[CardName]]))</f>
        <v>محل الصالح لمواد البناء لصاحبته شمة مفرح ثواب الحربي</v>
      </c>
      <c r="D239" s="37" t="str">
        <f ca="1">IF(بيانات_العملاء[[#This Row],[حد الائتمان على SAP]]&gt;0,"آجل","نقدى")</f>
        <v>آجل</v>
      </c>
      <c r="E239" s="37" t="s">
        <v>1072</v>
      </c>
      <c r="F239" s="37" t="s">
        <v>1081</v>
      </c>
      <c r="G239" s="37" t="s">
        <v>854</v>
      </c>
      <c r="H23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39" s="37" t="s">
        <v>854</v>
      </c>
      <c r="J239" s="38">
        <v>43758</v>
      </c>
      <c r="K239" s="37" t="s">
        <v>855</v>
      </c>
      <c r="L239" s="37" t="str">
        <f ca="1">IF(AND(بيانات_العملاء[[#This Row],[السجل التجارى]]="موجود",TODAY()+'Other Data'!$B$23&lt;J239,بيانات_العملاء[[#This Row],[مطابقة اسم العميل بالاسم بالسجل التجارى]]="مطابق"), "سارى", "يجب اعادة طلبه")</f>
        <v>يجب اعادة طلبه</v>
      </c>
      <c r="M239" s="37" t="s">
        <v>856</v>
      </c>
      <c r="N239" s="39" t="str" cm="1">
        <f t="array" aca="1" ref="N239" ca="1">INDEX('SAP Customer Data'!$A:$AC,MATCH(بيانات_العملاء[[#This Row],[رمز شريك الأعمال]],'SAP Customer Data'!$B:$B,0),CELL("col",Table_Customer_Data[[#Headers],[LicTradNum]]))</f>
        <v>300861711700003</v>
      </c>
      <c r="O23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39" s="37" t="s">
        <v>856</v>
      </c>
      <c r="Q239" s="38"/>
      <c r="R23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39" s="37" t="s">
        <v>854</v>
      </c>
      <c r="T239" s="40">
        <v>50000</v>
      </c>
      <c r="U239" s="41"/>
      <c r="V23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3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239" s="37" cm="1">
        <f t="array" aca="1" ref="X239" ca="1">INDEX('SAP Customer Data'!$A:$AC,MATCH(بيانات_العملاء[[#This Row],[رمز شريك الأعمال]],'SAP Customer Data'!$B:$B,0),CELL("col",Table_Customer_Data[[#Headers],[CreditLine]]))</f>
        <v>40000</v>
      </c>
      <c r="Y23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39" s="37" t="s">
        <v>855</v>
      </c>
      <c r="AA23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39" s="37" t="s">
        <v>856</v>
      </c>
      <c r="AC239" s="37"/>
      <c r="AD23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39" s="37" t="s">
        <v>856</v>
      </c>
      <c r="AF239" s="37"/>
      <c r="AG23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39" s="37" t="s">
        <v>856</v>
      </c>
      <c r="AI239" s="37"/>
      <c r="AJ23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39" s="37"/>
      <c r="AL239" s="38"/>
      <c r="AM23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39" s="37" t="s">
        <v>856</v>
      </c>
      <c r="AO239" s="41"/>
      <c r="AP23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39" s="37" t="s">
        <v>856</v>
      </c>
      <c r="AR239" s="37"/>
      <c r="AS23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39" s="41" cm="1">
        <f t="array" aca="1" ref="AT239" ca="1">INDEX('SAP Customer Data'!A:Z,MATCH(بيانات_العملاء[[#This Row],[رمز شريك الأعمال]],'SAP Customer Data'!B:B,0),CELL("col",Table_Customer_Data[[#Headers],[CreateDate]]))</f>
        <v>43719</v>
      </c>
      <c r="AU239" s="37"/>
      <c r="AV239" s="41"/>
      <c r="AW239" s="37" t="s">
        <v>2097</v>
      </c>
      <c r="AX239" s="37"/>
    </row>
    <row r="240" spans="1:50" x14ac:dyDescent="0.25">
      <c r="A240" s="36" t="str" cm="1">
        <f t="array" aca="1" ref="A240" ca="1">INDEX('SAP Customer Data'!$A:$AC,MATCH(بيانات_العملاء[[#This Row],[رمز شريك الأعمال]],'SAP Customer Data'!$B:$B,0),CELL("col",Table_Customer_Data[[#Headers],[GroupName]]))</f>
        <v>CS04</v>
      </c>
      <c r="B240" s="35" t="s">
        <v>775</v>
      </c>
      <c r="C240" s="37" t="str" cm="1">
        <f t="array" aca="1" ref="C240" ca="1">INDEX('SAP Customer Data'!$A:$AC,MATCH(بيانات_العملاء[[#This Row],[رمز شريك الأعمال]],'SAP Customer Data'!$B:$B,0),CELL("col",Table_Customer_Data[[#Headers],[CardName]]))</f>
        <v>مؤسسة مسلم كرامه الصيعري  لمواد البناء -نقدي</v>
      </c>
      <c r="D240" s="37" t="str">
        <f ca="1">IF(بيانات_العملاء[[#This Row],[حد الائتمان على SAP]]&gt;0,"آجل","نقدى")</f>
        <v>نقدى</v>
      </c>
      <c r="E240" s="37" t="s">
        <v>2388</v>
      </c>
      <c r="F240" s="37" t="s">
        <v>1081</v>
      </c>
      <c r="G240" s="37" t="s">
        <v>856</v>
      </c>
      <c r="H24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40" s="37" t="s">
        <v>854</v>
      </c>
      <c r="J240" s="38">
        <v>45266</v>
      </c>
      <c r="K240" s="37" t="s">
        <v>855</v>
      </c>
      <c r="L240" s="37" t="str">
        <f ca="1">IF(AND(بيانات_العملاء[[#This Row],[السجل التجارى]]="موجود",TODAY()+'Other Data'!$B$23&lt;J240,بيانات_العملاء[[#This Row],[مطابقة اسم العميل بالاسم بالسجل التجارى]]="مطابق"), "سارى", "يجب اعادة طلبه")</f>
        <v>سارى</v>
      </c>
      <c r="M240" s="37" t="s">
        <v>854</v>
      </c>
      <c r="N240" s="39" t="str" cm="1">
        <f t="array" aca="1" ref="N240" ca="1">INDEX('SAP Customer Data'!$A:$AC,MATCH(بيانات_العملاء[[#This Row],[رمز شريك الأعمال]],'SAP Customer Data'!$B:$B,0),CELL("col",Table_Customer_Data[[#Headers],[LicTradNum]]))</f>
        <v>300973094300003</v>
      </c>
      <c r="O24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40" s="37" t="s">
        <v>854</v>
      </c>
      <c r="Q240" s="38">
        <v>45768</v>
      </c>
      <c r="R24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240" s="37" t="s">
        <v>1080</v>
      </c>
      <c r="T240" s="40"/>
      <c r="U240" s="41"/>
      <c r="V24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40" s="37" cm="1">
        <f t="array" aca="1" ref="X240" ca="1">INDEX('SAP Customer Data'!$A:$AC,MATCH(بيانات_العملاء[[#This Row],[رمز شريك الأعمال]],'SAP Customer Data'!$B:$B,0),CELL("col",Table_Customer_Data[[#Headers],[CreditLine]]))</f>
        <v>0</v>
      </c>
      <c r="Y24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0" s="37"/>
      <c r="AA24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40" s="37" t="s">
        <v>856</v>
      </c>
      <c r="AC240" s="37"/>
      <c r="AD24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0" s="37" t="s">
        <v>856</v>
      </c>
      <c r="AF240" s="37"/>
      <c r="AG24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0" s="37" t="s">
        <v>856</v>
      </c>
      <c r="AI240" s="37"/>
      <c r="AJ24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0" s="37"/>
      <c r="AL240" s="38"/>
      <c r="AM24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0" s="37" t="s">
        <v>856</v>
      </c>
      <c r="AO240" s="41"/>
      <c r="AP24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0" s="37"/>
      <c r="AR240" s="37"/>
      <c r="AS24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0" s="41" cm="1">
        <f t="array" aca="1" ref="AT240" ca="1">INDEX('SAP Customer Data'!A:Z,MATCH(بيانات_العملاء[[#This Row],[رمز شريك الأعمال]],'SAP Customer Data'!B:B,0),CELL("col",Table_Customer_Data[[#Headers],[CreateDate]]))</f>
        <v>44010</v>
      </c>
      <c r="AU240" s="37"/>
      <c r="AV240" s="41"/>
      <c r="AW240" s="37" t="s">
        <v>2097</v>
      </c>
      <c r="AX240" s="37"/>
    </row>
    <row r="241" spans="1:50" x14ac:dyDescent="0.25">
      <c r="A241" s="36" t="str" cm="1">
        <f t="array" aca="1" ref="A241" ca="1">INDEX('SAP Customer Data'!$A:$AC,MATCH(بيانات_العملاء[[#This Row],[رمز شريك الأعمال]],'SAP Customer Data'!$B:$B,0),CELL("col",Table_Customer_Data[[#Headers],[GroupName]]))</f>
        <v>CS04</v>
      </c>
      <c r="B241" s="35" t="s">
        <v>764</v>
      </c>
      <c r="C241" s="37" t="str" cm="1">
        <f t="array" aca="1" ref="C241" ca="1">INDEX('SAP Customer Data'!$A:$AC,MATCH(بيانات_العملاء[[#This Row],[رمز شريك الأعمال]],'SAP Customer Data'!$B:$B,0),CELL("col",Table_Customer_Data[[#Headers],[CardName]]))</f>
        <v>محل شعلة الحفر</v>
      </c>
      <c r="D241" s="37" t="str">
        <f ca="1">IF(بيانات_العملاء[[#This Row],[حد الائتمان على SAP]]&gt;0,"آجل","نقدى")</f>
        <v>آجل</v>
      </c>
      <c r="E241" s="37"/>
      <c r="F241" s="37" t="s">
        <v>1082</v>
      </c>
      <c r="G241" s="37" t="s">
        <v>854</v>
      </c>
      <c r="H24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41" s="37" t="s">
        <v>856</v>
      </c>
      <c r="J241" s="38"/>
      <c r="K241" s="37"/>
      <c r="L241" s="37" t="str">
        <f ca="1">IF(AND(بيانات_العملاء[[#This Row],[السجل التجارى]]="موجود",TODAY()+'Other Data'!$B$23&lt;J241,بيانات_العملاء[[#This Row],[مطابقة اسم العميل بالاسم بالسجل التجارى]]="مطابق"), "سارى", "يجب اعادة طلبه")</f>
        <v>يجب اعادة طلبه</v>
      </c>
      <c r="M241" s="37" t="s">
        <v>854</v>
      </c>
      <c r="N241" s="39" t="str" cm="1">
        <f t="array" aca="1" ref="N241" ca="1">INDEX('SAP Customer Data'!$A:$AC,MATCH(بيانات_العملاء[[#This Row],[رمز شريك الأعمال]],'SAP Customer Data'!$B:$B,0),CELL("col",Table_Customer_Data[[#Headers],[LicTradNum]]))</f>
        <v>301186157700003</v>
      </c>
      <c r="O24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41" s="37" t="s">
        <v>856</v>
      </c>
      <c r="Q241" s="38"/>
      <c r="R24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1" s="37" t="s">
        <v>854</v>
      </c>
      <c r="T241" s="40">
        <v>20000</v>
      </c>
      <c r="U241" s="41"/>
      <c r="V24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241" s="37" cm="1">
        <f t="array" aca="1" ref="X241" ca="1">INDEX('SAP Customer Data'!$A:$AC,MATCH(بيانات_العملاء[[#This Row],[رمز شريك الأعمال]],'SAP Customer Data'!$B:$B,0),CELL("col",Table_Customer_Data[[#Headers],[CreditLine]]))</f>
        <v>16000</v>
      </c>
      <c r="Y24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1" s="37" t="s">
        <v>859</v>
      </c>
      <c r="AA24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41" s="37" t="s">
        <v>856</v>
      </c>
      <c r="AC241" s="37"/>
      <c r="AD24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1" s="37" t="s">
        <v>856</v>
      </c>
      <c r="AF241" s="37"/>
      <c r="AG24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1" s="37" t="s">
        <v>856</v>
      </c>
      <c r="AI241" s="37"/>
      <c r="AJ24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1" s="37"/>
      <c r="AL241" s="38"/>
      <c r="AM24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1" s="37" t="s">
        <v>856</v>
      </c>
      <c r="AO241" s="41"/>
      <c r="AP24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1" s="37" t="s">
        <v>856</v>
      </c>
      <c r="AR241" s="37"/>
      <c r="AS24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1" s="41" cm="1">
        <f t="array" aca="1" ref="AT241" ca="1">INDEX('SAP Customer Data'!A:Z,MATCH(بيانات_العملاء[[#This Row],[رمز شريك الأعمال]],'SAP Customer Data'!B:B,0),CELL("col",Table_Customer_Data[[#Headers],[CreateDate]]))</f>
        <v>43581</v>
      </c>
      <c r="AU241" s="37"/>
      <c r="AV241" s="41"/>
      <c r="AW241" s="37" t="s">
        <v>2097</v>
      </c>
      <c r="AX241" s="37"/>
    </row>
    <row r="242" spans="1:50" x14ac:dyDescent="0.25">
      <c r="A242" s="36" t="str" cm="1">
        <f t="array" aca="1" ref="A242" ca="1">INDEX('SAP Customer Data'!$A:$AC,MATCH(بيانات_العملاء[[#This Row],[رمز شريك الأعمال]],'SAP Customer Data'!$B:$B,0),CELL("col",Table_Customer_Data[[#Headers],[GroupName]]))</f>
        <v>CS04</v>
      </c>
      <c r="B242" s="35" t="s">
        <v>795</v>
      </c>
      <c r="C242" s="37" t="str" cm="1">
        <f t="array" aca="1" ref="C242" ca="1">INDEX('SAP Customer Data'!$A:$AC,MATCH(بيانات_العملاء[[#This Row],[رمز شريك الأعمال]],'SAP Customer Data'!$B:$B,0),CELL("col",Table_Customer_Data[[#Headers],[CardName]]))</f>
        <v>مؤسسة الماسي لمواد البناء</v>
      </c>
      <c r="D242" s="37" t="str">
        <f ca="1">IF(بيانات_العملاء[[#This Row],[حد الائتمان على SAP]]&gt;0,"آجل","نقدى")</f>
        <v>آجل</v>
      </c>
      <c r="E242" s="37" t="s">
        <v>1073</v>
      </c>
      <c r="F242" s="37" t="s">
        <v>1081</v>
      </c>
      <c r="G242" s="37" t="s">
        <v>854</v>
      </c>
      <c r="H24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42" s="37" t="s">
        <v>854</v>
      </c>
      <c r="J242" s="38">
        <v>44008</v>
      </c>
      <c r="K242" s="37" t="s">
        <v>855</v>
      </c>
      <c r="L242" s="37" t="str">
        <f ca="1">IF(AND(بيانات_العملاء[[#This Row],[السجل التجارى]]="موجود",TODAY()+'Other Data'!$B$23&lt;J242,بيانات_العملاء[[#This Row],[مطابقة اسم العميل بالاسم بالسجل التجارى]]="مطابق"), "سارى", "يجب اعادة طلبه")</f>
        <v>يجب اعادة طلبه</v>
      </c>
      <c r="M242" s="37" t="s">
        <v>856</v>
      </c>
      <c r="N242" s="39" t="str" cm="1">
        <f t="array" aca="1" ref="N242" ca="1">INDEX('SAP Customer Data'!$A:$AC,MATCH(بيانات_العملاء[[#This Row],[رمز شريك الأعمال]],'SAP Customer Data'!$B:$B,0),CELL("col",Table_Customer_Data[[#Headers],[LicTradNum]]))</f>
        <v>302049505700003</v>
      </c>
      <c r="O24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42" s="37" t="s">
        <v>856</v>
      </c>
      <c r="Q242" s="38"/>
      <c r="R24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2" s="37" t="s">
        <v>854</v>
      </c>
      <c r="T242" s="40">
        <v>150000</v>
      </c>
      <c r="U242" s="41"/>
      <c r="V24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120000</v>
      </c>
      <c r="X242" s="37" cm="1">
        <f t="array" aca="1" ref="X242" ca="1">INDEX('SAP Customer Data'!$A:$AC,MATCH(بيانات_العملاء[[#This Row],[رمز شريك الأعمال]],'SAP Customer Data'!$B:$B,0),CELL("col",Table_Customer_Data[[#Headers],[CreditLine]]))</f>
        <v>120000</v>
      </c>
      <c r="Y24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2" s="37" t="s">
        <v>855</v>
      </c>
      <c r="AA24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42" s="37" t="s">
        <v>856</v>
      </c>
      <c r="AC242" s="37"/>
      <c r="AD24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2" s="37" t="s">
        <v>856</v>
      </c>
      <c r="AF242" s="37"/>
      <c r="AG24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2" s="37" t="s">
        <v>856</v>
      </c>
      <c r="AI242" s="37"/>
      <c r="AJ24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2" s="37"/>
      <c r="AL242" s="38"/>
      <c r="AM24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2" s="37" t="s">
        <v>856</v>
      </c>
      <c r="AO242" s="41"/>
      <c r="AP24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2" s="37" t="s">
        <v>856</v>
      </c>
      <c r="AR242" s="37"/>
      <c r="AS24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2" s="41" cm="1">
        <f t="array" aca="1" ref="AT242" ca="1">INDEX('SAP Customer Data'!A:Z,MATCH(بيانات_العملاء[[#This Row],[رمز شريك الأعمال]],'SAP Customer Data'!B:B,0),CELL("col",Table_Customer_Data[[#Headers],[CreateDate]]))</f>
        <v>43814</v>
      </c>
      <c r="AU242" s="37"/>
      <c r="AV242" s="41"/>
      <c r="AW242" s="37" t="s">
        <v>2097</v>
      </c>
      <c r="AX242" s="37"/>
    </row>
    <row r="243" spans="1:50" x14ac:dyDescent="0.25">
      <c r="A243" s="36" t="str" cm="1">
        <f t="array" aca="1" ref="A243" ca="1">INDEX('SAP Customer Data'!$A:$AC,MATCH(بيانات_العملاء[[#This Row],[رمز شريك الأعمال]],'SAP Customer Data'!$B:$B,0),CELL("col",Table_Customer_Data[[#Headers],[GroupName]]))</f>
        <v>CS04</v>
      </c>
      <c r="B243" s="35" t="s">
        <v>793</v>
      </c>
      <c r="C243" s="37" t="str" cm="1">
        <f t="array" aca="1" ref="C243" ca="1">INDEX('SAP Customer Data'!$A:$AC,MATCH(بيانات_العملاء[[#This Row],[رمز شريك الأعمال]],'SAP Customer Data'!$B:$B,0),CELL("col",Table_Customer_Data[[#Headers],[CardName]]))</f>
        <v>شركة مدائن الشمال التجارية</v>
      </c>
      <c r="D243" s="37" t="str">
        <f ca="1">IF(بيانات_العملاء[[#This Row],[حد الائتمان على SAP]]&gt;0,"آجل","نقدى")</f>
        <v>آجل</v>
      </c>
      <c r="E243" s="37"/>
      <c r="F243" s="37" t="s">
        <v>997</v>
      </c>
      <c r="G243" s="37" t="s">
        <v>854</v>
      </c>
      <c r="H24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43" s="37" t="s">
        <v>854</v>
      </c>
      <c r="J243" s="38">
        <v>44162</v>
      </c>
      <c r="K243" s="37" t="s">
        <v>855</v>
      </c>
      <c r="L243" s="37" t="str">
        <f ca="1">IF(AND(بيانات_العملاء[[#This Row],[السجل التجارى]]="موجود",TODAY()+'Other Data'!$B$23&lt;J243,بيانات_العملاء[[#This Row],[مطابقة اسم العميل بالاسم بالسجل التجارى]]="مطابق"), "سارى", "يجب اعادة طلبه")</f>
        <v>يجب اعادة طلبه</v>
      </c>
      <c r="M243" s="37" t="s">
        <v>856</v>
      </c>
      <c r="N243" s="39" t="str" cm="1">
        <f t="array" aca="1" ref="N243" ca="1">INDEX('SAP Customer Data'!$A:$AC,MATCH(بيانات_العملاء[[#This Row],[رمز شريك الأعمال]],'SAP Customer Data'!$B:$B,0),CELL("col",Table_Customer_Data[[#Headers],[LicTradNum]]))</f>
        <v>310422227300003</v>
      </c>
      <c r="O24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43" s="37" t="s">
        <v>856</v>
      </c>
      <c r="Q243" s="38"/>
      <c r="R24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3" s="37" t="s">
        <v>854</v>
      </c>
      <c r="T243" s="40">
        <v>100000</v>
      </c>
      <c r="U243" s="41">
        <v>43787</v>
      </c>
      <c r="V243" s="41">
        <f>IF(بيانات_العملاء[[#This Row],[تاريخ انشاء سند الامر او الاستثناء]]="",0,بيانات_العملاء[[#This Row],[تاريخ انشاء سند الامر او الاستثناء]]+365*3)</f>
        <v>44882</v>
      </c>
      <c r="W24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243" s="37" cm="1">
        <f t="array" aca="1" ref="X243" ca="1">INDEX('SAP Customer Data'!$A:$AC,MATCH(بيانات_العملاء[[#This Row],[رمز شريك الأعمال]],'SAP Customer Data'!$B:$B,0),CELL("col",Table_Customer_Data[[#Headers],[CreditLine]]))</f>
        <v>40000</v>
      </c>
      <c r="Y24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243" s="37" t="s">
        <v>855</v>
      </c>
      <c r="AA24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43" s="37" t="s">
        <v>856</v>
      </c>
      <c r="AC243" s="37"/>
      <c r="AD24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3" s="37"/>
      <c r="AF243" s="37"/>
      <c r="AG24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3" s="37" t="s">
        <v>856</v>
      </c>
      <c r="AI243" s="37"/>
      <c r="AJ24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3" s="37"/>
      <c r="AL243" s="38"/>
      <c r="AM24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3" s="37" t="s">
        <v>856</v>
      </c>
      <c r="AO243" s="41"/>
      <c r="AP24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3" s="37" t="s">
        <v>856</v>
      </c>
      <c r="AR243" s="37"/>
      <c r="AS24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3" s="41" cm="1">
        <f t="array" aca="1" ref="AT243" ca="1">INDEX('SAP Customer Data'!A:Z,MATCH(بيانات_العملاء[[#This Row],[رمز شريك الأعمال]],'SAP Customer Data'!B:B,0),CELL("col",Table_Customer_Data[[#Headers],[CreateDate]]))</f>
        <v>43794</v>
      </c>
      <c r="AU243" s="37"/>
      <c r="AV243" s="41"/>
      <c r="AW243" s="37" t="s">
        <v>2097</v>
      </c>
      <c r="AX243" s="37"/>
    </row>
    <row r="244" spans="1:50" x14ac:dyDescent="0.25">
      <c r="A244" s="16" t="str" cm="1">
        <f t="array" aca="1" ref="A244" ca="1">INDEX('SAP Customer Data'!$A:$AC,MATCH(بيانات_العملاء[[#This Row],[رمز شريك الأعمال]],'SAP Customer Data'!$B:$B,0),CELL("col",Table_Customer_Data[[#Headers],[GroupName]]))</f>
        <v>CS04</v>
      </c>
      <c r="B244" s="17" t="s">
        <v>756</v>
      </c>
      <c r="C244" s="15" t="str" cm="1">
        <f t="array" aca="1" ref="C244" ca="1">INDEX('SAP Customer Data'!$A:$AC,MATCH(بيانات_العملاء[[#This Row],[رمز شريك الأعمال]],'SAP Customer Data'!$B:$B,0),CELL("col",Table_Customer_Data[[#Headers],[CardName]]))</f>
        <v>محل الدرع</v>
      </c>
      <c r="D244" s="15" t="str">
        <f ca="1">IF(بيانات_العملاء[[#This Row],[حد الائتمان على SAP]]&gt;0,"آجل","نقدى")</f>
        <v>آجل</v>
      </c>
      <c r="E244" s="15"/>
      <c r="F244" s="15" t="s">
        <v>1082</v>
      </c>
      <c r="G244" s="24" t="s">
        <v>856</v>
      </c>
      <c r="H244" s="15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44" s="15" t="s">
        <v>856</v>
      </c>
      <c r="J244" s="18"/>
      <c r="K244" s="15"/>
      <c r="L244" s="15" t="str">
        <f ca="1">IF(AND(بيانات_العملاء[[#This Row],[السجل التجارى]]="موجود",TODAY()+'Other Data'!$B$23&lt;J244,بيانات_العملاء[[#This Row],[مطابقة اسم العميل بالاسم بالسجل التجارى]]="مطابق"), "سارى", "يجب اعادة طلبه")</f>
        <v>يجب اعادة طلبه</v>
      </c>
      <c r="M244" s="15" t="s">
        <v>856</v>
      </c>
      <c r="N244" s="19" t="str" cm="1">
        <f t="array" aca="1" ref="N244" ca="1">INDEX('SAP Customer Data'!$A:$AC,MATCH(بيانات_العملاء[[#This Row],[رمز شريك الأعمال]],'SAP Customer Data'!$B:$B,0),CELL("col",Table_Customer_Data[[#Headers],[LicTradNum]]))</f>
        <v>301001457600003</v>
      </c>
      <c r="O244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44" s="15" t="s">
        <v>856</v>
      </c>
      <c r="Q244" s="18"/>
      <c r="R244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4" s="15" t="s">
        <v>856</v>
      </c>
      <c r="T244" s="20"/>
      <c r="U244" s="8"/>
      <c r="V244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44" s="15" cm="1">
        <f t="array" aca="1" ref="X244" ca="1">INDEX('SAP Customer Data'!$A:$AC,MATCH(بيانات_العملاء[[#This Row],[رمز شريك الأعمال]],'SAP Customer Data'!$B:$B,0),CELL("col",Table_Customer_Data[[#Headers],[CreditLine]]))</f>
        <v>16000</v>
      </c>
      <c r="Y24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244" s="37"/>
      <c r="AA24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44" s="15" t="s">
        <v>856</v>
      </c>
      <c r="AC244" s="15"/>
      <c r="AD244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4" s="15" t="s">
        <v>856</v>
      </c>
      <c r="AF244" s="15"/>
      <c r="AG244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4" s="15" t="s">
        <v>856</v>
      </c>
      <c r="AI244" s="15"/>
      <c r="AJ244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4" s="15"/>
      <c r="AL244" s="18"/>
      <c r="AM244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4" s="15" t="s">
        <v>856</v>
      </c>
      <c r="AO244" s="8"/>
      <c r="AP244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4" s="15" t="s">
        <v>856</v>
      </c>
      <c r="AR244" s="15"/>
      <c r="AS244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4" s="8" cm="1">
        <f t="array" aca="1" ref="AT244" ca="1">INDEX('SAP Customer Data'!A:Z,MATCH(بيانات_العملاء[[#This Row],[رمز شريك الأعمال]],'SAP Customer Data'!B:B,0),CELL("col",Table_Customer_Data[[#Headers],[CreateDate]]))</f>
        <v>43581</v>
      </c>
      <c r="AU244" s="15"/>
      <c r="AV244" s="33" t="s">
        <v>920</v>
      </c>
      <c r="AW244" s="15" t="s">
        <v>2097</v>
      </c>
      <c r="AX244" s="15"/>
    </row>
    <row r="245" spans="1:50" x14ac:dyDescent="0.25">
      <c r="A245" s="36" t="str" cm="1">
        <f t="array" aca="1" ref="A245" ca="1">INDEX('SAP Customer Data'!$A:$AC,MATCH(بيانات_العملاء[[#This Row],[رمز شريك الأعمال]],'SAP Customer Data'!$B:$B,0),CELL("col",Table_Customer_Data[[#Headers],[GroupName]]))</f>
        <v>CS04</v>
      </c>
      <c r="B245" s="42" t="s">
        <v>763</v>
      </c>
      <c r="C245" s="37" t="str" cm="1">
        <f t="array" aca="1" ref="C245" ca="1">INDEX('SAP Customer Data'!$A:$AC,MATCH(بيانات_العملاء[[#This Row],[رمز شريك الأعمال]],'SAP Customer Data'!$B:$B,0),CELL("col",Table_Customer_Data[[#Headers],[CardName]]))</f>
        <v>محل الغيداني - نقدى</v>
      </c>
      <c r="D245" s="37" t="str">
        <f ca="1">IF(بيانات_العملاء[[#This Row],[حد الائتمان على SAP]]&gt;0,"آجل","نقدى")</f>
        <v>نقدى</v>
      </c>
      <c r="E245" s="37"/>
      <c r="F245" s="37" t="s">
        <v>1082</v>
      </c>
      <c r="G245" s="37"/>
      <c r="H24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45" s="37" t="s">
        <v>856</v>
      </c>
      <c r="J245" s="38"/>
      <c r="K245" s="37"/>
      <c r="L245" s="37" t="str">
        <f ca="1">IF(AND(بيانات_العملاء[[#This Row],[السجل التجارى]]="موجود",TODAY()+'Other Data'!$B$23&lt;J245,بيانات_العملاء[[#This Row],[مطابقة اسم العميل بالاسم بالسجل التجارى]]="مطابق"), "سارى", "يجب اعادة طلبه")</f>
        <v>يجب اعادة طلبه</v>
      </c>
      <c r="M245" s="37" t="s">
        <v>854</v>
      </c>
      <c r="N245" s="39" t="str" cm="1">
        <f t="array" aca="1" ref="N245" ca="1">INDEX('SAP Customer Data'!$A:$AC,MATCH(بيانات_العملاء[[#This Row],[رمز شريك الأعمال]],'SAP Customer Data'!$B:$B,0),CELL("col",Table_Customer_Data[[#Headers],[LicTradNum]]))</f>
        <v>301039579100003</v>
      </c>
      <c r="O24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45" s="37"/>
      <c r="Q245" s="38"/>
      <c r="R24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5" s="37" t="s">
        <v>1080</v>
      </c>
      <c r="T245" s="40"/>
      <c r="U245" s="41"/>
      <c r="V24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45" s="37" cm="1">
        <f t="array" aca="1" ref="X245" ca="1">INDEX('SAP Customer Data'!$A:$AC,MATCH(بيانات_العملاء[[#This Row],[رمز شريك الأعمال]],'SAP Customer Data'!$B:$B,0),CELL("col",Table_Customer_Data[[#Headers],[CreditLine]]))</f>
        <v>0</v>
      </c>
      <c r="Y24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5" s="37"/>
      <c r="AA24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45" s="37"/>
      <c r="AC245" s="37"/>
      <c r="AD24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5" s="37"/>
      <c r="AF245" s="37"/>
      <c r="AG24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5" s="37"/>
      <c r="AI245" s="37"/>
      <c r="AJ24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5" s="37"/>
      <c r="AL245" s="38"/>
      <c r="AM24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5" s="37"/>
      <c r="AO245" s="41"/>
      <c r="AP24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5" s="37"/>
      <c r="AR245" s="37"/>
      <c r="AS24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5" s="41" cm="1">
        <f t="array" aca="1" ref="AT245" ca="1">INDEX('SAP Customer Data'!A:Z,MATCH(بيانات_العملاء[[#This Row],[رمز شريك الأعمال]],'SAP Customer Data'!B:B,0),CELL("col",Table_Customer_Data[[#Headers],[CreateDate]]))</f>
        <v>43581</v>
      </c>
      <c r="AU245" s="37"/>
      <c r="AV245" s="41"/>
      <c r="AW245" s="37" t="s">
        <v>2097</v>
      </c>
      <c r="AX245" s="37"/>
    </row>
    <row r="246" spans="1:50" x14ac:dyDescent="0.25">
      <c r="A246" s="36" t="str" cm="1">
        <f t="array" aca="1" ref="A246" ca="1">INDEX('SAP Customer Data'!$A:$AC,MATCH(بيانات_العملاء[[#This Row],[رمز شريك الأعمال]],'SAP Customer Data'!$B:$B,0),CELL("col",Table_Customer_Data[[#Headers],[GroupName]]))</f>
        <v>CS04</v>
      </c>
      <c r="B246" s="42" t="s">
        <v>766</v>
      </c>
      <c r="C246" s="37" t="str" cm="1">
        <f t="array" aca="1" ref="C246" ca="1">INDEX('SAP Customer Data'!$A:$AC,MATCH(بيانات_العملاء[[#This Row],[رمز شريك الأعمال]],'SAP Customer Data'!$B:$B,0),CELL("col",Table_Customer_Data[[#Headers],[CardName]]))</f>
        <v>محل جود المملكة - نقدى</v>
      </c>
      <c r="D246" s="37" t="str">
        <f ca="1">IF(بيانات_العملاء[[#This Row],[حد الائتمان على SAP]]&gt;0,"آجل","نقدى")</f>
        <v>نقدى</v>
      </c>
      <c r="E246" s="37"/>
      <c r="F246" s="37" t="s">
        <v>1082</v>
      </c>
      <c r="G246" s="37"/>
      <c r="H24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46" s="37" t="s">
        <v>856</v>
      </c>
      <c r="J246" s="38"/>
      <c r="K246" s="37"/>
      <c r="L246" s="37" t="str">
        <f ca="1">IF(AND(بيانات_العملاء[[#This Row],[السجل التجارى]]="موجود",TODAY()+'Other Data'!$B$23&lt;J246,بيانات_العملاء[[#This Row],[مطابقة اسم العميل بالاسم بالسجل التجارى]]="مطابق"), "سارى", "يجب اعادة طلبه")</f>
        <v>يجب اعادة طلبه</v>
      </c>
      <c r="M246" s="37" t="s">
        <v>854</v>
      </c>
      <c r="N246" s="39" t="str" cm="1">
        <f t="array" aca="1" ref="N246" ca="1">INDEX('SAP Customer Data'!$A:$AC,MATCH(بيانات_العملاء[[#This Row],[رمز شريك الأعمال]],'SAP Customer Data'!$B:$B,0),CELL("col",Table_Customer_Data[[#Headers],[LicTradNum]]))</f>
        <v>302067383800003</v>
      </c>
      <c r="O24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46" s="37"/>
      <c r="Q246" s="38"/>
      <c r="R24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6" s="37" t="s">
        <v>1080</v>
      </c>
      <c r="T246" s="40"/>
      <c r="U246" s="41"/>
      <c r="V24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46" s="37" cm="1">
        <f t="array" aca="1" ref="X246" ca="1">INDEX('SAP Customer Data'!$A:$AC,MATCH(بيانات_العملاء[[#This Row],[رمز شريك الأعمال]],'SAP Customer Data'!$B:$B,0),CELL("col",Table_Customer_Data[[#Headers],[CreditLine]]))</f>
        <v>0</v>
      </c>
      <c r="Y24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6" s="37"/>
      <c r="AA24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46" s="37"/>
      <c r="AC246" s="37"/>
      <c r="AD24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6" s="37"/>
      <c r="AF246" s="37"/>
      <c r="AG24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6" s="37"/>
      <c r="AI246" s="37"/>
      <c r="AJ24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6" s="37"/>
      <c r="AL246" s="38"/>
      <c r="AM24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6" s="37"/>
      <c r="AO246" s="41"/>
      <c r="AP24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6" s="37"/>
      <c r="AR246" s="37"/>
      <c r="AS24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6" s="41" cm="1">
        <f t="array" aca="1" ref="AT246" ca="1">INDEX('SAP Customer Data'!A:Z,MATCH(بيانات_العملاء[[#This Row],[رمز شريك الأعمال]],'SAP Customer Data'!B:B,0),CELL("col",Table_Customer_Data[[#Headers],[CreateDate]]))</f>
        <v>43581</v>
      </c>
      <c r="AU246" s="37"/>
      <c r="AV246" s="41"/>
      <c r="AW246" s="37" t="s">
        <v>2097</v>
      </c>
      <c r="AX246" s="37"/>
    </row>
    <row r="247" spans="1:50" x14ac:dyDescent="0.25">
      <c r="A247" s="36" t="str" cm="1">
        <f t="array" aca="1" ref="A247" ca="1">INDEX('SAP Customer Data'!$A:$AC,MATCH(بيانات_العملاء[[#This Row],[رمز شريك الأعمال]],'SAP Customer Data'!$B:$B,0),CELL("col",Table_Customer_Data[[#Headers],[GroupName]]))</f>
        <v>CS04</v>
      </c>
      <c r="B247" s="42" t="s">
        <v>797</v>
      </c>
      <c r="C247" s="37" t="str" cm="1">
        <f t="array" aca="1" ref="C247" ca="1">INDEX('SAP Customer Data'!$A:$AC,MATCH(بيانات_العملاء[[#This Row],[رمز شريك الأعمال]],'SAP Customer Data'!$B:$B,0),CELL("col",Table_Customer_Data[[#Headers],[CardName]]))</f>
        <v>مؤسسة اللجين المعمارية للمقاولات - نقدي</v>
      </c>
      <c r="D247" s="37" t="str">
        <f ca="1">IF(بيانات_العملاء[[#This Row],[حد الائتمان على SAP]]&gt;0,"آجل","نقدى")</f>
        <v>نقدى</v>
      </c>
      <c r="E247" s="37"/>
      <c r="F247" s="37" t="s">
        <v>1082</v>
      </c>
      <c r="G247" s="37"/>
      <c r="H24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47" s="37" t="s">
        <v>856</v>
      </c>
      <c r="J247" s="38"/>
      <c r="K247" s="37"/>
      <c r="L247" s="37" t="str">
        <f ca="1">IF(AND(بيانات_العملاء[[#This Row],[السجل التجارى]]="موجود",TODAY()+'Other Data'!$B$23&lt;J247,بيانات_العملاء[[#This Row],[مطابقة اسم العميل بالاسم بالسجل التجارى]]="مطابق"), "سارى", "يجب اعادة طلبه")</f>
        <v>يجب اعادة طلبه</v>
      </c>
      <c r="M247" s="37" t="s">
        <v>854</v>
      </c>
      <c r="N247" s="39" t="str" cm="1">
        <f t="array" aca="1" ref="N247" ca="1">INDEX('SAP Customer Data'!$A:$AC,MATCH(بيانات_العملاء[[#This Row],[رمز شريك الأعمال]],'SAP Customer Data'!$B:$B,0),CELL("col",Table_Customer_Data[[#Headers],[LicTradNum]]))</f>
        <v>310013389300003</v>
      </c>
      <c r="O24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47" s="37"/>
      <c r="Q247" s="38"/>
      <c r="R24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7" s="37" t="s">
        <v>1080</v>
      </c>
      <c r="T247" s="40"/>
      <c r="U247" s="41"/>
      <c r="V24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47" s="37" cm="1">
        <f t="array" aca="1" ref="X247" ca="1">INDEX('SAP Customer Data'!$A:$AC,MATCH(بيانات_العملاء[[#This Row],[رمز شريك الأعمال]],'SAP Customer Data'!$B:$B,0),CELL("col",Table_Customer_Data[[#Headers],[CreditLine]]))</f>
        <v>0</v>
      </c>
      <c r="Y24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7" s="37"/>
      <c r="AA24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47" s="37"/>
      <c r="AC247" s="37"/>
      <c r="AD24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7" s="37"/>
      <c r="AF247" s="37"/>
      <c r="AG24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7" s="37"/>
      <c r="AI247" s="37"/>
      <c r="AJ24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7" s="37"/>
      <c r="AL247" s="38"/>
      <c r="AM24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7" s="37"/>
      <c r="AO247" s="41"/>
      <c r="AP24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7" s="37"/>
      <c r="AR247" s="37"/>
      <c r="AS24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7" s="41" cm="1">
        <f t="array" aca="1" ref="AT247" ca="1">INDEX('SAP Customer Data'!A:Z,MATCH(بيانات_العملاء[[#This Row],[رمز شريك الأعمال]],'SAP Customer Data'!B:B,0),CELL("col",Table_Customer_Data[[#Headers],[CreateDate]]))</f>
        <v>43971</v>
      </c>
      <c r="AU247" s="37"/>
      <c r="AV247" s="41"/>
      <c r="AW247" s="37" t="s">
        <v>2097</v>
      </c>
      <c r="AX247" s="37"/>
    </row>
    <row r="248" spans="1:50" x14ac:dyDescent="0.25">
      <c r="A248" s="36" t="str" cm="1">
        <f t="array" aca="1" ref="A248" ca="1">INDEX('SAP Customer Data'!$A:$AC,MATCH(بيانات_العملاء[[#This Row],[رمز شريك الأعمال]],'SAP Customer Data'!$B:$B,0),CELL("col",Table_Customer_Data[[#Headers],[GroupName]]))</f>
        <v>CS04</v>
      </c>
      <c r="B248" s="42" t="s">
        <v>767</v>
      </c>
      <c r="C248" s="37" t="str" cm="1">
        <f t="array" aca="1" ref="C248" ca="1">INDEX('SAP Customer Data'!$A:$AC,MATCH(بيانات_العملاء[[#This Row],[رمز شريك الأعمال]],'SAP Customer Data'!$B:$B,0),CELL("col",Table_Customer_Data[[#Headers],[CardName]]))</f>
        <v>محل ابو عمر - نقدى</v>
      </c>
      <c r="D248" s="37" t="str">
        <f ca="1">IF(بيانات_العملاء[[#This Row],[حد الائتمان على SAP]]&gt;0,"آجل","نقدى")</f>
        <v>نقدى</v>
      </c>
      <c r="E248" s="37"/>
      <c r="F248" s="37" t="s">
        <v>1082</v>
      </c>
      <c r="G248" s="37"/>
      <c r="H24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48" s="37" t="s">
        <v>856</v>
      </c>
      <c r="J248" s="38"/>
      <c r="K248" s="37"/>
      <c r="L248" s="37" t="str">
        <f ca="1">IF(AND(بيانات_العملاء[[#This Row],[السجل التجارى]]="موجود",TODAY()+'Other Data'!$B$23&lt;J248,بيانات_العملاء[[#This Row],[مطابقة اسم العميل بالاسم بالسجل التجارى]]="مطابق"), "سارى", "يجب اعادة طلبه")</f>
        <v>يجب اعادة طلبه</v>
      </c>
      <c r="M248" s="37" t="s">
        <v>854</v>
      </c>
      <c r="N248" s="39" t="str" cm="1">
        <f t="array" aca="1" ref="N248" ca="1">INDEX('SAP Customer Data'!$A:$AC,MATCH(بيانات_العملاء[[#This Row],[رمز شريك الأعمال]],'SAP Customer Data'!$B:$B,0),CELL("col",Table_Customer_Data[[#Headers],[LicTradNum]]))</f>
        <v>310122304500003</v>
      </c>
      <c r="O24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48" s="37"/>
      <c r="Q248" s="38"/>
      <c r="R24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8" s="37" t="s">
        <v>1080</v>
      </c>
      <c r="T248" s="40"/>
      <c r="U248" s="41"/>
      <c r="V24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48" s="37" cm="1">
        <f t="array" aca="1" ref="X248" ca="1">INDEX('SAP Customer Data'!$A:$AC,MATCH(بيانات_العملاء[[#This Row],[رمز شريك الأعمال]],'SAP Customer Data'!$B:$B,0),CELL("col",Table_Customer_Data[[#Headers],[CreditLine]]))</f>
        <v>0</v>
      </c>
      <c r="Y24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8" s="37"/>
      <c r="AA24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48" s="37"/>
      <c r="AC248" s="37"/>
      <c r="AD24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8" s="37"/>
      <c r="AF248" s="37"/>
      <c r="AG24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8" s="37"/>
      <c r="AI248" s="37"/>
      <c r="AJ24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8" s="37"/>
      <c r="AL248" s="38"/>
      <c r="AM24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8" s="37"/>
      <c r="AO248" s="41"/>
      <c r="AP24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8" s="37"/>
      <c r="AR248" s="37"/>
      <c r="AS24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8" s="41" cm="1">
        <f t="array" aca="1" ref="AT248" ca="1">INDEX('SAP Customer Data'!A:Z,MATCH(بيانات_العملاء[[#This Row],[رمز شريك الأعمال]],'SAP Customer Data'!B:B,0),CELL("col",Table_Customer_Data[[#Headers],[CreateDate]]))</f>
        <v>43581</v>
      </c>
      <c r="AU248" s="37"/>
      <c r="AV248" s="41"/>
      <c r="AW248" s="37" t="s">
        <v>2097</v>
      </c>
      <c r="AX248" s="37"/>
    </row>
    <row r="249" spans="1:50" x14ac:dyDescent="0.25">
      <c r="A249" s="36" t="str" cm="1">
        <f t="array" aca="1" ref="A249" ca="1">INDEX('SAP Customer Data'!$A:$AC,MATCH(بيانات_العملاء[[#This Row],[رمز شريك الأعمال]],'SAP Customer Data'!$B:$B,0),CELL("col",Table_Customer_Data[[#Headers],[GroupName]]))</f>
        <v>CS04</v>
      </c>
      <c r="B249" s="42" t="s">
        <v>774</v>
      </c>
      <c r="C249" s="37" t="str" cm="1">
        <f t="array" aca="1" ref="C249" ca="1">INDEX('SAP Customer Data'!$A:$AC,MATCH(بيانات_العملاء[[#This Row],[رمز شريك الأعمال]],'SAP Customer Data'!$B:$B,0),CELL("col",Table_Customer_Data[[#Headers],[CardName]]))</f>
        <v>مؤسسة عبدالرحمن الهاجري / الخافجي - نقدى</v>
      </c>
      <c r="D249" s="37" t="str">
        <f ca="1">IF(بيانات_العملاء[[#This Row],[حد الائتمان على SAP]]&gt;0,"آجل","نقدى")</f>
        <v>نقدى</v>
      </c>
      <c r="E249" s="37"/>
      <c r="F249" s="37" t="s">
        <v>1082</v>
      </c>
      <c r="G249" s="37"/>
      <c r="H24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49" s="37" t="s">
        <v>856</v>
      </c>
      <c r="J249" s="38"/>
      <c r="K249" s="37"/>
      <c r="L249" s="37" t="str">
        <f ca="1">IF(AND(بيانات_العملاء[[#This Row],[السجل التجارى]]="موجود",TODAY()+'Other Data'!$B$23&lt;J249,بيانات_العملاء[[#This Row],[مطابقة اسم العميل بالاسم بالسجل التجارى]]="مطابق"), "سارى", "يجب اعادة طلبه")</f>
        <v>يجب اعادة طلبه</v>
      </c>
      <c r="M249" s="37" t="s">
        <v>854</v>
      </c>
      <c r="N249" s="39" t="str" cm="1">
        <f t="array" aca="1" ref="N249" ca="1">INDEX('SAP Customer Data'!$A:$AC,MATCH(بيانات_العملاء[[#This Row],[رمز شريك الأعمال]],'SAP Customer Data'!$B:$B,0),CELL("col",Table_Customer_Data[[#Headers],[LicTradNum]]))</f>
        <v>310259356800003</v>
      </c>
      <c r="O24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49" s="37"/>
      <c r="Q249" s="38"/>
      <c r="R24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49" s="37" t="s">
        <v>1080</v>
      </c>
      <c r="T249" s="40"/>
      <c r="U249" s="41"/>
      <c r="V24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4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49" s="37" cm="1">
        <f t="array" aca="1" ref="X249" ca="1">INDEX('SAP Customer Data'!$A:$AC,MATCH(بيانات_العملاء[[#This Row],[رمز شريك الأعمال]],'SAP Customer Data'!$B:$B,0),CELL("col",Table_Customer_Data[[#Headers],[CreditLine]]))</f>
        <v>0</v>
      </c>
      <c r="Y24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49" s="37"/>
      <c r="AA24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49" s="37"/>
      <c r="AC249" s="37"/>
      <c r="AD24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49" s="37"/>
      <c r="AF249" s="37"/>
      <c r="AG24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49" s="37"/>
      <c r="AI249" s="37"/>
      <c r="AJ24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49" s="37"/>
      <c r="AL249" s="38"/>
      <c r="AM24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49" s="37"/>
      <c r="AO249" s="41"/>
      <c r="AP24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49" s="37"/>
      <c r="AR249" s="37"/>
      <c r="AS24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49" s="41" cm="1">
        <f t="array" aca="1" ref="AT249" ca="1">INDEX('SAP Customer Data'!A:Z,MATCH(بيانات_العملاء[[#This Row],[رمز شريك الأعمال]],'SAP Customer Data'!B:B,0),CELL("col",Table_Customer_Data[[#Headers],[CreateDate]]))</f>
        <v>43589</v>
      </c>
      <c r="AU249" s="37"/>
      <c r="AV249" s="41"/>
      <c r="AW249" s="37" t="s">
        <v>2097</v>
      </c>
      <c r="AX249" s="37"/>
    </row>
    <row r="250" spans="1:50" x14ac:dyDescent="0.25">
      <c r="A250" s="36" t="str" cm="1">
        <f t="array" aca="1" ref="A250" ca="1">INDEX('SAP Customer Data'!$A:$AC,MATCH(بيانات_العملاء[[#This Row],[رمز شريك الأعمال]],'SAP Customer Data'!$B:$B,0),CELL("col",Table_Customer_Data[[#Headers],[GroupName]]))</f>
        <v>CS04</v>
      </c>
      <c r="B250" s="42" t="s">
        <v>786</v>
      </c>
      <c r="C250" s="37" t="str" cm="1">
        <f t="array" aca="1" ref="C250" ca="1">INDEX('SAP Customer Data'!$A:$AC,MATCH(بيانات_العملاء[[#This Row],[رمز شريك الأعمال]],'SAP Customer Data'!$B:$B,0),CELL("col",Table_Customer_Data[[#Headers],[CardName]]))</f>
        <v>مؤسسة درة الخشرم - نقدى</v>
      </c>
      <c r="D250" s="37" t="str">
        <f ca="1">IF(بيانات_العملاء[[#This Row],[حد الائتمان على SAP]]&gt;0,"آجل","نقدى")</f>
        <v>نقدى</v>
      </c>
      <c r="E250" s="37"/>
      <c r="F250" s="37" t="s">
        <v>1082</v>
      </c>
      <c r="G250" s="37"/>
      <c r="H25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0" s="37" t="s">
        <v>856</v>
      </c>
      <c r="J250" s="38"/>
      <c r="K250" s="37"/>
      <c r="L250" s="37" t="str">
        <f ca="1">IF(AND(بيانات_العملاء[[#This Row],[السجل التجارى]]="موجود",TODAY()+'Other Data'!$B$23&lt;J250,بيانات_العملاء[[#This Row],[مطابقة اسم العميل بالاسم بالسجل التجارى]]="مطابق"), "سارى", "يجب اعادة طلبه")</f>
        <v>يجب اعادة طلبه</v>
      </c>
      <c r="M250" s="37" t="s">
        <v>854</v>
      </c>
      <c r="N250" s="39" t="str" cm="1">
        <f t="array" aca="1" ref="N250" ca="1">INDEX('SAP Customer Data'!$A:$AC,MATCH(بيانات_العملاء[[#This Row],[رمز شريك الأعمال]],'SAP Customer Data'!$B:$B,0),CELL("col",Table_Customer_Data[[#Headers],[LicTradNum]]))</f>
        <v>3008977475900003</v>
      </c>
      <c r="O25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50" s="37"/>
      <c r="Q250" s="38"/>
      <c r="R25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0" s="37" t="s">
        <v>1080</v>
      </c>
      <c r="T250" s="40"/>
      <c r="U250" s="41"/>
      <c r="V25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0" s="37" cm="1">
        <f t="array" aca="1" ref="X250" ca="1">INDEX('SAP Customer Data'!$A:$AC,MATCH(بيانات_العملاء[[#This Row],[رمز شريك الأعمال]],'SAP Customer Data'!$B:$B,0),CELL("col",Table_Customer_Data[[#Headers],[CreditLine]]))</f>
        <v>0</v>
      </c>
      <c r="Y25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0" s="37"/>
      <c r="AA25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0" s="37"/>
      <c r="AC250" s="37"/>
      <c r="AD25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0" s="37"/>
      <c r="AF250" s="37"/>
      <c r="AG25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0" s="37"/>
      <c r="AI250" s="37"/>
      <c r="AJ25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0" s="37"/>
      <c r="AL250" s="38"/>
      <c r="AM25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0" s="37"/>
      <c r="AO250" s="41"/>
      <c r="AP25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0" s="37"/>
      <c r="AR250" s="37"/>
      <c r="AS25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0" s="41" cm="1">
        <f t="array" aca="1" ref="AT250" ca="1">INDEX('SAP Customer Data'!A:Z,MATCH(بيانات_العملاء[[#This Row],[رمز شريك الأعمال]],'SAP Customer Data'!B:B,0),CELL("col",Table_Customer_Data[[#Headers],[CreateDate]]))</f>
        <v>43636</v>
      </c>
      <c r="AU250" s="37"/>
      <c r="AV250" s="41"/>
      <c r="AW250" s="37" t="s">
        <v>2097</v>
      </c>
      <c r="AX250" s="37"/>
    </row>
    <row r="251" spans="1:50" x14ac:dyDescent="0.25">
      <c r="A251" s="36" t="str" cm="1">
        <f t="array" aca="1" ref="A251" ca="1">INDEX('SAP Customer Data'!$A:$AC,MATCH(بيانات_العملاء[[#This Row],[رمز شريك الأعمال]],'SAP Customer Data'!$B:$B,0),CELL("col",Table_Customer_Data[[#Headers],[GroupName]]))</f>
        <v>CS05</v>
      </c>
      <c r="B251" s="42" t="s">
        <v>15</v>
      </c>
      <c r="C251" s="37" t="str" cm="1">
        <f t="array" aca="1" ref="C251" ca="1">INDEX('SAP Customer Data'!$A:$AC,MATCH(بيانات_العملاء[[#This Row],[رمز شريك الأعمال]],'SAP Customer Data'!$B:$B,0),CELL("col",Table_Customer_Data[[#Headers],[CardName]]))</f>
        <v>مؤسسة عبدالله محمد عبدالله اليحى للادوات الصحية - نقدي</v>
      </c>
      <c r="D251" s="37" t="str">
        <f ca="1">IF(بيانات_العملاء[[#This Row],[حد الائتمان على SAP]]&gt;0,"آجل","نقدى")</f>
        <v>نقدى</v>
      </c>
      <c r="E251" s="37"/>
      <c r="F251" s="37" t="s">
        <v>1082</v>
      </c>
      <c r="G251" s="37"/>
      <c r="H25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1" s="37" t="s">
        <v>856</v>
      </c>
      <c r="J251" s="38"/>
      <c r="K251" s="37"/>
      <c r="L251" s="37" t="str">
        <f ca="1">IF(AND(بيانات_العملاء[[#This Row],[السجل التجارى]]="موجود",TODAY()+'Other Data'!$B$23&lt;J251,بيانات_العملاء[[#This Row],[مطابقة اسم العميل بالاسم بالسجل التجارى]]="مطابق"), "سارى", "يجب اعادة طلبه")</f>
        <v>يجب اعادة طلبه</v>
      </c>
      <c r="M251" s="37" t="s">
        <v>856</v>
      </c>
      <c r="N251" s="39" t="str" cm="1">
        <f t="array" aca="1" ref="N251" ca="1">INDEX('SAP Customer Data'!$A:$AC,MATCH(بيانات_العملاء[[#This Row],[رمز شريك الأعمال]],'SAP Customer Data'!$B:$B,0),CELL("col",Table_Customer_Data[[#Headers],[LicTradNum]]))</f>
        <v/>
      </c>
      <c r="O25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51" s="37"/>
      <c r="Q251" s="38"/>
      <c r="R25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1" s="37" t="s">
        <v>1080</v>
      </c>
      <c r="T251" s="40"/>
      <c r="U251" s="41"/>
      <c r="V25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1" s="37" cm="1">
        <f t="array" aca="1" ref="X251" ca="1">INDEX('SAP Customer Data'!$A:$AC,MATCH(بيانات_العملاء[[#This Row],[رمز شريك الأعمال]],'SAP Customer Data'!$B:$B,0),CELL("col",Table_Customer_Data[[#Headers],[CreditLine]]))</f>
        <v>0</v>
      </c>
      <c r="Y25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1" s="37"/>
      <c r="AA25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1" s="37"/>
      <c r="AC251" s="37"/>
      <c r="AD25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1" s="37"/>
      <c r="AF251" s="37"/>
      <c r="AG25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1" s="37"/>
      <c r="AI251" s="37"/>
      <c r="AJ25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1" s="37"/>
      <c r="AL251" s="38"/>
      <c r="AM25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1" s="37"/>
      <c r="AO251" s="41"/>
      <c r="AP25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1" s="37"/>
      <c r="AR251" s="37"/>
      <c r="AS25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1" s="41" cm="1">
        <f t="array" aca="1" ref="AT251" ca="1">INDEX('SAP Customer Data'!A:Z,MATCH(بيانات_العملاء[[#This Row],[رمز شريك الأعمال]],'SAP Customer Data'!B:B,0),CELL("col",Table_Customer_Data[[#Headers],[CreateDate]]))</f>
        <v>44221</v>
      </c>
      <c r="AU251" s="37"/>
      <c r="AV251" s="41"/>
      <c r="AW251" s="37" t="s">
        <v>2097</v>
      </c>
      <c r="AX251" s="37"/>
    </row>
    <row r="252" spans="1:50" x14ac:dyDescent="0.25">
      <c r="A252" s="36" t="str" cm="1">
        <f t="array" aca="1" ref="A252" ca="1">INDEX('SAP Customer Data'!$A:$AC,MATCH(بيانات_العملاء[[#This Row],[رمز شريك الأعمال]],'SAP Customer Data'!$B:$B,0),CELL("col",Table_Customer_Data[[#Headers],[GroupName]]))</f>
        <v>CS05</v>
      </c>
      <c r="B252" s="42" t="s">
        <v>25</v>
      </c>
      <c r="C252" s="37" t="str" cm="1">
        <f t="array" aca="1" ref="C252" ca="1">INDEX('SAP Customer Data'!$A:$AC,MATCH(بيانات_العملاء[[#This Row],[رمز شريك الأعمال]],'SAP Customer Data'!$B:$B,0),CELL("col",Table_Customer_Data[[#Headers],[CardName]]))</f>
        <v>مؤسسة مشاريع الخبر للتجارة - نقدي</v>
      </c>
      <c r="D252" s="37" t="str">
        <f ca="1">IF(بيانات_العملاء[[#This Row],[حد الائتمان على SAP]]&gt;0,"آجل","نقدى")</f>
        <v>نقدى</v>
      </c>
      <c r="E252" s="37"/>
      <c r="F252" s="37" t="s">
        <v>1082</v>
      </c>
      <c r="G252" s="37"/>
      <c r="H25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2" s="37" t="s">
        <v>856</v>
      </c>
      <c r="J252" s="38"/>
      <c r="K252" s="37"/>
      <c r="L252" s="37" t="str">
        <f ca="1">IF(AND(بيانات_العملاء[[#This Row],[السجل التجارى]]="موجود",TODAY()+'Other Data'!$B$23&lt;J252,بيانات_العملاء[[#This Row],[مطابقة اسم العميل بالاسم بالسجل التجارى]]="مطابق"), "سارى", "يجب اعادة طلبه")</f>
        <v>يجب اعادة طلبه</v>
      </c>
      <c r="M252" s="37" t="s">
        <v>856</v>
      </c>
      <c r="N252" s="39" t="str" cm="1">
        <f t="array" aca="1" ref="N252" ca="1">INDEX('SAP Customer Data'!$A:$AC,MATCH(بيانات_العملاء[[#This Row],[رمز شريك الأعمال]],'SAP Customer Data'!$B:$B,0),CELL("col",Table_Customer_Data[[#Headers],[LicTradNum]]))</f>
        <v/>
      </c>
      <c r="O25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52" s="37"/>
      <c r="Q252" s="38"/>
      <c r="R25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2" s="37" t="s">
        <v>1080</v>
      </c>
      <c r="T252" s="40"/>
      <c r="U252" s="41"/>
      <c r="V25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2" s="37" cm="1">
        <f t="array" aca="1" ref="X252" ca="1">INDEX('SAP Customer Data'!$A:$AC,MATCH(بيانات_العملاء[[#This Row],[رمز شريك الأعمال]],'SAP Customer Data'!$B:$B,0),CELL("col",Table_Customer_Data[[#Headers],[CreditLine]]))</f>
        <v>0</v>
      </c>
      <c r="Y25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2" s="37"/>
      <c r="AA25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2" s="37"/>
      <c r="AC252" s="37"/>
      <c r="AD25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2" s="37"/>
      <c r="AF252" s="37"/>
      <c r="AG25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2" s="37"/>
      <c r="AI252" s="37"/>
      <c r="AJ25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2" s="37"/>
      <c r="AL252" s="38"/>
      <c r="AM25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2" s="37"/>
      <c r="AO252" s="41"/>
      <c r="AP25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2" s="37"/>
      <c r="AR252" s="37"/>
      <c r="AS25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2" s="41" cm="1">
        <f t="array" aca="1" ref="AT252" ca="1">INDEX('SAP Customer Data'!A:Z,MATCH(بيانات_العملاء[[#This Row],[رمز شريك الأعمال]],'SAP Customer Data'!B:B,0),CELL("col",Table_Customer_Data[[#Headers],[CreateDate]]))</f>
        <v>44248</v>
      </c>
      <c r="AU252" s="37"/>
      <c r="AV252" s="41"/>
      <c r="AW252" s="37" t="s">
        <v>2097</v>
      </c>
      <c r="AX252" s="37"/>
    </row>
    <row r="253" spans="1:50" x14ac:dyDescent="0.25">
      <c r="A253" s="36" t="str" cm="1">
        <f t="array" aca="1" ref="A253" ca="1">INDEX('SAP Customer Data'!$A:$AC,MATCH(بيانات_العملاء[[#This Row],[رمز شريك الأعمال]],'SAP Customer Data'!$B:$B,0),CELL("col",Table_Customer_Data[[#Headers],[GroupName]]))</f>
        <v>CS05</v>
      </c>
      <c r="B253" s="42" t="s">
        <v>98</v>
      </c>
      <c r="C253" s="37" t="str" cm="1">
        <f t="array" aca="1" ref="C253" ca="1">INDEX('SAP Customer Data'!$A:$AC,MATCH(بيانات_العملاء[[#This Row],[رمز شريك الأعمال]],'SAP Customer Data'!$B:$B,0),CELL("col",Table_Customer_Data[[#Headers],[CardName]]))</f>
        <v>مؤسسة محمد حمد طاهر النمر للادوات الصحية - نقدي</v>
      </c>
      <c r="D253" s="37" t="str">
        <f ca="1">IF(بيانات_العملاء[[#This Row],[حد الائتمان على SAP]]&gt;0,"آجل","نقدى")</f>
        <v>نقدى</v>
      </c>
      <c r="E253" s="37"/>
      <c r="F253" s="37" t="s">
        <v>1082</v>
      </c>
      <c r="G253" s="37"/>
      <c r="H25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3" s="37" t="s">
        <v>856</v>
      </c>
      <c r="J253" s="38"/>
      <c r="K253" s="37"/>
      <c r="L253" s="37" t="str">
        <f ca="1">IF(AND(بيانات_العملاء[[#This Row],[السجل التجارى]]="موجود",TODAY()+'Other Data'!$B$23&lt;J253,بيانات_العملاء[[#This Row],[مطابقة اسم العميل بالاسم بالسجل التجارى]]="مطابق"), "سارى", "يجب اعادة طلبه")</f>
        <v>يجب اعادة طلبه</v>
      </c>
      <c r="M253" s="37" t="s">
        <v>856</v>
      </c>
      <c r="N253" s="39" t="str" cm="1">
        <f t="array" aca="1" ref="N253" ca="1">INDEX('SAP Customer Data'!$A:$AC,MATCH(بيانات_العملاء[[#This Row],[رمز شريك الأعمال]],'SAP Customer Data'!$B:$B,0),CELL("col",Table_Customer_Data[[#Headers],[LicTradNum]]))</f>
        <v/>
      </c>
      <c r="O25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53" s="37"/>
      <c r="Q253" s="38"/>
      <c r="R25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3" s="37" t="s">
        <v>1080</v>
      </c>
      <c r="T253" s="40"/>
      <c r="U253" s="41"/>
      <c r="V25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3" s="37" cm="1">
        <f t="array" aca="1" ref="X253" ca="1">INDEX('SAP Customer Data'!$A:$AC,MATCH(بيانات_العملاء[[#This Row],[رمز شريك الأعمال]],'SAP Customer Data'!$B:$B,0),CELL("col",Table_Customer_Data[[#Headers],[CreditLine]]))</f>
        <v>0</v>
      </c>
      <c r="Y25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3" s="37"/>
      <c r="AA25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3" s="37"/>
      <c r="AC253" s="37"/>
      <c r="AD25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3" s="37"/>
      <c r="AF253" s="37"/>
      <c r="AG25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3" s="37"/>
      <c r="AI253" s="37"/>
      <c r="AJ25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3" s="37"/>
      <c r="AL253" s="38"/>
      <c r="AM25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3" s="37"/>
      <c r="AO253" s="41"/>
      <c r="AP25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3" s="37"/>
      <c r="AR253" s="37"/>
      <c r="AS25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3" s="41" cm="1">
        <f t="array" aca="1" ref="AT253" ca="1">INDEX('SAP Customer Data'!A:Z,MATCH(بيانات_العملاء[[#This Row],[رمز شريك الأعمال]],'SAP Customer Data'!B:B,0),CELL("col",Table_Customer_Data[[#Headers],[CreateDate]]))</f>
        <v>44528</v>
      </c>
      <c r="AU253" s="37"/>
      <c r="AV253" s="41"/>
      <c r="AW253" s="37" t="s">
        <v>2097</v>
      </c>
      <c r="AX253" s="37"/>
    </row>
    <row r="254" spans="1:50" x14ac:dyDescent="0.25">
      <c r="A254" s="36" t="str" cm="1">
        <f t="array" aca="1" ref="A254" ca="1">INDEX('SAP Customer Data'!$A:$AC,MATCH(بيانات_العملاء[[#This Row],[رمز شريك الأعمال]],'SAP Customer Data'!$B:$B,0),CELL("col",Table_Customer_Data[[#Headers],[GroupName]]))</f>
        <v>CS05</v>
      </c>
      <c r="B254" s="42" t="s">
        <v>109</v>
      </c>
      <c r="C254" s="37" t="str" cm="1">
        <f t="array" aca="1" ref="C254" ca="1">INDEX('SAP Customer Data'!$A:$AC,MATCH(بيانات_العملاء[[#This Row],[رمز شريك الأعمال]],'SAP Customer Data'!$B:$B,0),CELL("col",Table_Customer_Data[[#Headers],[CardName]]))</f>
        <v>مؤسسة البناء الدائم التجارية - نقدي</v>
      </c>
      <c r="D254" s="37" t="str">
        <f ca="1">IF(بيانات_العملاء[[#This Row],[حد الائتمان على SAP]]&gt;0,"آجل","نقدى")</f>
        <v>نقدى</v>
      </c>
      <c r="E254" s="37"/>
      <c r="F254" s="37" t="s">
        <v>1082</v>
      </c>
      <c r="G254" s="37"/>
      <c r="H25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4" s="37" t="s">
        <v>856</v>
      </c>
      <c r="J254" s="38"/>
      <c r="K254" s="37"/>
      <c r="L254" s="37" t="str">
        <f ca="1">IF(AND(بيانات_العملاء[[#This Row],[السجل التجارى]]="موجود",TODAY()+'Other Data'!$B$23&lt;J254,بيانات_العملاء[[#This Row],[مطابقة اسم العميل بالاسم بالسجل التجارى]]="مطابق"), "سارى", "يجب اعادة طلبه")</f>
        <v>يجب اعادة طلبه</v>
      </c>
      <c r="M254" s="37" t="s">
        <v>854</v>
      </c>
      <c r="N254" s="39" t="str" cm="1">
        <f t="array" aca="1" ref="N254" ca="1">INDEX('SAP Customer Data'!$A:$AC,MATCH(بيانات_العملاء[[#This Row],[رمز شريك الأعمال]],'SAP Customer Data'!$B:$B,0),CELL("col",Table_Customer_Data[[#Headers],[LicTradNum]]))</f>
        <v>300394039600003</v>
      </c>
      <c r="O25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54" s="37"/>
      <c r="Q254" s="38"/>
      <c r="R25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4" s="37" t="s">
        <v>1080</v>
      </c>
      <c r="T254" s="40"/>
      <c r="U254" s="41"/>
      <c r="V25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4" s="37" cm="1">
        <f t="array" aca="1" ref="X254" ca="1">INDEX('SAP Customer Data'!$A:$AC,MATCH(بيانات_العملاء[[#This Row],[رمز شريك الأعمال]],'SAP Customer Data'!$B:$B,0),CELL("col",Table_Customer_Data[[#Headers],[CreditLine]]))</f>
        <v>0</v>
      </c>
      <c r="Y25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4" s="37"/>
      <c r="AA25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4" s="37"/>
      <c r="AC254" s="37"/>
      <c r="AD25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4" s="37"/>
      <c r="AF254" s="37"/>
      <c r="AG25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4" s="37"/>
      <c r="AI254" s="37"/>
      <c r="AJ25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4" s="37"/>
      <c r="AL254" s="38"/>
      <c r="AM25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4" s="37"/>
      <c r="AO254" s="41"/>
      <c r="AP25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4" s="37"/>
      <c r="AR254" s="37"/>
      <c r="AS25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4" s="41" cm="1">
        <f t="array" aca="1" ref="AT254" ca="1">INDEX('SAP Customer Data'!A:Z,MATCH(بيانات_العملاء[[#This Row],[رمز شريك الأعمال]],'SAP Customer Data'!B:B,0),CELL("col",Table_Customer_Data[[#Headers],[CreateDate]]))</f>
        <v>44546</v>
      </c>
      <c r="AU254" s="37"/>
      <c r="AV254" s="41"/>
      <c r="AW254" s="37" t="s">
        <v>2097</v>
      </c>
      <c r="AX254" s="37"/>
    </row>
    <row r="255" spans="1:50" x14ac:dyDescent="0.25">
      <c r="A255" s="36" t="str" cm="1">
        <f t="array" aca="1" ref="A255" ca="1">INDEX('SAP Customer Data'!$A:$AC,MATCH(بيانات_العملاء[[#This Row],[رمز شريك الأعمال]],'SAP Customer Data'!$B:$B,0),CELL("col",Table_Customer_Data[[#Headers],[GroupName]]))</f>
        <v>CS05</v>
      </c>
      <c r="B255" s="42" t="s">
        <v>7</v>
      </c>
      <c r="C255" s="37" t="str" cm="1">
        <f t="array" aca="1" ref="C255" ca="1">INDEX('SAP Customer Data'!$A:$AC,MATCH(بيانات_العملاء[[#This Row],[رمز شريك الأعمال]],'SAP Customer Data'!$B:$B,0),CELL("col",Table_Customer_Data[[#Headers],[CardName]]))</f>
        <v>مؤسسة زكريا عبدالعزيز الدبيخي التجارية - نقدي</v>
      </c>
      <c r="D255" s="37" t="str">
        <f ca="1">IF(بيانات_العملاء[[#This Row],[حد الائتمان على SAP]]&gt;0,"آجل","نقدى")</f>
        <v>نقدى</v>
      </c>
      <c r="E255" s="37"/>
      <c r="F255" s="37" t="s">
        <v>1082</v>
      </c>
      <c r="G255" s="37"/>
      <c r="H25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5" s="37" t="s">
        <v>856</v>
      </c>
      <c r="J255" s="38"/>
      <c r="K255" s="37"/>
      <c r="L255" s="37" t="str">
        <f ca="1">IF(AND(بيانات_العملاء[[#This Row],[السجل التجارى]]="موجود",TODAY()+'Other Data'!$B$23&lt;J255,بيانات_العملاء[[#This Row],[مطابقة اسم العميل بالاسم بالسجل التجارى]]="مطابق"), "سارى", "يجب اعادة طلبه")</f>
        <v>يجب اعادة طلبه</v>
      </c>
      <c r="M255" s="37" t="s">
        <v>854</v>
      </c>
      <c r="N255" s="39" t="str" cm="1">
        <f t="array" aca="1" ref="N255" ca="1">INDEX('SAP Customer Data'!$A:$AC,MATCH(بيانات_العملاء[[#This Row],[رمز شريك الأعمال]],'SAP Customer Data'!$B:$B,0),CELL("col",Table_Customer_Data[[#Headers],[LicTradNum]]))</f>
        <v>300396895900003</v>
      </c>
      <c r="O25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55" s="37"/>
      <c r="Q255" s="38"/>
      <c r="R25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5" s="37" t="s">
        <v>1080</v>
      </c>
      <c r="T255" s="40"/>
      <c r="U255" s="41"/>
      <c r="V25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5" s="37" cm="1">
        <f t="array" aca="1" ref="X255" ca="1">INDEX('SAP Customer Data'!$A:$AC,MATCH(بيانات_العملاء[[#This Row],[رمز شريك الأعمال]],'SAP Customer Data'!$B:$B,0),CELL("col",Table_Customer_Data[[#Headers],[CreditLine]]))</f>
        <v>0</v>
      </c>
      <c r="Y25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5" s="37"/>
      <c r="AA25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5" s="37"/>
      <c r="AC255" s="37"/>
      <c r="AD25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5" s="37"/>
      <c r="AF255" s="37"/>
      <c r="AG25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5" s="37"/>
      <c r="AI255" s="37"/>
      <c r="AJ25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5" s="37"/>
      <c r="AL255" s="38"/>
      <c r="AM25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5" s="37"/>
      <c r="AO255" s="41"/>
      <c r="AP25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5" s="37"/>
      <c r="AR255" s="37"/>
      <c r="AS25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5" s="41" cm="1">
        <f t="array" aca="1" ref="AT255" ca="1">INDEX('SAP Customer Data'!A:Z,MATCH(بيانات_العملاء[[#This Row],[رمز شريك الأعمال]],'SAP Customer Data'!B:B,0),CELL("col",Table_Customer_Data[[#Headers],[CreateDate]]))</f>
        <v>44195</v>
      </c>
      <c r="AU255" s="37"/>
      <c r="AV255" s="41"/>
      <c r="AW255" s="37" t="s">
        <v>2097</v>
      </c>
      <c r="AX255" s="37"/>
    </row>
    <row r="256" spans="1:50" x14ac:dyDescent="0.25">
      <c r="A256" s="36" t="str" cm="1">
        <f t="array" aca="1" ref="A256" ca="1">INDEX('SAP Customer Data'!$A:$AC,MATCH(بيانات_العملاء[[#This Row],[رمز شريك الأعمال]],'SAP Customer Data'!$B:$B,0),CELL("col",Table_Customer_Data[[#Headers],[GroupName]]))</f>
        <v>CS05</v>
      </c>
      <c r="B256" s="42" t="s">
        <v>64</v>
      </c>
      <c r="C256" s="37" t="str" cm="1">
        <f t="array" aca="1" ref="C256" ca="1">INDEX('SAP Customer Data'!$A:$AC,MATCH(بيانات_العملاء[[#This Row],[رمز شريك الأعمال]],'SAP Customer Data'!$B:$B,0),CELL("col",Table_Customer_Data[[#Headers],[CardName]]))</f>
        <v>سفر للخدمات الصناعية- نقدي</v>
      </c>
      <c r="D256" s="37" t="str">
        <f ca="1">IF(بيانات_العملاء[[#This Row],[حد الائتمان على SAP]]&gt;0,"آجل","نقدى")</f>
        <v>نقدى</v>
      </c>
      <c r="E256" s="37"/>
      <c r="F256" s="37" t="s">
        <v>1082</v>
      </c>
      <c r="G256" s="37"/>
      <c r="H25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6" s="37" t="s">
        <v>856</v>
      </c>
      <c r="J256" s="38"/>
      <c r="K256" s="37"/>
      <c r="L256" s="37" t="str">
        <f ca="1">IF(AND(بيانات_العملاء[[#This Row],[السجل التجارى]]="موجود",TODAY()+'Other Data'!$B$23&lt;J256,بيانات_العملاء[[#This Row],[مطابقة اسم العميل بالاسم بالسجل التجارى]]="مطابق"), "سارى", "يجب اعادة طلبه")</f>
        <v>يجب اعادة طلبه</v>
      </c>
      <c r="M256" s="37" t="s">
        <v>854</v>
      </c>
      <c r="N256" s="39" t="str" cm="1">
        <f t="array" aca="1" ref="N256" ca="1">INDEX('SAP Customer Data'!$A:$AC,MATCH(بيانات_العملاء[[#This Row],[رمز شريك الأعمال]],'SAP Customer Data'!$B:$B,0),CELL("col",Table_Customer_Data[[#Headers],[LicTradNum]]))</f>
        <v>300503269800003</v>
      </c>
      <c r="O25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56" s="37"/>
      <c r="Q256" s="38"/>
      <c r="R25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6" s="37" t="s">
        <v>1080</v>
      </c>
      <c r="T256" s="40"/>
      <c r="U256" s="41"/>
      <c r="V25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6" s="37" cm="1">
        <f t="array" aca="1" ref="X256" ca="1">INDEX('SAP Customer Data'!$A:$AC,MATCH(بيانات_العملاء[[#This Row],[رمز شريك الأعمال]],'SAP Customer Data'!$B:$B,0),CELL("col",Table_Customer_Data[[#Headers],[CreditLine]]))</f>
        <v>0</v>
      </c>
      <c r="Y25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6" s="37"/>
      <c r="AA25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6" s="37"/>
      <c r="AC256" s="37"/>
      <c r="AD25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6" s="37"/>
      <c r="AF256" s="37"/>
      <c r="AG25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6" s="37"/>
      <c r="AI256" s="37"/>
      <c r="AJ25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6" s="37"/>
      <c r="AL256" s="38"/>
      <c r="AM25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6" s="37"/>
      <c r="AO256" s="41"/>
      <c r="AP25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6" s="37"/>
      <c r="AR256" s="37"/>
      <c r="AS25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6" s="41" cm="1">
        <f t="array" aca="1" ref="AT256" ca="1">INDEX('SAP Customer Data'!A:Z,MATCH(بيانات_العملاء[[#This Row],[رمز شريك الأعمال]],'SAP Customer Data'!B:B,0),CELL("col",Table_Customer_Data[[#Headers],[CreateDate]]))</f>
        <v>44445</v>
      </c>
      <c r="AU256" s="37"/>
      <c r="AV256" s="41"/>
      <c r="AW256" s="37" t="s">
        <v>2097</v>
      </c>
      <c r="AX256" s="37"/>
    </row>
    <row r="257" spans="1:50" x14ac:dyDescent="0.25">
      <c r="A257" s="36" t="str" cm="1">
        <f t="array" aca="1" ref="A257" ca="1">INDEX('SAP Customer Data'!$A:$AC,MATCH(بيانات_العملاء[[#This Row],[رمز شريك الأعمال]],'SAP Customer Data'!$B:$B,0),CELL("col",Table_Customer_Data[[#Headers],[GroupName]]))</f>
        <v>CS05</v>
      </c>
      <c r="B257" s="42" t="s">
        <v>123</v>
      </c>
      <c r="C257" s="37" t="str" cm="1">
        <f t="array" aca="1" ref="C257" ca="1">INDEX('SAP Customer Data'!$A:$AC,MATCH(بيانات_العملاء[[#This Row],[رمز شريك الأعمال]],'SAP Customer Data'!$B:$B,0),CELL("col",Table_Customer_Data[[#Headers],[CardName]]))</f>
        <v>مؤسسة احمد حمود الزهراني التجارية - نقدي</v>
      </c>
      <c r="D257" s="37" t="str">
        <f ca="1">IF(بيانات_العملاء[[#This Row],[حد الائتمان على SAP]]&gt;0,"آجل","نقدى")</f>
        <v>نقدى</v>
      </c>
      <c r="E257" s="37"/>
      <c r="F257" s="37" t="s">
        <v>1082</v>
      </c>
      <c r="G257" s="37"/>
      <c r="H25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7" s="37" t="s">
        <v>856</v>
      </c>
      <c r="J257" s="38"/>
      <c r="K257" s="37"/>
      <c r="L257" s="37" t="str">
        <f ca="1">IF(AND(بيانات_العملاء[[#This Row],[السجل التجارى]]="موجود",TODAY()+'Other Data'!$B$23&lt;J257,بيانات_العملاء[[#This Row],[مطابقة اسم العميل بالاسم بالسجل التجارى]]="مطابق"), "سارى", "يجب اعادة طلبه")</f>
        <v>يجب اعادة طلبه</v>
      </c>
      <c r="M257" s="37" t="s">
        <v>854</v>
      </c>
      <c r="N257" s="39" t="str" cm="1">
        <f t="array" aca="1" ref="N257" ca="1">INDEX('SAP Customer Data'!$A:$AC,MATCH(بيانات_العملاء[[#This Row],[رمز شريك الأعمال]],'SAP Customer Data'!$B:$B,0),CELL("col",Table_Customer_Data[[#Headers],[LicTradNum]]))</f>
        <v>300515541300003</v>
      </c>
      <c r="O25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57" s="37"/>
      <c r="Q257" s="38"/>
      <c r="R25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7" s="37" t="s">
        <v>1080</v>
      </c>
      <c r="T257" s="40"/>
      <c r="U257" s="41"/>
      <c r="V25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7" s="37" cm="1">
        <f t="array" aca="1" ref="X257" ca="1">INDEX('SAP Customer Data'!$A:$AC,MATCH(بيانات_العملاء[[#This Row],[رمز شريك الأعمال]],'SAP Customer Data'!$B:$B,0),CELL("col",Table_Customer_Data[[#Headers],[CreditLine]]))</f>
        <v>0</v>
      </c>
      <c r="Y25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7" s="37"/>
      <c r="AA25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7" s="37"/>
      <c r="AC257" s="37"/>
      <c r="AD25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7" s="37"/>
      <c r="AF257" s="37"/>
      <c r="AG25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7" s="37"/>
      <c r="AI257" s="37"/>
      <c r="AJ25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7" s="37"/>
      <c r="AL257" s="38"/>
      <c r="AM25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7" s="37"/>
      <c r="AO257" s="41"/>
      <c r="AP25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7" s="37"/>
      <c r="AR257" s="37"/>
      <c r="AS25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7" s="41" cm="1">
        <f t="array" aca="1" ref="AT257" ca="1">INDEX('SAP Customer Data'!A:Z,MATCH(بيانات_العملاء[[#This Row],[رمز شريك الأعمال]],'SAP Customer Data'!B:B,0),CELL("col",Table_Customer_Data[[#Headers],[CreateDate]]))</f>
        <v>44559</v>
      </c>
      <c r="AU257" s="37"/>
      <c r="AV257" s="41"/>
      <c r="AW257" s="37" t="s">
        <v>2097</v>
      </c>
      <c r="AX257" s="37"/>
    </row>
    <row r="258" spans="1:50" x14ac:dyDescent="0.25">
      <c r="A258" s="36" t="str" cm="1">
        <f t="array" aca="1" ref="A258" ca="1">INDEX('SAP Customer Data'!$A:$AC,MATCH(بيانات_العملاء[[#This Row],[رمز شريك الأعمال]],'SAP Customer Data'!$B:$B,0),CELL("col",Table_Customer_Data[[#Headers],[GroupName]]))</f>
        <v>CS05</v>
      </c>
      <c r="B258" s="42" t="s">
        <v>96</v>
      </c>
      <c r="C258" s="37" t="str" cm="1">
        <f t="array" aca="1" ref="C258" ca="1">INDEX('SAP Customer Data'!$A:$AC,MATCH(بيانات_العملاء[[#This Row],[رمز شريك الأعمال]],'SAP Customer Data'!$B:$B,0),CELL("col",Table_Customer_Data[[#Headers],[CardName]]))</f>
        <v>مؤسسة المحيط الهادي للادوات الكهربائية - نقدي</v>
      </c>
      <c r="D258" s="37" t="str">
        <f ca="1">IF(بيانات_العملاء[[#This Row],[حد الائتمان على SAP]]&gt;0,"آجل","نقدى")</f>
        <v>نقدى</v>
      </c>
      <c r="E258" s="37"/>
      <c r="F258" s="37" t="s">
        <v>1082</v>
      </c>
      <c r="G258" s="37"/>
      <c r="H25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8" s="37" t="s">
        <v>856</v>
      </c>
      <c r="J258" s="38"/>
      <c r="K258" s="37"/>
      <c r="L258" s="37" t="str">
        <f ca="1">IF(AND(بيانات_العملاء[[#This Row],[السجل التجارى]]="موجود",TODAY()+'Other Data'!$B$23&lt;J258,بيانات_العملاء[[#This Row],[مطابقة اسم العميل بالاسم بالسجل التجارى]]="مطابق"), "سارى", "يجب اعادة طلبه")</f>
        <v>يجب اعادة طلبه</v>
      </c>
      <c r="M258" s="37" t="s">
        <v>854</v>
      </c>
      <c r="N258" s="39" t="str" cm="1">
        <f t="array" aca="1" ref="N258" ca="1">INDEX('SAP Customer Data'!$A:$AC,MATCH(بيانات_العملاء[[#This Row],[رمز شريك الأعمال]],'SAP Customer Data'!$B:$B,0),CELL("col",Table_Customer_Data[[#Headers],[LicTradNum]]))</f>
        <v>300562168100003</v>
      </c>
      <c r="O25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58" s="37"/>
      <c r="Q258" s="38"/>
      <c r="R25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8" s="37" t="s">
        <v>1080</v>
      </c>
      <c r="T258" s="40"/>
      <c r="U258" s="41"/>
      <c r="V25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8" s="37" cm="1">
        <f t="array" aca="1" ref="X258" ca="1">INDEX('SAP Customer Data'!$A:$AC,MATCH(بيانات_العملاء[[#This Row],[رمز شريك الأعمال]],'SAP Customer Data'!$B:$B,0),CELL("col",Table_Customer_Data[[#Headers],[CreditLine]]))</f>
        <v>0</v>
      </c>
      <c r="Y25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8" s="37"/>
      <c r="AA25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8" s="37"/>
      <c r="AC258" s="37"/>
      <c r="AD25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8" s="37"/>
      <c r="AF258" s="37"/>
      <c r="AG25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8" s="37"/>
      <c r="AI258" s="37"/>
      <c r="AJ25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8" s="37"/>
      <c r="AL258" s="38"/>
      <c r="AM25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8" s="37"/>
      <c r="AO258" s="41"/>
      <c r="AP25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8" s="37"/>
      <c r="AR258" s="37"/>
      <c r="AS25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8" s="41" cm="1">
        <f t="array" aca="1" ref="AT258" ca="1">INDEX('SAP Customer Data'!A:Z,MATCH(بيانات_العملاء[[#This Row],[رمز شريك الأعمال]],'SAP Customer Data'!B:B,0),CELL("col",Table_Customer_Data[[#Headers],[CreateDate]]))</f>
        <v>44528</v>
      </c>
      <c r="AU258" s="37"/>
      <c r="AV258" s="41"/>
      <c r="AW258" s="37" t="s">
        <v>2097</v>
      </c>
      <c r="AX258" s="37"/>
    </row>
    <row r="259" spans="1:50" x14ac:dyDescent="0.25">
      <c r="A259" s="36" t="str" cm="1">
        <f t="array" aca="1" ref="A259" ca="1">INDEX('SAP Customer Data'!$A:$AC,MATCH(بيانات_العملاء[[#This Row],[رمز شريك الأعمال]],'SAP Customer Data'!$B:$B,0),CELL("col",Table_Customer_Data[[#Headers],[GroupName]]))</f>
        <v>CS05</v>
      </c>
      <c r="B259" s="42" t="s">
        <v>4</v>
      </c>
      <c r="C259" s="37" t="str" cm="1">
        <f t="array" aca="1" ref="C259" ca="1">INDEX('SAP Customer Data'!$A:$AC,MATCH(بيانات_العملاء[[#This Row],[رمز شريك الأعمال]],'SAP Customer Data'!$B:$B,0),CELL("col",Table_Customer_Data[[#Headers],[CardName]]))</f>
        <v>مؤسسة جوهرة الانارة التجارية - نقدي</v>
      </c>
      <c r="D259" s="37" t="str">
        <f ca="1">IF(بيانات_العملاء[[#This Row],[حد الائتمان على SAP]]&gt;0,"آجل","نقدى")</f>
        <v>نقدى</v>
      </c>
      <c r="E259" s="37"/>
      <c r="F259" s="37" t="s">
        <v>1082</v>
      </c>
      <c r="G259" s="37"/>
      <c r="H25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59" s="37" t="s">
        <v>856</v>
      </c>
      <c r="J259" s="38"/>
      <c r="K259" s="37"/>
      <c r="L259" s="37" t="str">
        <f ca="1">IF(AND(بيانات_العملاء[[#This Row],[السجل التجارى]]="موجود",TODAY()+'Other Data'!$B$23&lt;J259,بيانات_العملاء[[#This Row],[مطابقة اسم العميل بالاسم بالسجل التجارى]]="مطابق"), "سارى", "يجب اعادة طلبه")</f>
        <v>يجب اعادة طلبه</v>
      </c>
      <c r="M259" s="37" t="s">
        <v>856</v>
      </c>
      <c r="N259" s="39" t="str" cm="1">
        <f t="array" aca="1" ref="N259" ca="1">INDEX('SAP Customer Data'!$A:$AC,MATCH(بيانات_العملاء[[#This Row],[رمز شريك الأعمال]],'SAP Customer Data'!$B:$B,0),CELL("col",Table_Customer_Data[[#Headers],[LicTradNum]]))</f>
        <v>300579576100003</v>
      </c>
      <c r="O25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59" s="37"/>
      <c r="Q259" s="38"/>
      <c r="R25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59" s="37" t="s">
        <v>1080</v>
      </c>
      <c r="T259" s="40"/>
      <c r="U259" s="41"/>
      <c r="V25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5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59" s="37" cm="1">
        <f t="array" aca="1" ref="X259" ca="1">INDEX('SAP Customer Data'!$A:$AC,MATCH(بيانات_العملاء[[#This Row],[رمز شريك الأعمال]],'SAP Customer Data'!$B:$B,0),CELL("col",Table_Customer_Data[[#Headers],[CreditLine]]))</f>
        <v>0</v>
      </c>
      <c r="Y25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59" s="37"/>
      <c r="AA25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59" s="37"/>
      <c r="AC259" s="37"/>
      <c r="AD25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59" s="37"/>
      <c r="AF259" s="37"/>
      <c r="AG25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59" s="37"/>
      <c r="AI259" s="37"/>
      <c r="AJ25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59" s="37"/>
      <c r="AL259" s="38"/>
      <c r="AM25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59" s="37"/>
      <c r="AO259" s="41"/>
      <c r="AP25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59" s="37"/>
      <c r="AR259" s="37"/>
      <c r="AS25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59" s="41" cm="1">
        <f t="array" aca="1" ref="AT259" ca="1">INDEX('SAP Customer Data'!A:Z,MATCH(بيانات_العملاء[[#This Row],[رمز شريك الأعمال]],'SAP Customer Data'!B:B,0),CELL("col",Table_Customer_Data[[#Headers],[CreateDate]]))</f>
        <v>44195</v>
      </c>
      <c r="AU259" s="37"/>
      <c r="AV259" s="41"/>
      <c r="AW259" s="37" t="s">
        <v>2097</v>
      </c>
      <c r="AX259" s="37"/>
    </row>
    <row r="260" spans="1:50" x14ac:dyDescent="0.25">
      <c r="A260" s="36" t="str" cm="1">
        <f t="array" aca="1" ref="A260" ca="1">INDEX('SAP Customer Data'!$A:$AC,MATCH(بيانات_العملاء[[#This Row],[رمز شريك الأعمال]],'SAP Customer Data'!$B:$B,0),CELL("col",Table_Customer_Data[[#Headers],[GroupName]]))</f>
        <v>CS05</v>
      </c>
      <c r="B260" s="42" t="s">
        <v>118</v>
      </c>
      <c r="C260" s="37" t="str" cm="1">
        <f t="array" aca="1" ref="C260" ca="1">INDEX('SAP Customer Data'!$A:$AC,MATCH(بيانات_العملاء[[#This Row],[رمز شريك الأعمال]],'SAP Customer Data'!$B:$B,0),CELL("col",Table_Customer_Data[[#Headers],[CardName]]))</f>
        <v>مؤسسة كهرباء العاصمه للادوات الكهربائية - نقدي</v>
      </c>
      <c r="D260" s="37" t="str">
        <f ca="1">IF(بيانات_العملاء[[#This Row],[حد الائتمان على SAP]]&gt;0,"آجل","نقدى")</f>
        <v>نقدى</v>
      </c>
      <c r="E260" s="37"/>
      <c r="F260" s="37" t="s">
        <v>1082</v>
      </c>
      <c r="G260" s="37"/>
      <c r="H26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0" s="37" t="s">
        <v>856</v>
      </c>
      <c r="J260" s="38"/>
      <c r="K260" s="37"/>
      <c r="L260" s="37" t="str">
        <f ca="1">IF(AND(بيانات_العملاء[[#This Row],[السجل التجارى]]="موجود",TODAY()+'Other Data'!$B$23&lt;J260,بيانات_العملاء[[#This Row],[مطابقة اسم العميل بالاسم بالسجل التجارى]]="مطابق"), "سارى", "يجب اعادة طلبه")</f>
        <v>يجب اعادة طلبه</v>
      </c>
      <c r="M260" s="37" t="s">
        <v>854</v>
      </c>
      <c r="N260" s="39" t="str" cm="1">
        <f t="array" aca="1" ref="N260" ca="1">INDEX('SAP Customer Data'!$A:$AC,MATCH(بيانات_العملاء[[#This Row],[رمز شريك الأعمال]],'SAP Customer Data'!$B:$B,0),CELL("col",Table_Customer_Data[[#Headers],[LicTradNum]]))</f>
        <v>300634058900003</v>
      </c>
      <c r="O26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0" s="37"/>
      <c r="Q260" s="38"/>
      <c r="R26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0" s="37" t="s">
        <v>1080</v>
      </c>
      <c r="T260" s="40"/>
      <c r="U260" s="41"/>
      <c r="V26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0" s="37" cm="1">
        <f t="array" aca="1" ref="X260" ca="1">INDEX('SAP Customer Data'!$A:$AC,MATCH(بيانات_العملاء[[#This Row],[رمز شريك الأعمال]],'SAP Customer Data'!$B:$B,0),CELL("col",Table_Customer_Data[[#Headers],[CreditLine]]))</f>
        <v>0</v>
      </c>
      <c r="Y26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0" s="37"/>
      <c r="AA26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0" s="37"/>
      <c r="AC260" s="37"/>
      <c r="AD26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0" s="37"/>
      <c r="AF260" s="37"/>
      <c r="AG26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0" s="37"/>
      <c r="AI260" s="37"/>
      <c r="AJ26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0" s="37"/>
      <c r="AL260" s="38"/>
      <c r="AM26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0" s="37"/>
      <c r="AO260" s="41"/>
      <c r="AP26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0" s="37"/>
      <c r="AR260" s="37"/>
      <c r="AS26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0" s="41" cm="1">
        <f t="array" aca="1" ref="AT260" ca="1">INDEX('SAP Customer Data'!A:Z,MATCH(بيانات_العملاء[[#This Row],[رمز شريك الأعمال]],'SAP Customer Data'!B:B,0),CELL("col",Table_Customer_Data[[#Headers],[CreateDate]]))</f>
        <v>44553</v>
      </c>
      <c r="AU260" s="37"/>
      <c r="AV260" s="41"/>
      <c r="AW260" s="37" t="s">
        <v>2097</v>
      </c>
      <c r="AX260" s="37"/>
    </row>
    <row r="261" spans="1:50" x14ac:dyDescent="0.25">
      <c r="A261" s="36" t="str" cm="1">
        <f t="array" aca="1" ref="A261" ca="1">INDEX('SAP Customer Data'!$A:$AC,MATCH(بيانات_العملاء[[#This Row],[رمز شريك الأعمال]],'SAP Customer Data'!$B:$B,0),CELL("col",Table_Customer_Data[[#Headers],[GroupName]]))</f>
        <v>CS05</v>
      </c>
      <c r="B261" s="35" t="s">
        <v>75</v>
      </c>
      <c r="C261" s="37" t="s">
        <v>2193</v>
      </c>
      <c r="D261" s="37" t="str">
        <f ca="1">IF(بيانات_العملاء[[#This Row],[حد الائتمان على SAP]]&gt;0,"آجل","نقدى")</f>
        <v>نقدى</v>
      </c>
      <c r="E261" s="37" t="s">
        <v>2194</v>
      </c>
      <c r="F261" s="37" t="s">
        <v>1081</v>
      </c>
      <c r="G261" s="37" t="s">
        <v>854</v>
      </c>
      <c r="H26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61" s="37" t="s">
        <v>854</v>
      </c>
      <c r="J261" s="38">
        <v>45419</v>
      </c>
      <c r="K261" s="37" t="s">
        <v>855</v>
      </c>
      <c r="L261" s="37" t="str">
        <f ca="1">IF(AND(بيانات_العملاء[[#This Row],[السجل التجارى]]="موجود",TODAY()+'Other Data'!$B$23&lt;J261,بيانات_العملاء[[#This Row],[مطابقة اسم العميل بالاسم بالسجل التجارى]]="مطابق"), "سارى", "يجب اعادة طلبه")</f>
        <v>سارى</v>
      </c>
      <c r="M261" s="37" t="s">
        <v>854</v>
      </c>
      <c r="N261" s="39" t="str" cm="1">
        <f t="array" aca="1" ref="N261" ca="1">INDEX('SAP Customer Data'!$A:$AC,MATCH(بيانات_العملاء[[#This Row],[رمز شريك الأعمال]],'SAP Customer Data'!$B:$B,0),CELL("col",Table_Customer_Data[[#Headers],[LicTradNum]]))</f>
        <v>302031185300003</v>
      </c>
      <c r="O26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1" s="37" t="s">
        <v>856</v>
      </c>
      <c r="Q261" s="38"/>
      <c r="R26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1" s="37" t="s">
        <v>1080</v>
      </c>
      <c r="T261" s="40"/>
      <c r="U261" s="41"/>
      <c r="V26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1" s="37" cm="1">
        <f t="array" aca="1" ref="X261" ca="1">INDEX('SAP Customer Data'!$A:$AC,MATCH(بيانات_العملاء[[#This Row],[رمز شريك الأعمال]],'SAP Customer Data'!$B:$B,0),CELL("col",Table_Customer_Data[[#Headers],[CreditLine]]))</f>
        <v>0</v>
      </c>
      <c r="Y26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1" s="37"/>
      <c r="AA26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1" s="37" t="s">
        <v>854</v>
      </c>
      <c r="AC261" s="44">
        <v>48340</v>
      </c>
      <c r="AD26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261" s="37" t="s">
        <v>856</v>
      </c>
      <c r="AF261" s="37"/>
      <c r="AG26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1" s="37" t="s">
        <v>856</v>
      </c>
      <c r="AI261" s="37"/>
      <c r="AJ26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1" s="37" t="s">
        <v>856</v>
      </c>
      <c r="AL261" s="38"/>
      <c r="AM26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1" s="37" t="s">
        <v>856</v>
      </c>
      <c r="AO261" s="41"/>
      <c r="AP26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1" s="37" t="s">
        <v>856</v>
      </c>
      <c r="AR261" s="37"/>
      <c r="AS26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1" s="41" cm="1">
        <f t="array" aca="1" ref="AT261" ca="1">INDEX('SAP Customer Data'!A:Z,MATCH(بيانات_العملاء[[#This Row],[رمز شريك الأعمال]],'SAP Customer Data'!B:B,0),CELL("col",Table_Customer_Data[[#Headers],[CreateDate]]))</f>
        <v>44474</v>
      </c>
      <c r="AU261" s="37"/>
      <c r="AV261" s="41"/>
      <c r="AW261" s="37" t="s">
        <v>2097</v>
      </c>
      <c r="AX261" s="37"/>
    </row>
    <row r="262" spans="1:50" x14ac:dyDescent="0.25">
      <c r="A262" s="36" t="str" cm="1">
        <f t="array" aca="1" ref="A262" ca="1">INDEX('SAP Customer Data'!$A:$AC,MATCH(بيانات_العملاء[[#This Row],[رمز شريك الأعمال]],'SAP Customer Data'!$B:$B,0),CELL("col",Table_Customer_Data[[#Headers],[GroupName]]))</f>
        <v>CS05</v>
      </c>
      <c r="B262" s="42" t="s">
        <v>56</v>
      </c>
      <c r="C262" s="37" t="str" cm="1">
        <f t="array" aca="1" ref="C262" ca="1">INDEX('SAP Customer Data'!$A:$AC,MATCH(بيانات_العملاء[[#This Row],[رمز شريك الأعمال]],'SAP Customer Data'!$B:$B,0),CELL("col",Table_Customer_Data[[#Headers],[CardName]]))</f>
        <v>مؤسسة سكب الدانة للادوات الصحية- نقدي</v>
      </c>
      <c r="D262" s="37" t="str">
        <f ca="1">IF(بيانات_العملاء[[#This Row],[حد الائتمان على SAP]]&gt;0,"آجل","نقدى")</f>
        <v>نقدى</v>
      </c>
      <c r="E262" s="37"/>
      <c r="F262" s="37" t="s">
        <v>1082</v>
      </c>
      <c r="G262" s="37"/>
      <c r="H26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2" s="37" t="s">
        <v>856</v>
      </c>
      <c r="J262" s="38"/>
      <c r="K262" s="37"/>
      <c r="L262" s="37" t="str">
        <f ca="1">IF(AND(بيانات_العملاء[[#This Row],[السجل التجارى]]="موجود",TODAY()+'Other Data'!$B$23&lt;J262,بيانات_العملاء[[#This Row],[مطابقة اسم العميل بالاسم بالسجل التجارى]]="مطابق"), "سارى", "يجب اعادة طلبه")</f>
        <v>يجب اعادة طلبه</v>
      </c>
      <c r="M262" s="37" t="s">
        <v>854</v>
      </c>
      <c r="N262" s="39" t="str" cm="1">
        <f t="array" aca="1" ref="N262" ca="1">INDEX('SAP Customer Data'!$A:$AC,MATCH(بيانات_العملاء[[#This Row],[رمز شريك الأعمال]],'SAP Customer Data'!$B:$B,0),CELL("col",Table_Customer_Data[[#Headers],[LicTradNum]]))</f>
        <v>300736221700003</v>
      </c>
      <c r="O26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2" s="37"/>
      <c r="Q262" s="38"/>
      <c r="R26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2" s="37" t="s">
        <v>1080</v>
      </c>
      <c r="T262" s="40"/>
      <c r="U262" s="41"/>
      <c r="V26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2" s="37" cm="1">
        <f t="array" aca="1" ref="X262" ca="1">INDEX('SAP Customer Data'!$A:$AC,MATCH(بيانات_العملاء[[#This Row],[رمز شريك الأعمال]],'SAP Customer Data'!$B:$B,0),CELL("col",Table_Customer_Data[[#Headers],[CreditLine]]))</f>
        <v>0</v>
      </c>
      <c r="Y26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2" s="37"/>
      <c r="AA26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2" s="37"/>
      <c r="AC262" s="37"/>
      <c r="AD26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2" s="37"/>
      <c r="AF262" s="37"/>
      <c r="AG26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2" s="37"/>
      <c r="AI262" s="37"/>
      <c r="AJ26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2" s="37"/>
      <c r="AL262" s="38"/>
      <c r="AM26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2" s="37"/>
      <c r="AO262" s="41"/>
      <c r="AP26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2" s="37"/>
      <c r="AR262" s="37"/>
      <c r="AS26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2" s="41" cm="1">
        <f t="array" aca="1" ref="AT262" ca="1">INDEX('SAP Customer Data'!A:Z,MATCH(بيانات_العملاء[[#This Row],[رمز شريك الأعمال]],'SAP Customer Data'!B:B,0),CELL("col",Table_Customer_Data[[#Headers],[CreateDate]]))</f>
        <v>44412</v>
      </c>
      <c r="AU262" s="37"/>
      <c r="AV262" s="41"/>
      <c r="AW262" s="37" t="s">
        <v>2097</v>
      </c>
      <c r="AX262" s="37"/>
    </row>
    <row r="263" spans="1:50" x14ac:dyDescent="0.25">
      <c r="A263" s="36" t="str" cm="1">
        <f t="array" aca="1" ref="A263" ca="1">INDEX('SAP Customer Data'!$A:$AC,MATCH(بيانات_العملاء[[#This Row],[رمز شريك الأعمال]],'SAP Customer Data'!$B:$B,0),CELL("col",Table_Customer_Data[[#Headers],[GroupName]]))</f>
        <v>CS05</v>
      </c>
      <c r="B263" s="42" t="s">
        <v>52</v>
      </c>
      <c r="C263" s="37" t="str" cm="1">
        <f t="array" aca="1" ref="C263" ca="1">INDEX('SAP Customer Data'!$A:$AC,MATCH(بيانات_العملاء[[#This Row],[رمز شريك الأعمال]],'SAP Customer Data'!$B:$B,0),CELL("col",Table_Customer_Data[[#Headers],[CardName]]))</f>
        <v>مؤسسة محمد راشد البوعينين التجارية - نقدي</v>
      </c>
      <c r="D263" s="37" t="str">
        <f ca="1">IF(بيانات_العملاء[[#This Row],[حد الائتمان على SAP]]&gt;0,"آجل","نقدى")</f>
        <v>نقدى</v>
      </c>
      <c r="E263" s="37"/>
      <c r="F263" s="37" t="s">
        <v>1082</v>
      </c>
      <c r="G263" s="37"/>
      <c r="H26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3" s="37" t="s">
        <v>856</v>
      </c>
      <c r="J263" s="38"/>
      <c r="K263" s="37"/>
      <c r="L263" s="37" t="str">
        <f ca="1">IF(AND(بيانات_العملاء[[#This Row],[السجل التجارى]]="موجود",TODAY()+'Other Data'!$B$23&lt;J263,بيانات_العملاء[[#This Row],[مطابقة اسم العميل بالاسم بالسجل التجارى]]="مطابق"), "سارى", "يجب اعادة طلبه")</f>
        <v>يجب اعادة طلبه</v>
      </c>
      <c r="M263" s="37" t="s">
        <v>854</v>
      </c>
      <c r="N263" s="39" t="str" cm="1">
        <f t="array" aca="1" ref="N263" ca="1">INDEX('SAP Customer Data'!$A:$AC,MATCH(بيانات_العملاء[[#This Row],[رمز شريك الأعمال]],'SAP Customer Data'!$B:$B,0),CELL("col",Table_Customer_Data[[#Headers],[LicTradNum]]))</f>
        <v>300758371900003</v>
      </c>
      <c r="O26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3" s="37"/>
      <c r="Q263" s="38"/>
      <c r="R26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3" s="37" t="s">
        <v>1080</v>
      </c>
      <c r="T263" s="40"/>
      <c r="U263" s="41"/>
      <c r="V26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3" s="37" cm="1">
        <f t="array" aca="1" ref="X263" ca="1">INDEX('SAP Customer Data'!$A:$AC,MATCH(بيانات_العملاء[[#This Row],[رمز شريك الأعمال]],'SAP Customer Data'!$B:$B,0),CELL("col",Table_Customer_Data[[#Headers],[CreditLine]]))</f>
        <v>0</v>
      </c>
      <c r="Y26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3" s="37"/>
      <c r="AA26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3" s="37"/>
      <c r="AC263" s="37"/>
      <c r="AD26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3" s="37"/>
      <c r="AF263" s="37"/>
      <c r="AG26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3" s="37"/>
      <c r="AI263" s="37"/>
      <c r="AJ26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3" s="37"/>
      <c r="AL263" s="38"/>
      <c r="AM26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3" s="37"/>
      <c r="AO263" s="41"/>
      <c r="AP26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3" s="37"/>
      <c r="AR263" s="37"/>
      <c r="AS26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3" s="41" cm="1">
        <f t="array" aca="1" ref="AT263" ca="1">INDEX('SAP Customer Data'!A:Z,MATCH(بيانات_العملاء[[#This Row],[رمز شريك الأعمال]],'SAP Customer Data'!B:B,0),CELL("col",Table_Customer_Data[[#Headers],[CreateDate]]))</f>
        <v>44391</v>
      </c>
      <c r="AU263" s="37"/>
      <c r="AV263" s="41"/>
      <c r="AW263" s="37" t="s">
        <v>2097</v>
      </c>
      <c r="AX263" s="37"/>
    </row>
    <row r="264" spans="1:50" x14ac:dyDescent="0.25">
      <c r="A264" s="36" t="str" cm="1">
        <f t="array" aca="1" ref="A264" ca="1">INDEX('SAP Customer Data'!$A:$AC,MATCH(بيانات_العملاء[[#This Row],[رمز شريك الأعمال]],'SAP Customer Data'!$B:$B,0),CELL("col",Table_Customer_Data[[#Headers],[GroupName]]))</f>
        <v>CS05</v>
      </c>
      <c r="B264" s="42" t="s">
        <v>62</v>
      </c>
      <c r="C264" s="37" t="str" cm="1">
        <f t="array" aca="1" ref="C264" ca="1">INDEX('SAP Customer Data'!$A:$AC,MATCH(بيانات_العملاء[[#This Row],[رمز شريك الأعمال]],'SAP Customer Data'!$B:$B,0),CELL("col",Table_Customer_Data[[#Headers],[CardName]]))</f>
        <v>مؤسسة انوار الشروق للتجارة- نقدي</v>
      </c>
      <c r="D264" s="37" t="str">
        <f ca="1">IF(بيانات_العملاء[[#This Row],[حد الائتمان على SAP]]&gt;0,"آجل","نقدى")</f>
        <v>نقدى</v>
      </c>
      <c r="E264" s="37"/>
      <c r="F264" s="37" t="s">
        <v>1082</v>
      </c>
      <c r="G264" s="37"/>
      <c r="H26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4" s="37" t="s">
        <v>856</v>
      </c>
      <c r="J264" s="38"/>
      <c r="K264" s="37"/>
      <c r="L264" s="37" t="str">
        <f ca="1">IF(AND(بيانات_العملاء[[#This Row],[السجل التجارى]]="موجود",TODAY()+'Other Data'!$B$23&lt;J264,بيانات_العملاء[[#This Row],[مطابقة اسم العميل بالاسم بالسجل التجارى]]="مطابق"), "سارى", "يجب اعادة طلبه")</f>
        <v>يجب اعادة طلبه</v>
      </c>
      <c r="M264" s="37" t="s">
        <v>854</v>
      </c>
      <c r="N264" s="39" t="str" cm="1">
        <f t="array" aca="1" ref="N264" ca="1">INDEX('SAP Customer Data'!$A:$AC,MATCH(بيانات_العملاء[[#This Row],[رمز شريك الأعمال]],'SAP Customer Data'!$B:$B,0),CELL("col",Table_Customer_Data[[#Headers],[LicTradNum]]))</f>
        <v>300812962800003</v>
      </c>
      <c r="O26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4" s="37"/>
      <c r="Q264" s="38"/>
      <c r="R26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4" s="37" t="s">
        <v>1080</v>
      </c>
      <c r="T264" s="40"/>
      <c r="U264" s="41"/>
      <c r="V26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4" s="37" cm="1">
        <f t="array" aca="1" ref="X264" ca="1">INDEX('SAP Customer Data'!$A:$AC,MATCH(بيانات_العملاء[[#This Row],[رمز شريك الأعمال]],'SAP Customer Data'!$B:$B,0),CELL("col",Table_Customer_Data[[#Headers],[CreditLine]]))</f>
        <v>0</v>
      </c>
      <c r="Y26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4" s="37"/>
      <c r="AA26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4" s="37"/>
      <c r="AC264" s="37"/>
      <c r="AD26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4" s="37"/>
      <c r="AF264" s="37"/>
      <c r="AG26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4" s="37"/>
      <c r="AI264" s="37"/>
      <c r="AJ26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4" s="37"/>
      <c r="AL264" s="38"/>
      <c r="AM26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4" s="37"/>
      <c r="AO264" s="41"/>
      <c r="AP26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4" s="37"/>
      <c r="AR264" s="37"/>
      <c r="AS26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4" s="41" cm="1">
        <f t="array" aca="1" ref="AT264" ca="1">INDEX('SAP Customer Data'!A:Z,MATCH(بيانات_العملاء[[#This Row],[رمز شريك الأعمال]],'SAP Customer Data'!B:B,0),CELL("col",Table_Customer_Data[[#Headers],[CreateDate]]))</f>
        <v>44427</v>
      </c>
      <c r="AU264" s="37"/>
      <c r="AV264" s="41"/>
      <c r="AW264" s="37" t="s">
        <v>2097</v>
      </c>
      <c r="AX264" s="37"/>
    </row>
    <row r="265" spans="1:50" x14ac:dyDescent="0.25">
      <c r="A265" s="36" t="str" cm="1">
        <f t="array" aca="1" ref="A265" ca="1">INDEX('SAP Customer Data'!$A:$AC,MATCH(بيانات_العملاء[[#This Row],[رمز شريك الأعمال]],'SAP Customer Data'!$B:$B,0),CELL("col",Table_Customer_Data[[#Headers],[GroupName]]))</f>
        <v>CS05</v>
      </c>
      <c r="B265" s="42" t="s">
        <v>60</v>
      </c>
      <c r="C265" s="37" t="str" cm="1">
        <f t="array" aca="1" ref="C265" ca="1">INDEX('SAP Customer Data'!$A:$AC,MATCH(بيانات_العملاء[[#This Row],[رمز شريك الأعمال]],'SAP Customer Data'!$B:$B,0),CELL("col",Table_Customer_Data[[#Headers],[CardName]]))</f>
        <v>فرع مؤسسة محمد مفرح العجمي التجارية- نقدي</v>
      </c>
      <c r="D265" s="37" t="str">
        <f ca="1">IF(بيانات_العملاء[[#This Row],[حد الائتمان على SAP]]&gt;0,"آجل","نقدى")</f>
        <v>نقدى</v>
      </c>
      <c r="E265" s="37"/>
      <c r="F265" s="37" t="s">
        <v>1082</v>
      </c>
      <c r="G265" s="37"/>
      <c r="H26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5" s="37" t="s">
        <v>856</v>
      </c>
      <c r="J265" s="38"/>
      <c r="K265" s="37"/>
      <c r="L265" s="37" t="str">
        <f ca="1">IF(AND(بيانات_العملاء[[#This Row],[السجل التجارى]]="موجود",TODAY()+'Other Data'!$B$23&lt;J265,بيانات_العملاء[[#This Row],[مطابقة اسم العميل بالاسم بالسجل التجارى]]="مطابق"), "سارى", "يجب اعادة طلبه")</f>
        <v>يجب اعادة طلبه</v>
      </c>
      <c r="M265" s="37" t="s">
        <v>854</v>
      </c>
      <c r="N265" s="39" t="str" cm="1">
        <f t="array" aca="1" ref="N265" ca="1">INDEX('SAP Customer Data'!$A:$AC,MATCH(بيانات_العملاء[[#This Row],[رمز شريك الأعمال]],'SAP Customer Data'!$B:$B,0),CELL("col",Table_Customer_Data[[#Headers],[LicTradNum]]))</f>
        <v>300831304900003</v>
      </c>
      <c r="O26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5" s="37"/>
      <c r="Q265" s="38"/>
      <c r="R26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5" s="37" t="s">
        <v>1080</v>
      </c>
      <c r="T265" s="40"/>
      <c r="U265" s="41"/>
      <c r="V26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5" s="37" cm="1">
        <f t="array" aca="1" ref="X265" ca="1">INDEX('SAP Customer Data'!$A:$AC,MATCH(بيانات_العملاء[[#This Row],[رمز شريك الأعمال]],'SAP Customer Data'!$B:$B,0),CELL("col",Table_Customer_Data[[#Headers],[CreditLine]]))</f>
        <v>0</v>
      </c>
      <c r="Y26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5" s="37"/>
      <c r="AA26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5" s="37"/>
      <c r="AC265" s="37"/>
      <c r="AD26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5" s="37"/>
      <c r="AF265" s="37"/>
      <c r="AG26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5" s="37"/>
      <c r="AI265" s="37"/>
      <c r="AJ26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5" s="37"/>
      <c r="AL265" s="38"/>
      <c r="AM26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5" s="37"/>
      <c r="AO265" s="41"/>
      <c r="AP26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5" s="37"/>
      <c r="AR265" s="37"/>
      <c r="AS26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5" s="41" cm="1">
        <f t="array" aca="1" ref="AT265" ca="1">INDEX('SAP Customer Data'!A:Z,MATCH(بيانات_العملاء[[#This Row],[رمز شريك الأعمال]],'SAP Customer Data'!B:B,0),CELL("col",Table_Customer_Data[[#Headers],[CreateDate]]))</f>
        <v>44424</v>
      </c>
      <c r="AU265" s="37"/>
      <c r="AV265" s="41"/>
      <c r="AW265" s="37" t="s">
        <v>2097</v>
      </c>
      <c r="AX265" s="37"/>
    </row>
    <row r="266" spans="1:50" x14ac:dyDescent="0.25">
      <c r="A266" s="36" t="str" cm="1">
        <f t="array" aca="1" ref="A266" ca="1">INDEX('SAP Customer Data'!$A:$AC,MATCH(بيانات_العملاء[[#This Row],[رمز شريك الأعمال]],'SAP Customer Data'!$B:$B,0),CELL("col",Table_Customer_Data[[#Headers],[GroupName]]))</f>
        <v>CS05</v>
      </c>
      <c r="B266" s="35" t="s">
        <v>164</v>
      </c>
      <c r="C266" s="37" t="str" cm="1">
        <f t="array" aca="1" ref="C266" ca="1">INDEX('SAP Customer Data'!$A:$AC,MATCH(بيانات_العملاء[[#This Row],[رمز شريك الأعمال]],'SAP Customer Data'!$B:$B,0),CELL("col",Table_Customer_Data[[#Headers],[CardName]]))</f>
        <v>مؤسسة المنزل المثالي التجارية-نقدي</v>
      </c>
      <c r="D266" s="37" t="str">
        <f ca="1">IF(بيانات_العملاء[[#This Row],[حد الائتمان على SAP]]&gt;0,"آجل","نقدى")</f>
        <v>نقدى</v>
      </c>
      <c r="E266" s="37" t="s">
        <v>2235</v>
      </c>
      <c r="F266" s="37" t="s">
        <v>1081</v>
      </c>
      <c r="G266" s="37" t="s">
        <v>856</v>
      </c>
      <c r="H26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6" s="37" t="s">
        <v>854</v>
      </c>
      <c r="J266" s="38">
        <v>45143</v>
      </c>
      <c r="K266" s="37" t="s">
        <v>855</v>
      </c>
      <c r="L266" s="37" t="str">
        <f ca="1">IF(AND(بيانات_العملاء[[#This Row],[السجل التجارى]]="موجود",TODAY()+'Other Data'!$B$23&lt;J266,بيانات_العملاء[[#This Row],[مطابقة اسم العميل بالاسم بالسجل التجارى]]="مطابق"), "سارى", "يجب اعادة طلبه")</f>
        <v>يجب اعادة طلبه</v>
      </c>
      <c r="M266" s="37" t="s">
        <v>854</v>
      </c>
      <c r="N266" s="39" t="str" cm="1">
        <f t="array" aca="1" ref="N266" ca="1">INDEX('SAP Customer Data'!$A:$AC,MATCH(بيانات_العملاء[[#This Row],[رمز شريك الأعمال]],'SAP Customer Data'!$B:$B,0),CELL("col",Table_Customer_Data[[#Headers],[LicTradNum]]))</f>
        <v>311237272800003</v>
      </c>
      <c r="O26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6" s="37" t="s">
        <v>856</v>
      </c>
      <c r="Q266" s="38"/>
      <c r="R26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6" s="37" t="s">
        <v>1080</v>
      </c>
      <c r="T266" s="40"/>
      <c r="U266" s="41"/>
      <c r="V26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6" s="37" cm="1">
        <f t="array" aca="1" ref="X266" ca="1">INDEX('SAP Customer Data'!$A:$AC,MATCH(بيانات_العملاء[[#This Row],[رمز شريك الأعمال]],'SAP Customer Data'!$B:$B,0),CELL("col",Table_Customer_Data[[#Headers],[CreditLine]]))</f>
        <v>0</v>
      </c>
      <c r="Y26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6" s="37"/>
      <c r="AA26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6" s="37" t="s">
        <v>856</v>
      </c>
      <c r="AC266" s="37"/>
      <c r="AD26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6" s="37"/>
      <c r="AF266" s="37"/>
      <c r="AG26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6" s="37"/>
      <c r="AI266" s="37"/>
      <c r="AJ26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6" s="37"/>
      <c r="AL266" s="38"/>
      <c r="AM26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6" s="37" t="s">
        <v>856</v>
      </c>
      <c r="AO266" s="41"/>
      <c r="AP26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6" s="37"/>
      <c r="AR266" s="37"/>
      <c r="AS26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6" s="41" cm="1">
        <f t="array" aca="1" ref="AT266" ca="1">INDEX('SAP Customer Data'!A:Z,MATCH(بيانات_العملاء[[#This Row],[رمز شريك الأعمال]],'SAP Customer Data'!B:B,0),CELL("col",Table_Customer_Data[[#Headers],[CreateDate]]))</f>
        <v>44716</v>
      </c>
      <c r="AU266" s="37"/>
      <c r="AV266" s="41"/>
      <c r="AW266" s="37" t="s">
        <v>2097</v>
      </c>
      <c r="AX266" s="37"/>
    </row>
    <row r="267" spans="1:50" x14ac:dyDescent="0.25">
      <c r="A267" s="36" t="str" cm="1">
        <f t="array" aca="1" ref="A267" ca="1">INDEX('SAP Customer Data'!$A:$AC,MATCH(بيانات_العملاء[[#This Row],[رمز شريك الأعمال]],'SAP Customer Data'!$B:$B,0),CELL("col",Table_Customer_Data[[#Headers],[GroupName]]))</f>
        <v>CS05</v>
      </c>
      <c r="B267" s="35" t="s">
        <v>163</v>
      </c>
      <c r="C267" s="37" t="str" cm="1">
        <f t="array" aca="1" ref="C267" ca="1">INDEX('SAP Customer Data'!$A:$AC,MATCH(بيانات_العملاء[[#This Row],[رمز شريك الأعمال]],'SAP Customer Data'!$B:$B,0),CELL("col",Table_Customer_Data[[#Headers],[CardName]]))</f>
        <v>مؤسسة حبر الشرقية التجارية - نقدي</v>
      </c>
      <c r="D267" s="37" t="str">
        <f ca="1">IF(بيانات_العملاء[[#This Row],[حد الائتمان على SAP]]&gt;0,"آجل","نقدى")</f>
        <v>نقدى</v>
      </c>
      <c r="E267" s="37"/>
      <c r="F267" s="37" t="s">
        <v>1082</v>
      </c>
      <c r="G267" s="37" t="s">
        <v>856</v>
      </c>
      <c r="H26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7" s="37" t="s">
        <v>856</v>
      </c>
      <c r="J267" s="38"/>
      <c r="K267" s="37"/>
      <c r="L267" s="37" t="str">
        <f ca="1">IF(AND(بيانات_العملاء[[#This Row],[السجل التجارى]]="موجود",TODAY()+'Other Data'!$B$23&lt;J267,بيانات_العملاء[[#This Row],[مطابقة اسم العميل بالاسم بالسجل التجارى]]="مطابق"), "سارى", "يجب اعادة طلبه")</f>
        <v>يجب اعادة طلبه</v>
      </c>
      <c r="M267" s="37" t="s">
        <v>856</v>
      </c>
      <c r="N267" s="39" t="str" cm="1">
        <f t="array" aca="1" ref="N267" ca="1">INDEX('SAP Customer Data'!$A:$AC,MATCH(بيانات_العملاء[[#This Row],[رمز شريك الأعمال]],'SAP Customer Data'!$B:$B,0),CELL("col",Table_Customer_Data[[#Headers],[LicTradNum]]))</f>
        <v>310888962900003</v>
      </c>
      <c r="O26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67" s="37" t="s">
        <v>856</v>
      </c>
      <c r="Q267" s="38"/>
      <c r="R26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7" s="37" t="s">
        <v>1080</v>
      </c>
      <c r="T267" s="40"/>
      <c r="U267" s="41"/>
      <c r="V26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7" s="37" cm="1">
        <f t="array" aca="1" ref="X267" ca="1">INDEX('SAP Customer Data'!$A:$AC,MATCH(بيانات_العملاء[[#This Row],[رمز شريك الأعمال]],'SAP Customer Data'!$B:$B,0),CELL("col",Table_Customer_Data[[#Headers],[CreditLine]]))</f>
        <v>0</v>
      </c>
      <c r="Y26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7" s="37"/>
      <c r="AA26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7" s="37" t="s">
        <v>856</v>
      </c>
      <c r="AC267" s="37"/>
      <c r="AD26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7" s="37"/>
      <c r="AF267" s="37"/>
      <c r="AG26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7" s="37"/>
      <c r="AI267" s="37"/>
      <c r="AJ26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7" s="37"/>
      <c r="AL267" s="38"/>
      <c r="AM26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7" s="37" t="s">
        <v>856</v>
      </c>
      <c r="AO267" s="41"/>
      <c r="AP26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7" s="37"/>
      <c r="AR267" s="37"/>
      <c r="AS26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7" s="41" cm="1">
        <f t="array" aca="1" ref="AT267" ca="1">INDEX('SAP Customer Data'!A:Z,MATCH(بيانات_العملاء[[#This Row],[رمز شريك الأعمال]],'SAP Customer Data'!B:B,0),CELL("col",Table_Customer_Data[[#Headers],[CreateDate]]))</f>
        <v>44713</v>
      </c>
      <c r="AU267" s="37"/>
      <c r="AV267" s="41"/>
      <c r="AW267" s="37" t="s">
        <v>2097</v>
      </c>
      <c r="AX267" s="37"/>
    </row>
    <row r="268" spans="1:50" x14ac:dyDescent="0.25">
      <c r="A268" s="36" t="str" cm="1">
        <f t="array" aca="1" ref="A268" ca="1">INDEX('SAP Customer Data'!$A:$AC,MATCH(بيانات_العملاء[[#This Row],[رمز شريك الأعمال]],'SAP Customer Data'!$B:$B,0),CELL("col",Table_Customer_Data[[#Headers],[GroupName]]))</f>
        <v>CS05</v>
      </c>
      <c r="B268" s="35" t="s">
        <v>151</v>
      </c>
      <c r="C268" s="37" t="str" cm="1">
        <f t="array" aca="1" ref="C268" ca="1">INDEX('SAP Customer Data'!$A:$AC,MATCH(بيانات_العملاء[[#This Row],[رمز شريك الأعمال]],'SAP Customer Data'!$B:$B,0),CELL("col",Table_Customer_Data[[#Headers],[CardName]]))</f>
        <v>محل الصقر الابيض التجارية -نقدي</v>
      </c>
      <c r="D268" s="37" t="str">
        <f ca="1">IF(بيانات_العملاء[[#This Row],[حد الائتمان على SAP]]&gt;0,"آجل","نقدى")</f>
        <v>نقدى</v>
      </c>
      <c r="E268" s="37"/>
      <c r="F268" s="37" t="s">
        <v>1082</v>
      </c>
      <c r="G268" s="37" t="s">
        <v>856</v>
      </c>
      <c r="H26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8" s="37" t="s">
        <v>856</v>
      </c>
      <c r="J268" s="38"/>
      <c r="K268" s="37"/>
      <c r="L268" s="37" t="str">
        <f ca="1">IF(AND(بيانات_العملاء[[#This Row],[السجل التجارى]]="موجود",TODAY()+'Other Data'!$B$23&lt;J268,بيانات_العملاء[[#This Row],[مطابقة اسم العميل بالاسم بالسجل التجارى]]="مطابق"), "سارى", "يجب اعادة طلبه")</f>
        <v>يجب اعادة طلبه</v>
      </c>
      <c r="M268" s="37" t="s">
        <v>854</v>
      </c>
      <c r="N268" s="39" t="str" cm="1">
        <f t="array" aca="1" ref="N268" ca="1">INDEX('SAP Customer Data'!$A:$AC,MATCH(بيانات_العملاء[[#This Row],[رمز شريك الأعمال]],'SAP Customer Data'!$B:$B,0),CELL("col",Table_Customer_Data[[#Headers],[LicTradNum]]))</f>
        <v>300883979600003</v>
      </c>
      <c r="O26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8" s="37" t="s">
        <v>856</v>
      </c>
      <c r="Q268" s="38"/>
      <c r="R26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8" s="37" t="s">
        <v>1080</v>
      </c>
      <c r="T268" s="40"/>
      <c r="U268" s="41"/>
      <c r="V26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8" s="37" cm="1">
        <f t="array" aca="1" ref="X268" ca="1">INDEX('SAP Customer Data'!$A:$AC,MATCH(بيانات_العملاء[[#This Row],[رمز شريك الأعمال]],'SAP Customer Data'!$B:$B,0),CELL("col",Table_Customer_Data[[#Headers],[CreditLine]]))</f>
        <v>0</v>
      </c>
      <c r="Y26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8" s="37"/>
      <c r="AA26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8" s="37"/>
      <c r="AC268" s="37"/>
      <c r="AD26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8" s="37"/>
      <c r="AF268" s="37"/>
      <c r="AG26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8" s="37"/>
      <c r="AI268" s="37"/>
      <c r="AJ26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8" s="37"/>
      <c r="AL268" s="38"/>
      <c r="AM26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8" s="37"/>
      <c r="AO268" s="41"/>
      <c r="AP26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8" s="37"/>
      <c r="AR268" s="37"/>
      <c r="AS26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8" s="41" cm="1">
        <f t="array" aca="1" ref="AT268" ca="1">INDEX('SAP Customer Data'!A:Z,MATCH(بيانات_العملاء[[#This Row],[رمز شريك الأعمال]],'SAP Customer Data'!B:B,0),CELL("col",Table_Customer_Data[[#Headers],[CreateDate]]))</f>
        <v>44628</v>
      </c>
      <c r="AU268" s="37"/>
      <c r="AV268" s="41"/>
      <c r="AW268" s="37" t="s">
        <v>2097</v>
      </c>
      <c r="AX268" s="37"/>
    </row>
    <row r="269" spans="1:50" x14ac:dyDescent="0.25">
      <c r="A269" s="36" t="str" cm="1">
        <f t="array" aca="1" ref="A269" ca="1">INDEX('SAP Customer Data'!$A:$AC,MATCH(بيانات_العملاء[[#This Row],[رمز شريك الأعمال]],'SAP Customer Data'!$B:$B,0),CELL("col",Table_Customer_Data[[#Headers],[GroupName]]))</f>
        <v>CS05</v>
      </c>
      <c r="B269" s="35" t="s">
        <v>36</v>
      </c>
      <c r="C269" s="37" t="str" cm="1">
        <f t="array" aca="1" ref="C269" ca="1">INDEX('SAP Customer Data'!$A:$AC,MATCH(بيانات_العملاء[[#This Row],[رمز شريك الأعمال]],'SAP Customer Data'!$B:$B,0),CELL("col",Table_Customer_Data[[#Headers],[CardName]]))</f>
        <v>مؤسسة منة الانارة الحديثة التجارية-نقدي</v>
      </c>
      <c r="D269" s="37" t="str">
        <f ca="1">IF(بيانات_العملاء[[#This Row],[حد الائتمان على SAP]]&gt;0,"آجل","نقدى")</f>
        <v>نقدى</v>
      </c>
      <c r="E269" s="37" t="s">
        <v>2218</v>
      </c>
      <c r="F269" s="37" t="s">
        <v>1081</v>
      </c>
      <c r="G269" s="37" t="s">
        <v>856</v>
      </c>
      <c r="H26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69" s="37" t="s">
        <v>854</v>
      </c>
      <c r="J269" s="38">
        <v>45214</v>
      </c>
      <c r="K269" s="37" t="s">
        <v>855</v>
      </c>
      <c r="L269" s="37" t="str">
        <f ca="1">IF(AND(بيانات_العملاء[[#This Row],[السجل التجارى]]="موجود",TODAY()+'Other Data'!$B$23&lt;J269,بيانات_العملاء[[#This Row],[مطابقة اسم العميل بالاسم بالسجل التجارى]]="مطابق"), "سارى", "يجب اعادة طلبه")</f>
        <v>يجب اعادة طلبه</v>
      </c>
      <c r="M269" s="37" t="s">
        <v>854</v>
      </c>
      <c r="N269" s="39" t="str" cm="1">
        <f t="array" aca="1" ref="N269" ca="1">INDEX('SAP Customer Data'!$A:$AC,MATCH(بيانات_العملاء[[#This Row],[رمز شريك الأعمال]],'SAP Customer Data'!$B:$B,0),CELL("col",Table_Customer_Data[[#Headers],[LicTradNum]]))</f>
        <v>310327074300003</v>
      </c>
      <c r="O26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69" s="37" t="s">
        <v>854</v>
      </c>
      <c r="Q269" s="38">
        <v>44972</v>
      </c>
      <c r="R26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69" s="37" t="s">
        <v>1080</v>
      </c>
      <c r="T269" s="40"/>
      <c r="U269" s="41"/>
      <c r="V26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6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69" s="37" cm="1">
        <f t="array" aca="1" ref="X269" ca="1">INDEX('SAP Customer Data'!$A:$AC,MATCH(بيانات_العملاء[[#This Row],[رمز شريك الأعمال]],'SAP Customer Data'!$B:$B,0),CELL("col",Table_Customer_Data[[#Headers],[CreditLine]]))</f>
        <v>0</v>
      </c>
      <c r="Y26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69" s="37"/>
      <c r="AA26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69" s="37"/>
      <c r="AC269" s="37"/>
      <c r="AD26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69" s="37"/>
      <c r="AF269" s="37"/>
      <c r="AG26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69" s="37"/>
      <c r="AI269" s="37"/>
      <c r="AJ26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69" s="37"/>
      <c r="AL269" s="38"/>
      <c r="AM26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69" s="37"/>
      <c r="AO269" s="41"/>
      <c r="AP26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69" s="37"/>
      <c r="AR269" s="37"/>
      <c r="AS26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69" s="41" cm="1">
        <f t="array" aca="1" ref="AT269" ca="1">INDEX('SAP Customer Data'!A:Z,MATCH(بيانات_العملاء[[#This Row],[رمز شريك الأعمال]],'SAP Customer Data'!B:B,0),CELL("col",Table_Customer_Data[[#Headers],[CreateDate]]))</f>
        <v>44270</v>
      </c>
      <c r="AU269" s="37"/>
      <c r="AV269" s="41"/>
      <c r="AW269" s="37" t="s">
        <v>2097</v>
      </c>
      <c r="AX269" s="37"/>
    </row>
    <row r="270" spans="1:50" x14ac:dyDescent="0.25">
      <c r="A270" s="36" t="str" cm="1">
        <f t="array" aca="1" ref="A270" ca="1">INDEX('SAP Customer Data'!$A:$AC,MATCH(بيانات_العملاء[[#This Row],[رمز شريك الأعمال]],'SAP Customer Data'!$B:$B,0),CELL("col",Table_Customer_Data[[#Headers],[GroupName]]))</f>
        <v>CS05</v>
      </c>
      <c r="B270" s="35" t="s">
        <v>9</v>
      </c>
      <c r="C270" s="37" t="str" cm="1">
        <f t="array" aca="1" ref="C270" ca="1">INDEX('SAP Customer Data'!$A:$AC,MATCH(بيانات_العملاء[[#This Row],[رمز شريك الأعمال]],'SAP Customer Data'!$B:$B,0),CELL("col",Table_Customer_Data[[#Headers],[CardName]]))</f>
        <v>مؤسسة مجال الاختصاص للتجارة</v>
      </c>
      <c r="D270" s="37" t="str">
        <f ca="1">IF(بيانات_العملاء[[#This Row],[حد الائتمان على SAP]]&gt;0,"آجل","نقدى")</f>
        <v>آجل</v>
      </c>
      <c r="E270" s="37"/>
      <c r="F270" s="37" t="s">
        <v>1082</v>
      </c>
      <c r="G270" s="37" t="s">
        <v>854</v>
      </c>
      <c r="H27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70" s="37" t="s">
        <v>856</v>
      </c>
      <c r="J270" s="38"/>
      <c r="K270" s="37"/>
      <c r="L270" s="37" t="str">
        <f ca="1">IF(AND(بيانات_العملاء[[#This Row],[السجل التجارى]]="موجود",TODAY()+'Other Data'!$B$23&lt;J270,بيانات_العملاء[[#This Row],[مطابقة اسم العميل بالاسم بالسجل التجارى]]="مطابق"), "سارى", "يجب اعادة طلبه")</f>
        <v>يجب اعادة طلبه</v>
      </c>
      <c r="M270" s="37" t="s">
        <v>856</v>
      </c>
      <c r="N270" s="39" t="str" cm="1">
        <f t="array" aca="1" ref="N270" ca="1">INDEX('SAP Customer Data'!$A:$AC,MATCH(بيانات_العملاء[[#This Row],[رمز شريك الأعمال]],'SAP Customer Data'!$B:$B,0),CELL("col",Table_Customer_Data[[#Headers],[LicTradNum]]))</f>
        <v/>
      </c>
      <c r="O27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70" s="37" t="s">
        <v>856</v>
      </c>
      <c r="Q270" s="38"/>
      <c r="R27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0" s="37" t="s">
        <v>854</v>
      </c>
      <c r="T270" s="40">
        <v>25000</v>
      </c>
      <c r="U270" s="41">
        <v>44199</v>
      </c>
      <c r="V270" s="41">
        <f>IF(بيانات_العملاء[[#This Row],[تاريخ انشاء سند الامر او الاستثناء]]="",0,بيانات_العملاء[[#This Row],[تاريخ انشاء سند الامر او الاستثناء]]+365*3)</f>
        <v>45294</v>
      </c>
      <c r="W27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20000</v>
      </c>
      <c r="X270" s="37" cm="1">
        <f t="array" aca="1" ref="X270" ca="1">INDEX('SAP Customer Data'!$A:$AC,MATCH(بيانات_العملاء[[#This Row],[رمز شريك الأعمال]],'SAP Customer Data'!$B:$B,0),CELL("col",Table_Customer_Data[[#Headers],[CreditLine]]))</f>
        <v>20000</v>
      </c>
      <c r="Y27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70" s="37" t="s">
        <v>859</v>
      </c>
      <c r="AA27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70" s="37" t="s">
        <v>856</v>
      </c>
      <c r="AC270" s="44"/>
      <c r="AD27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0" s="37" t="s">
        <v>856</v>
      </c>
      <c r="AF270" s="37"/>
      <c r="AG27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0" s="37" t="s">
        <v>856</v>
      </c>
      <c r="AI270" s="37"/>
      <c r="AJ27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0" s="37" t="s">
        <v>856</v>
      </c>
      <c r="AL270" s="38"/>
      <c r="AM27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0" s="37" t="s">
        <v>856</v>
      </c>
      <c r="AO270" s="41"/>
      <c r="AP27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0" s="37" t="s">
        <v>856</v>
      </c>
      <c r="AR270" s="37"/>
      <c r="AS27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0" s="41" cm="1">
        <f t="array" aca="1" ref="AT270" ca="1">INDEX('SAP Customer Data'!A:Z,MATCH(بيانات_العملاء[[#This Row],[رمز شريك الأعمال]],'SAP Customer Data'!B:B,0),CELL("col",Table_Customer_Data[[#Headers],[CreateDate]]))</f>
        <v>44205</v>
      </c>
      <c r="AU270" s="37"/>
      <c r="AV270" s="41"/>
      <c r="AW270" s="37" t="s">
        <v>2097</v>
      </c>
      <c r="AX270" s="37"/>
    </row>
    <row r="271" spans="1:50" x14ac:dyDescent="0.25">
      <c r="A271" s="36" t="str" cm="1">
        <f t="array" aca="1" ref="A271" ca="1">INDEX('SAP Customer Data'!$A:$AC,MATCH(بيانات_العملاء[[#This Row],[رمز شريك الأعمال]],'SAP Customer Data'!$B:$B,0),CELL("col",Table_Customer_Data[[#Headers],[GroupName]]))</f>
        <v>CS05</v>
      </c>
      <c r="B271" s="35" t="s">
        <v>13</v>
      </c>
      <c r="C271" s="37" t="str" cm="1">
        <f t="array" aca="1" ref="C271" ca="1">INDEX('SAP Customer Data'!$A:$AC,MATCH(بيانات_العملاء[[#This Row],[رمز شريك الأعمال]],'SAP Customer Data'!$B:$B,0),CELL("col",Table_Customer_Data[[#Headers],[CardName]]))</f>
        <v>مؤسسة النجم المرتفع التجارية</v>
      </c>
      <c r="D271" s="37" t="str">
        <f ca="1">IF(بيانات_العملاء[[#This Row],[حد الائتمان على SAP]]&gt;0,"آجل","نقدى")</f>
        <v>آجل</v>
      </c>
      <c r="E271" s="37" t="s">
        <v>2048</v>
      </c>
      <c r="F271" s="37" t="s">
        <v>1081</v>
      </c>
      <c r="G271" s="37" t="s">
        <v>854</v>
      </c>
      <c r="H27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71" s="37" t="s">
        <v>854</v>
      </c>
      <c r="J271" s="38">
        <v>45244</v>
      </c>
      <c r="K271" s="37" t="s">
        <v>855</v>
      </c>
      <c r="L271" s="37" t="str">
        <f ca="1">IF(AND(بيانات_العملاء[[#This Row],[السجل التجارى]]="موجود",TODAY()+'Other Data'!$B$23&lt;J271,بيانات_العملاء[[#This Row],[مطابقة اسم العميل بالاسم بالسجل التجارى]]="مطابق"), "سارى", "يجب اعادة طلبه")</f>
        <v>سارى</v>
      </c>
      <c r="M271" s="37" t="s">
        <v>856</v>
      </c>
      <c r="N271" s="39" t="str" cm="1">
        <f t="array" aca="1" ref="N271" ca="1">INDEX('SAP Customer Data'!$A:$AC,MATCH(بيانات_العملاء[[#This Row],[رمز شريك الأعمال]],'SAP Customer Data'!$B:$B,0),CELL("col",Table_Customer_Data[[#Headers],[LicTradNum]]))</f>
        <v/>
      </c>
      <c r="O27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71" s="37" t="s">
        <v>856</v>
      </c>
      <c r="Q271" s="38"/>
      <c r="R27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1" s="37" t="s">
        <v>854</v>
      </c>
      <c r="T271" s="40">
        <v>75000</v>
      </c>
      <c r="U271" s="41"/>
      <c r="V27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60000</v>
      </c>
      <c r="X271" s="37" cm="1">
        <f t="array" aca="1" ref="X271" ca="1">INDEX('SAP Customer Data'!$A:$AC,MATCH(بيانات_العملاء[[#This Row],[رمز شريك الأعمال]],'SAP Customer Data'!$B:$B,0),CELL("col",Table_Customer_Data[[#Headers],[CreditLine]]))</f>
        <v>60000</v>
      </c>
      <c r="Y27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71" s="37" t="s">
        <v>855</v>
      </c>
      <c r="AA27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71" s="37" t="s">
        <v>856</v>
      </c>
      <c r="AC271" s="44"/>
      <c r="AD27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1" s="37" t="s">
        <v>856</v>
      </c>
      <c r="AF271" s="37"/>
      <c r="AG27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1" s="37" t="s">
        <v>856</v>
      </c>
      <c r="AI271" s="37"/>
      <c r="AJ27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1" s="37" t="s">
        <v>856</v>
      </c>
      <c r="AL271" s="38"/>
      <c r="AM27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1" s="37" t="s">
        <v>856</v>
      </c>
      <c r="AO271" s="41"/>
      <c r="AP27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1" s="37" t="s">
        <v>856</v>
      </c>
      <c r="AR271" s="37"/>
      <c r="AS27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1" s="41" cm="1">
        <f t="array" aca="1" ref="AT271" ca="1">INDEX('SAP Customer Data'!A:Z,MATCH(بيانات_العملاء[[#This Row],[رمز شريك الأعمال]],'SAP Customer Data'!B:B,0),CELL("col",Table_Customer_Data[[#Headers],[CreateDate]]))</f>
        <v>44219</v>
      </c>
      <c r="AU271" s="37"/>
      <c r="AV271" s="41"/>
      <c r="AW271" s="37" t="s">
        <v>2097</v>
      </c>
      <c r="AX271" s="37"/>
    </row>
    <row r="272" spans="1:50" x14ac:dyDescent="0.25">
      <c r="A272" s="36" t="str" cm="1">
        <f t="array" aca="1" ref="A272" ca="1">INDEX('SAP Customer Data'!$A:$AC,MATCH(بيانات_العملاء[[#This Row],[رمز شريك الأعمال]],'SAP Customer Data'!$B:$B,0),CELL("col",Table_Customer_Data[[#Headers],[GroupName]]))</f>
        <v>CS05</v>
      </c>
      <c r="B272" s="35" t="s">
        <v>46</v>
      </c>
      <c r="C272" s="37" t="str" cm="1">
        <f t="array" aca="1" ref="C272" ca="1">INDEX('SAP Customer Data'!$A:$AC,MATCH(بيانات_العملاء[[#This Row],[رمز شريك الأعمال]],'SAP Customer Data'!$B:$B,0),CELL("col",Table_Customer_Data[[#Headers],[CardName]]))</f>
        <v>مؤسسة جعفر علي مرار للتجارة</v>
      </c>
      <c r="D272" s="37" t="str">
        <f ca="1">IF(بيانات_العملاء[[#This Row],[حد الائتمان على SAP]]&gt;0,"آجل","نقدى")</f>
        <v>آجل</v>
      </c>
      <c r="E272" s="37"/>
      <c r="F272" s="37" t="s">
        <v>1082</v>
      </c>
      <c r="G272" s="37" t="s">
        <v>854</v>
      </c>
      <c r="H27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72" s="37" t="s">
        <v>856</v>
      </c>
      <c r="J272" s="38"/>
      <c r="K272" s="37"/>
      <c r="L272" s="37" t="str">
        <f ca="1">IF(AND(بيانات_العملاء[[#This Row],[السجل التجارى]]="موجود",TODAY()+'Other Data'!$B$23&lt;J272,بيانات_العملاء[[#This Row],[مطابقة اسم العميل بالاسم بالسجل التجارى]]="مطابق"), "سارى", "يجب اعادة طلبه")</f>
        <v>يجب اعادة طلبه</v>
      </c>
      <c r="M272" s="37" t="s">
        <v>856</v>
      </c>
      <c r="N272" s="39" t="str" cm="1">
        <f t="array" aca="1" ref="N272" ca="1">INDEX('SAP Customer Data'!$A:$AC,MATCH(بيانات_العملاء[[#This Row],[رمز شريك الأعمال]],'SAP Customer Data'!$B:$B,0),CELL("col",Table_Customer_Data[[#Headers],[LicTradNum]]))</f>
        <v/>
      </c>
      <c r="O27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72" s="37" t="s">
        <v>856</v>
      </c>
      <c r="Q272" s="38"/>
      <c r="R27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2" s="37" t="s">
        <v>854</v>
      </c>
      <c r="T272" s="40">
        <v>30000</v>
      </c>
      <c r="U272" s="41">
        <v>44295</v>
      </c>
      <c r="V272" s="41">
        <f>IF(بيانات_العملاء[[#This Row],[تاريخ انشاء سند الامر او الاستثناء]]="",0,بيانات_العملاء[[#This Row],[تاريخ انشاء سند الامر او الاستثناء]]+365*3)</f>
        <v>45390</v>
      </c>
      <c r="W27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272" s="37" cm="1">
        <f t="array" aca="1" ref="X272" ca="1">INDEX('SAP Customer Data'!$A:$AC,MATCH(بيانات_العملاء[[#This Row],[رمز شريك الأعمال]],'SAP Customer Data'!$B:$B,0),CELL("col",Table_Customer_Data[[#Headers],[CreditLine]]))</f>
        <v>24000</v>
      </c>
      <c r="Y27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72" s="37" t="s">
        <v>859</v>
      </c>
      <c r="AA27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72" s="37" t="s">
        <v>856</v>
      </c>
      <c r="AC272" s="44"/>
      <c r="AD27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2" s="37" t="s">
        <v>856</v>
      </c>
      <c r="AF272" s="37"/>
      <c r="AG27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2" s="37" t="s">
        <v>856</v>
      </c>
      <c r="AI272" s="37"/>
      <c r="AJ27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2" s="37" t="s">
        <v>856</v>
      </c>
      <c r="AL272" s="38"/>
      <c r="AM27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2" s="37" t="s">
        <v>856</v>
      </c>
      <c r="AO272" s="41"/>
      <c r="AP27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2" s="37" t="s">
        <v>856</v>
      </c>
      <c r="AR272" s="37"/>
      <c r="AS27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2" s="41" cm="1">
        <f t="array" aca="1" ref="AT272" ca="1">INDEX('SAP Customer Data'!A:Z,MATCH(بيانات_العملاء[[#This Row],[رمز شريك الأعمال]],'SAP Customer Data'!B:B,0),CELL("col",Table_Customer_Data[[#Headers],[CreateDate]]))</f>
        <v>44315</v>
      </c>
      <c r="AU272" s="37"/>
      <c r="AV272" s="41"/>
      <c r="AW272" s="37" t="s">
        <v>2097</v>
      </c>
      <c r="AX272" s="37"/>
    </row>
    <row r="273" spans="1:50" x14ac:dyDescent="0.25">
      <c r="A273" s="36" t="str" cm="1">
        <f t="array" aca="1" ref="A273" ca="1">INDEX('SAP Customer Data'!$A:$AC,MATCH(بيانات_العملاء[[#This Row],[رمز شريك الأعمال]],'SAP Customer Data'!$B:$B,0),CELL("col",Table_Customer_Data[[#Headers],[GroupName]]))</f>
        <v>CS05</v>
      </c>
      <c r="B273" s="35" t="s">
        <v>131</v>
      </c>
      <c r="C273" s="37" t="str" cm="1">
        <f t="array" aca="1" ref="C273" ca="1">INDEX('SAP Customer Data'!$A:$AC,MATCH(بيانات_العملاء[[#This Row],[رمز شريك الأعمال]],'SAP Customer Data'!$B:$B,0),CELL("col",Table_Customer_Data[[#Headers],[CardName]]))</f>
        <v>مؤسسة فؤاد محمدعبدالمحسن اللويمي</v>
      </c>
      <c r="D273" s="37" t="str">
        <f ca="1">IF(بيانات_العملاء[[#This Row],[حد الائتمان على SAP]]&gt;0,"آجل","نقدى")</f>
        <v>آجل</v>
      </c>
      <c r="E273" s="37" t="s">
        <v>2389</v>
      </c>
      <c r="F273" s="37" t="s">
        <v>1081</v>
      </c>
      <c r="G273" s="37" t="s">
        <v>854</v>
      </c>
      <c r="H27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73" s="37" t="s">
        <v>854</v>
      </c>
      <c r="J273" s="38">
        <v>44799</v>
      </c>
      <c r="K273" s="37" t="s">
        <v>855</v>
      </c>
      <c r="L273" s="37" t="str">
        <f ca="1">IF(AND(بيانات_العملاء[[#This Row],[السجل التجارى]]="موجود",TODAY()+'Other Data'!$B$23&lt;J273,بيانات_العملاء[[#This Row],[مطابقة اسم العميل بالاسم بالسجل التجارى]]="مطابق"), "سارى", "يجب اعادة طلبه")</f>
        <v>يجب اعادة طلبه</v>
      </c>
      <c r="M273" s="37" t="s">
        <v>856</v>
      </c>
      <c r="N273" s="39" t="str" cm="1">
        <f t="array" aca="1" ref="N273" ca="1">INDEX('SAP Customer Data'!$A:$AC,MATCH(بيانات_العملاء[[#This Row],[رمز شريك الأعمال]],'SAP Customer Data'!$B:$B,0),CELL("col",Table_Customer_Data[[#Headers],[LicTradNum]]))</f>
        <v/>
      </c>
      <c r="O27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73" s="37" t="s">
        <v>856</v>
      </c>
      <c r="Q273" s="38"/>
      <c r="R27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3" s="37" t="s">
        <v>854</v>
      </c>
      <c r="T273" s="40">
        <v>10000</v>
      </c>
      <c r="U273" s="41"/>
      <c r="V27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</v>
      </c>
      <c r="X273" s="37" cm="1">
        <f t="array" aca="1" ref="X273" ca="1">INDEX('SAP Customer Data'!$A:$AC,MATCH(بيانات_العملاء[[#This Row],[رمز شريك الأعمال]],'SAP Customer Data'!$B:$B,0),CELL("col",Table_Customer_Data[[#Headers],[CreditLine]]))</f>
        <v>8000</v>
      </c>
      <c r="Y27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73" s="37" t="s">
        <v>855</v>
      </c>
      <c r="AA27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73" s="37" t="s">
        <v>856</v>
      </c>
      <c r="AC273" s="44"/>
      <c r="AD27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3" s="37" t="s">
        <v>856</v>
      </c>
      <c r="AF273" s="37"/>
      <c r="AG27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3" s="37" t="s">
        <v>856</v>
      </c>
      <c r="AI273" s="37"/>
      <c r="AJ27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3" s="37" t="s">
        <v>856</v>
      </c>
      <c r="AL273" s="38"/>
      <c r="AM27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3" s="37" t="s">
        <v>856</v>
      </c>
      <c r="AO273" s="41"/>
      <c r="AP27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3" s="37" t="s">
        <v>856</v>
      </c>
      <c r="AR273" s="37"/>
      <c r="AS27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3" s="41" cm="1">
        <f t="array" aca="1" ref="AT273" ca="1">INDEX('SAP Customer Data'!A:Z,MATCH(بيانات_العملاء[[#This Row],[رمز شريك الأعمال]],'SAP Customer Data'!B:B,0),CELL("col",Table_Customer_Data[[#Headers],[CreateDate]]))</f>
        <v>44572</v>
      </c>
      <c r="AU273" s="37"/>
      <c r="AV273" s="41"/>
      <c r="AW273" s="37" t="s">
        <v>2097</v>
      </c>
      <c r="AX273" s="37"/>
    </row>
    <row r="274" spans="1:50" x14ac:dyDescent="0.25">
      <c r="A274" s="22" t="str" cm="1">
        <f t="array" aca="1" ref="A274" ca="1">INDEX('SAP Customer Data'!$A:$AC,MATCH(بيانات_العملاء[[#This Row],[رمز شريك الأعمال]],'SAP Customer Data'!$B:$B,0),CELL("col",Table_Customer_Data[[#Headers],[GroupName]]))</f>
        <v>CS05</v>
      </c>
      <c r="B274" s="34" t="s">
        <v>72</v>
      </c>
      <c r="C274" s="24" t="str" cm="1">
        <f t="array" aca="1" ref="C274" ca="1">INDEX('SAP Customer Data'!$A:$AC,MATCH(بيانات_العملاء[[#This Row],[رمز شريك الأعمال]],'SAP Customer Data'!$B:$B,0),CELL("col",Table_Customer_Data[[#Headers],[CardName]]))</f>
        <v>مؤسسة عبر النور التجارية</v>
      </c>
      <c r="D274" s="24" t="str">
        <f ca="1">IF(بيانات_العملاء[[#This Row],[حد الائتمان على SAP]]&gt;0,"آجل","نقدى")</f>
        <v>آجل</v>
      </c>
      <c r="E274" s="24"/>
      <c r="F274" s="24" t="s">
        <v>1082</v>
      </c>
      <c r="G274" s="24" t="s">
        <v>856</v>
      </c>
      <c r="H274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74" s="24" t="s">
        <v>856</v>
      </c>
      <c r="J274" s="25"/>
      <c r="K274" s="24"/>
      <c r="L274" s="24" t="str">
        <f ca="1">IF(AND(بيانات_العملاء[[#This Row],[السجل التجارى]]="موجود",TODAY()+'Other Data'!$B$23&lt;J274,بيانات_العملاء[[#This Row],[مطابقة اسم العميل بالاسم بالسجل التجارى]]="مطابق"), "سارى", "يجب اعادة طلبه")</f>
        <v>يجب اعادة طلبه</v>
      </c>
      <c r="M274" s="24" t="s">
        <v>856</v>
      </c>
      <c r="N274" s="2" t="str" cm="1">
        <f t="array" aca="1" ref="N274" ca="1">INDEX('SAP Customer Data'!$A:$AC,MATCH(بيانات_العملاء[[#This Row],[رمز شريك الأعمال]],'SAP Customer Data'!$B:$B,0),CELL("col",Table_Customer_Data[[#Headers],[LicTradNum]]))</f>
        <v>300917765400003</v>
      </c>
      <c r="O274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74" s="15" t="s">
        <v>856</v>
      </c>
      <c r="Q274" s="25"/>
      <c r="R274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4" s="15" t="s">
        <v>856</v>
      </c>
      <c r="T274" s="27"/>
      <c r="U274" s="11"/>
      <c r="V274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74" s="24" cm="1">
        <f t="array" aca="1" ref="X274" ca="1">INDEX('SAP Customer Data'!$A:$AC,MATCH(بيانات_العملاء[[#This Row],[رمز شريك الأعمال]],'SAP Customer Data'!$B:$B,0),CELL("col",Table_Customer_Data[[#Headers],[CreditLine]]))</f>
        <v>50000</v>
      </c>
      <c r="Y27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274" s="37"/>
      <c r="AA27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74" s="15" t="s">
        <v>856</v>
      </c>
      <c r="AC274" s="24"/>
      <c r="AD274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4" s="15" t="s">
        <v>856</v>
      </c>
      <c r="AF274" s="24"/>
      <c r="AG274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4" s="15" t="s">
        <v>856</v>
      </c>
      <c r="AI274" s="24"/>
      <c r="AJ274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4" s="24"/>
      <c r="AL274" s="25"/>
      <c r="AM274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4" s="15" t="s">
        <v>856</v>
      </c>
      <c r="AO274" s="11"/>
      <c r="AP274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4" s="15" t="s">
        <v>856</v>
      </c>
      <c r="AR274" s="24"/>
      <c r="AS274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4" s="11" cm="1">
        <f t="array" aca="1" ref="AT274" ca="1">INDEX('SAP Customer Data'!A:Z,MATCH(بيانات_العملاء[[#This Row],[رمز شريك الأعمال]],'SAP Customer Data'!B:B,0),CELL("col",Table_Customer_Data[[#Headers],[CreateDate]]))</f>
        <v>44472</v>
      </c>
      <c r="AU274" s="24"/>
      <c r="AV274" s="33" t="s">
        <v>920</v>
      </c>
      <c r="AW274" s="24" t="s">
        <v>2097</v>
      </c>
      <c r="AX274" s="24"/>
    </row>
    <row r="275" spans="1:50" x14ac:dyDescent="0.25">
      <c r="A275" s="36" t="str" cm="1">
        <f t="array" aca="1" ref="A275" ca="1">INDEX('SAP Customer Data'!$A:$AC,MATCH(بيانات_العملاء[[#This Row],[رمز شريك الأعمال]],'SAP Customer Data'!$B:$B,0),CELL("col",Table_Customer_Data[[#Headers],[GroupName]]))</f>
        <v>CS05</v>
      </c>
      <c r="B275" s="35" t="s">
        <v>31</v>
      </c>
      <c r="C275" s="37" t="str" cm="1">
        <f t="array" aca="1" ref="C275" ca="1">INDEX('SAP Customer Data'!$A:$AC,MATCH(بيانات_العملاء[[#This Row],[رمز شريك الأعمال]],'SAP Customer Data'!$B:$B,0),CELL("col",Table_Customer_Data[[#Headers],[CardName]]))</f>
        <v>مؤسسة إنارة التجارية</v>
      </c>
      <c r="D275" s="37" t="str">
        <f ca="1">IF(بيانات_العملاء[[#This Row],[حد الائتمان على SAP]]&gt;0,"آجل","نقدى")</f>
        <v>آجل</v>
      </c>
      <c r="E275" s="37"/>
      <c r="F275" s="37" t="s">
        <v>1082</v>
      </c>
      <c r="G275" s="37" t="s">
        <v>854</v>
      </c>
      <c r="H27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75" s="37" t="s">
        <v>856</v>
      </c>
      <c r="J275" s="38"/>
      <c r="K275" s="37"/>
      <c r="L275" s="37" t="str">
        <f ca="1">IF(AND(بيانات_العملاء[[#This Row],[السجل التجارى]]="موجود",TODAY()+'Other Data'!$B$23&lt;J275,بيانات_العملاء[[#This Row],[مطابقة اسم العميل بالاسم بالسجل التجارى]]="مطابق"), "سارى", "يجب اعادة طلبه")</f>
        <v>يجب اعادة طلبه</v>
      </c>
      <c r="M275" s="37" t="s">
        <v>856</v>
      </c>
      <c r="N275" s="39" t="str" cm="1">
        <f t="array" aca="1" ref="N275" ca="1">INDEX('SAP Customer Data'!$A:$AC,MATCH(بيانات_العملاء[[#This Row],[رمز شريك الأعمال]],'SAP Customer Data'!$B:$B,0),CELL("col",Table_Customer_Data[[#Headers],[LicTradNum]]))</f>
        <v>31014242500003</v>
      </c>
      <c r="O27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75" s="37" t="s">
        <v>856</v>
      </c>
      <c r="Q275" s="38"/>
      <c r="R27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5" s="37" t="s">
        <v>854</v>
      </c>
      <c r="T275" s="40">
        <v>20000</v>
      </c>
      <c r="U275" s="41"/>
      <c r="V27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275" s="37" cm="1">
        <f t="array" aca="1" ref="X275" ca="1">INDEX('SAP Customer Data'!$A:$AC,MATCH(بيانات_العملاء[[#This Row],[رمز شريك الأعمال]],'SAP Customer Data'!$B:$B,0),CELL("col",Table_Customer_Data[[#Headers],[CreditLine]]))</f>
        <v>16000</v>
      </c>
      <c r="Y27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75" s="37" t="s">
        <v>859</v>
      </c>
      <c r="AA27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75" s="37" t="s">
        <v>856</v>
      </c>
      <c r="AC275" s="44"/>
      <c r="AD27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5" s="37" t="s">
        <v>856</v>
      </c>
      <c r="AF275" s="37"/>
      <c r="AG27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5" s="37" t="s">
        <v>856</v>
      </c>
      <c r="AI275" s="37"/>
      <c r="AJ27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5" s="37" t="s">
        <v>856</v>
      </c>
      <c r="AL275" s="38"/>
      <c r="AM27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5" s="37" t="s">
        <v>856</v>
      </c>
      <c r="AO275" s="41"/>
      <c r="AP27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5" s="37" t="s">
        <v>856</v>
      </c>
      <c r="AR275" s="37"/>
      <c r="AS27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5" s="41" cm="1">
        <f t="array" aca="1" ref="AT275" ca="1">INDEX('SAP Customer Data'!A:Z,MATCH(بيانات_العملاء[[#This Row],[رمز شريك الأعمال]],'SAP Customer Data'!B:B,0),CELL("col",Table_Customer_Data[[#Headers],[CreateDate]]))</f>
        <v>44252</v>
      </c>
      <c r="AU275" s="37"/>
      <c r="AV275" s="41"/>
      <c r="AW275" s="37" t="s">
        <v>2097</v>
      </c>
      <c r="AX275" s="37"/>
    </row>
    <row r="276" spans="1:50" x14ac:dyDescent="0.25">
      <c r="A276" s="36" t="str" cm="1">
        <f t="array" aca="1" ref="A276" ca="1">INDEX('SAP Customer Data'!$A:$AC,MATCH(بيانات_العملاء[[#This Row],[رمز شريك الأعمال]],'SAP Customer Data'!$B:$B,0),CELL("col",Table_Customer_Data[[#Headers],[GroupName]]))</f>
        <v>CS05</v>
      </c>
      <c r="B276" s="35" t="s">
        <v>177</v>
      </c>
      <c r="C276" s="37" t="str" cm="1">
        <f t="array" aca="1" ref="C276" ca="1">INDEX('SAP Customer Data'!$A:$AC,MATCH(بيانات_العملاء[[#This Row],[رمز شريك الأعمال]],'SAP Customer Data'!$B:$B,0),CELL("col",Table_Customer_Data[[#Headers],[CardName]]))</f>
        <v>مؤسسة احمد بن عايش بن محمد النمر للتجارة -نقدي</v>
      </c>
      <c r="D276" s="37" t="str">
        <f ca="1">IF(بيانات_العملاء[[#This Row],[حد الائتمان على SAP]]&gt;0,"آجل","نقدى")</f>
        <v>نقدى</v>
      </c>
      <c r="E276" s="37" t="s">
        <v>2075</v>
      </c>
      <c r="F276" s="37" t="s">
        <v>1081</v>
      </c>
      <c r="G276" s="37" t="s">
        <v>856</v>
      </c>
      <c r="H27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76" s="37" t="s">
        <v>854</v>
      </c>
      <c r="J276" s="38">
        <v>45085</v>
      </c>
      <c r="K276" s="37" t="s">
        <v>855</v>
      </c>
      <c r="L276" s="37" t="str">
        <f ca="1">IF(AND(بيانات_العملاء[[#This Row],[السجل التجارى]]="موجود",TODAY()+'Other Data'!$B$23&lt;J276,بيانات_العملاء[[#This Row],[مطابقة اسم العميل بالاسم بالسجل التجارى]]="مطابق"), "سارى", "يجب اعادة طلبه")</f>
        <v>يجب اعادة طلبه</v>
      </c>
      <c r="M276" s="37" t="s">
        <v>854</v>
      </c>
      <c r="N276" s="39" t="str" cm="1">
        <f t="array" aca="1" ref="N276" ca="1">INDEX('SAP Customer Data'!$A:$AC,MATCH(بيانات_العملاء[[#This Row],[رمز شريك الأعمال]],'SAP Customer Data'!$B:$B,0),CELL("col",Table_Customer_Data[[#Headers],[LicTradNum]]))</f>
        <v>300388993500003</v>
      </c>
      <c r="O27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76" s="37" t="s">
        <v>856</v>
      </c>
      <c r="Q276" s="38"/>
      <c r="R27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6" s="37" t="s">
        <v>1080</v>
      </c>
      <c r="T276" s="40"/>
      <c r="U276" s="41"/>
      <c r="V27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76" s="37" cm="1">
        <f t="array" aca="1" ref="X276" ca="1">INDEX('SAP Customer Data'!$A:$AC,MATCH(بيانات_العملاء[[#This Row],[رمز شريك الأعمال]],'SAP Customer Data'!$B:$B,0),CELL("col",Table_Customer_Data[[#Headers],[CreditLine]]))</f>
        <v>0</v>
      </c>
      <c r="Y27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76" s="37"/>
      <c r="AA27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76" s="37"/>
      <c r="AC276" s="44"/>
      <c r="AD27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6" s="37"/>
      <c r="AF276" s="37"/>
      <c r="AG27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6" s="37"/>
      <c r="AI276" s="37"/>
      <c r="AJ27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6" s="37"/>
      <c r="AL276" s="38"/>
      <c r="AM27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6" s="37"/>
      <c r="AO276" s="41"/>
      <c r="AP27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6" s="37"/>
      <c r="AR276" s="37"/>
      <c r="AS27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6" s="41" cm="1">
        <f t="array" aca="1" ref="AT276" ca="1">INDEX('SAP Customer Data'!A:Z,MATCH(بيانات_العملاء[[#This Row],[رمز شريك الأعمال]],'SAP Customer Data'!B:B,0),CELL("col",Table_Customer_Data[[#Headers],[CreateDate]]))</f>
        <v>44895</v>
      </c>
      <c r="AU276" s="37"/>
      <c r="AV276" s="41"/>
      <c r="AW276" s="37" t="s">
        <v>2097</v>
      </c>
      <c r="AX276" s="37"/>
    </row>
    <row r="277" spans="1:50" x14ac:dyDescent="0.25">
      <c r="A277" s="36" t="str" cm="1">
        <f t="array" aca="1" ref="A277" ca="1">INDEX('SAP Customer Data'!$A:$AC,MATCH(بيانات_العملاء[[#This Row],[رمز شريك الأعمال]],'SAP Customer Data'!$B:$B,0),CELL("col",Table_Customer_Data[[#Headers],[GroupName]]))</f>
        <v>CS05</v>
      </c>
      <c r="B277" s="35" t="s">
        <v>29</v>
      </c>
      <c r="C277" s="37" t="str" cm="1">
        <f t="array" aca="1" ref="C277" ca="1">INDEX('SAP Customer Data'!$A:$AC,MATCH(بيانات_العملاء[[#This Row],[رمز شريك الأعمال]],'SAP Customer Data'!$B:$B,0),CELL("col",Table_Customer_Data[[#Headers],[CardName]]))</f>
        <v>مؤسسة السهدي التجارية - نقدي</v>
      </c>
      <c r="D277" s="37" t="str">
        <f ca="1">IF(بيانات_العملاء[[#This Row],[حد الائتمان على SAP]]&gt;0,"آجل","نقدى")</f>
        <v>نقدى</v>
      </c>
      <c r="E277" s="37" t="s">
        <v>2050</v>
      </c>
      <c r="F277" s="37" t="s">
        <v>1081</v>
      </c>
      <c r="G277" s="37" t="s">
        <v>856</v>
      </c>
      <c r="H27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77" s="37" t="s">
        <v>854</v>
      </c>
      <c r="J277" s="38">
        <v>45049</v>
      </c>
      <c r="K277" s="37" t="s">
        <v>855</v>
      </c>
      <c r="L277" s="37" t="str">
        <f ca="1">IF(AND(بيانات_العملاء[[#This Row],[السجل التجارى]]="موجود",TODAY()+'Other Data'!$B$23&lt;J277,بيانات_العملاء[[#This Row],[مطابقة اسم العميل بالاسم بالسجل التجارى]]="مطابق"), "سارى", "يجب اعادة طلبه")</f>
        <v>يجب اعادة طلبه</v>
      </c>
      <c r="M277" s="37" t="s">
        <v>854</v>
      </c>
      <c r="N277" s="39" t="str" cm="1">
        <f t="array" aca="1" ref="N277" ca="1">INDEX('SAP Customer Data'!$A:$AC,MATCH(بيانات_العملاء[[#This Row],[رمز شريك الأعمال]],'SAP Customer Data'!$B:$B,0),CELL("col",Table_Customer_Data[[#Headers],[LicTradNum]]))</f>
        <v>300412784500003</v>
      </c>
      <c r="O27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77" s="37" t="s">
        <v>856</v>
      </c>
      <c r="Q277" s="38"/>
      <c r="R27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7" s="37" t="s">
        <v>1080</v>
      </c>
      <c r="T277" s="40"/>
      <c r="U277" s="41"/>
      <c r="V27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77" s="37" cm="1">
        <f t="array" aca="1" ref="X277" ca="1">INDEX('SAP Customer Data'!$A:$AC,MATCH(بيانات_العملاء[[#This Row],[رمز شريك الأعمال]],'SAP Customer Data'!$B:$B,0),CELL("col",Table_Customer_Data[[#Headers],[CreditLine]]))</f>
        <v>0</v>
      </c>
      <c r="Y27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77" s="37"/>
      <c r="AA27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77" s="37" t="s">
        <v>856</v>
      </c>
      <c r="AC277" s="44"/>
      <c r="AD27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7" s="37" t="s">
        <v>856</v>
      </c>
      <c r="AF277" s="37"/>
      <c r="AG27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7" s="37" t="s">
        <v>856</v>
      </c>
      <c r="AI277" s="37"/>
      <c r="AJ27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7" s="37" t="s">
        <v>856</v>
      </c>
      <c r="AL277" s="38"/>
      <c r="AM27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7" s="37" t="s">
        <v>856</v>
      </c>
      <c r="AO277" s="41"/>
      <c r="AP27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7" s="37" t="s">
        <v>856</v>
      </c>
      <c r="AR277" s="37"/>
      <c r="AS27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7" s="41" cm="1">
        <f t="array" aca="1" ref="AT277" ca="1">INDEX('SAP Customer Data'!A:Z,MATCH(بيانات_العملاء[[#This Row],[رمز شريك الأعمال]],'SAP Customer Data'!B:B,0),CELL("col",Table_Customer_Data[[#Headers],[CreateDate]]))</f>
        <v>44250</v>
      </c>
      <c r="AU277" s="37"/>
      <c r="AV277" s="41"/>
      <c r="AW277" s="37" t="s">
        <v>2097</v>
      </c>
      <c r="AX277" s="37"/>
    </row>
    <row r="278" spans="1:50" x14ac:dyDescent="0.25">
      <c r="A278" s="16" t="str" cm="1">
        <f t="array" aca="1" ref="A278" ca="1">INDEX('SAP Customer Data'!$A:$AC,MATCH(بيانات_العملاء[[#This Row],[رمز شريك الأعمال]],'SAP Customer Data'!$B:$B,0),CELL("col",Table_Customer_Data[[#Headers],[GroupName]]))</f>
        <v>CS05</v>
      </c>
      <c r="B278" s="17" t="s">
        <v>27</v>
      </c>
      <c r="C278" s="15" t="str" cm="1">
        <f t="array" aca="1" ref="C278" ca="1">INDEX('SAP Customer Data'!$A:$AC,MATCH(بيانات_العملاء[[#This Row],[رمز شريك الأعمال]],'SAP Customer Data'!$B:$B,0),CELL("col",Table_Customer_Data[[#Headers],[CardName]]))</f>
        <v>مؤسسة ماجد عبدالمحسن الرماح للمقاولات</v>
      </c>
      <c r="D278" s="15" t="str">
        <f ca="1">IF(بيانات_العملاء[[#This Row],[حد الائتمان على SAP]]&gt;0,"آجل","نقدى")</f>
        <v>آجل</v>
      </c>
      <c r="E278" s="15" t="s">
        <v>2049</v>
      </c>
      <c r="F278" s="15" t="s">
        <v>1081</v>
      </c>
      <c r="G278" s="15" t="s">
        <v>854</v>
      </c>
      <c r="H278" s="15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78" s="15" t="s">
        <v>854</v>
      </c>
      <c r="J278" s="18">
        <v>45936</v>
      </c>
      <c r="K278" s="15" t="s">
        <v>855</v>
      </c>
      <c r="L278" s="15" t="str">
        <f ca="1">IF(AND(بيانات_العملاء[[#This Row],[السجل التجارى]]="موجود",TODAY()+'Other Data'!$B$23&lt;J278,بيانات_العملاء[[#This Row],[مطابقة اسم العميل بالاسم بالسجل التجارى]]="مطابق"), "سارى", "يجب اعادة طلبه")</f>
        <v>سارى</v>
      </c>
      <c r="M278" s="15" t="s">
        <v>854</v>
      </c>
      <c r="N278" s="19" t="str" cm="1">
        <f t="array" aca="1" ref="N278" ca="1">INDEX('SAP Customer Data'!$A:$AC,MATCH(بيانات_العملاء[[#This Row],[رمز شريك الأعمال]],'SAP Customer Data'!$B:$B,0),CELL("col",Table_Customer_Data[[#Headers],[LicTradNum]]))</f>
        <v>300423683100003</v>
      </c>
      <c r="O278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78" s="15" t="s">
        <v>856</v>
      </c>
      <c r="Q278" s="18"/>
      <c r="R278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8" s="15" t="s">
        <v>854</v>
      </c>
      <c r="T278" s="20"/>
      <c r="U278" s="8"/>
      <c r="V278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78" s="15" cm="1">
        <f t="array" aca="1" ref="X278" ca="1">INDEX('SAP Customer Data'!$A:$AC,MATCH(بيانات_العملاء[[#This Row],[رمز شريك الأعمال]],'SAP Customer Data'!$B:$B,0),CELL("col",Table_Customer_Data[[#Headers],[CreditLine]]))</f>
        <v>40000</v>
      </c>
      <c r="Y27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278" s="15" t="s">
        <v>855</v>
      </c>
      <c r="AA27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78" s="15" t="s">
        <v>856</v>
      </c>
      <c r="AC278" s="21"/>
      <c r="AD278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8" s="15" t="s">
        <v>856</v>
      </c>
      <c r="AF278" s="15"/>
      <c r="AG278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8" s="15" t="s">
        <v>856</v>
      </c>
      <c r="AI278" s="15"/>
      <c r="AJ278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8" s="15" t="s">
        <v>856</v>
      </c>
      <c r="AL278" s="18"/>
      <c r="AM278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8" s="15" t="s">
        <v>856</v>
      </c>
      <c r="AO278" s="8"/>
      <c r="AP278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8" s="15" t="s">
        <v>856</v>
      </c>
      <c r="AR278" s="15"/>
      <c r="AS278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8" s="8" cm="1">
        <f t="array" aca="1" ref="AT278" ca="1">INDEX('SAP Customer Data'!A:Z,MATCH(بيانات_العملاء[[#This Row],[رمز شريك الأعمال]],'SAP Customer Data'!B:B,0),CELL("col",Table_Customer_Data[[#Headers],[CreateDate]]))</f>
        <v>44248</v>
      </c>
      <c r="AU278" s="15"/>
      <c r="AV278" s="33" t="s">
        <v>920</v>
      </c>
      <c r="AW278" s="15" t="s">
        <v>2097</v>
      </c>
      <c r="AX278" s="15"/>
    </row>
    <row r="279" spans="1:50" x14ac:dyDescent="0.25">
      <c r="A279" s="36" t="str" cm="1">
        <f t="array" aca="1" ref="A279" ca="1">INDEX('SAP Customer Data'!$A:$AC,MATCH(بيانات_العملاء[[#This Row],[رمز شريك الأعمال]],'SAP Customer Data'!$B:$B,0),CELL("col",Table_Customer_Data[[#Headers],[GroupName]]))</f>
        <v>CS05</v>
      </c>
      <c r="B279" s="35" t="s">
        <v>939</v>
      </c>
      <c r="C279" s="37" t="str" cm="1">
        <f t="array" aca="1" ref="C279" ca="1">INDEX('SAP Customer Data'!$A:$AC,MATCH(بيانات_العملاء[[#This Row],[رمز شريك الأعمال]],'SAP Customer Data'!$B:$B,0),CELL("col",Table_Customer_Data[[#Headers],[CardName]]))</f>
        <v>شركة احمد محمد بن عودان واخواته - نقدى</v>
      </c>
      <c r="D279" s="37" t="str">
        <f ca="1">IF(بيانات_العملاء[[#This Row],[حد الائتمان على SAP]]&gt;0,"آجل","نقدى")</f>
        <v>نقدى</v>
      </c>
      <c r="E279" s="37"/>
      <c r="F279" s="37" t="s">
        <v>1602</v>
      </c>
      <c r="G279" s="37" t="s">
        <v>854</v>
      </c>
      <c r="H27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79" s="37" t="s">
        <v>854</v>
      </c>
      <c r="J279" s="38">
        <v>45584</v>
      </c>
      <c r="K279" s="37" t="s">
        <v>855</v>
      </c>
      <c r="L279" s="37" t="str">
        <f ca="1">IF(AND(بيانات_العملاء[[#This Row],[السجل التجارى]]="موجود",TODAY()+'Other Data'!$B$23&lt;J279,بيانات_العملاء[[#This Row],[مطابقة اسم العميل بالاسم بالسجل التجارى]]="مطابق"), "سارى", "يجب اعادة طلبه")</f>
        <v>سارى</v>
      </c>
      <c r="M279" s="37" t="s">
        <v>854</v>
      </c>
      <c r="N279" s="39" t="str" cm="1">
        <f t="array" aca="1" ref="N279" ca="1">INDEX('SAP Customer Data'!$A:$AC,MATCH(بيانات_العملاء[[#This Row],[رمز شريك الأعمال]],'SAP Customer Data'!$B:$B,0),CELL("col",Table_Customer_Data[[#Headers],[LicTradNum]]))</f>
        <v>300425936100003</v>
      </c>
      <c r="O27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79" s="37" t="s">
        <v>854</v>
      </c>
      <c r="Q279" s="38">
        <v>44714</v>
      </c>
      <c r="R27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79" s="37" t="s">
        <v>1080</v>
      </c>
      <c r="T279" s="40"/>
      <c r="U279" s="41"/>
      <c r="V27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7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79" s="37" cm="1">
        <f t="array" aca="1" ref="X279" ca="1">INDEX('SAP Customer Data'!$A:$AC,MATCH(بيانات_العملاء[[#This Row],[رمز شريك الأعمال]],'SAP Customer Data'!$B:$B,0),CELL("col",Table_Customer_Data[[#Headers],[CreditLine]]))</f>
        <v>0</v>
      </c>
      <c r="Y27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79" s="37"/>
      <c r="AA27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79" s="37" t="s">
        <v>856</v>
      </c>
      <c r="AC279" s="44"/>
      <c r="AD27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79" s="37" t="s">
        <v>856</v>
      </c>
      <c r="AF279" s="37"/>
      <c r="AG27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79" s="37" t="s">
        <v>856</v>
      </c>
      <c r="AI279" s="37"/>
      <c r="AJ27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79" s="37"/>
      <c r="AL279" s="38"/>
      <c r="AM27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79" s="37" t="s">
        <v>856</v>
      </c>
      <c r="AO279" s="41"/>
      <c r="AP27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79" s="37" t="s">
        <v>856</v>
      </c>
      <c r="AR279" s="37"/>
      <c r="AS27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79" s="41" cm="1">
        <f t="array" aca="1" ref="AT279" ca="1">INDEX('SAP Customer Data'!A:Z,MATCH(بيانات_العملاء[[#This Row],[رمز شريك الأعمال]],'SAP Customer Data'!B:B,0),CELL("col",Table_Customer_Data[[#Headers],[CreateDate]]))</f>
        <v>44973</v>
      </c>
      <c r="AU279" s="37"/>
      <c r="AV279" s="41"/>
      <c r="AW279" s="37" t="s">
        <v>2097</v>
      </c>
      <c r="AX279" s="37"/>
    </row>
    <row r="280" spans="1:50" x14ac:dyDescent="0.25">
      <c r="A280" s="16" t="str" cm="1">
        <f t="array" aca="1" ref="A280" ca="1">INDEX('SAP Customer Data'!$A:$AC,MATCH(بيانات_العملاء[[#This Row],[رمز شريك الأعمال]],'SAP Customer Data'!$B:$B,0),CELL("col",Table_Customer_Data[[#Headers],[GroupName]]))</f>
        <v>CS05</v>
      </c>
      <c r="B280" s="17" t="s">
        <v>92</v>
      </c>
      <c r="C280" s="15" t="str" cm="1">
        <f t="array" aca="1" ref="C280" ca="1">INDEX('SAP Customer Data'!$A:$AC,MATCH(بيانات_العملاء[[#This Row],[رمز شريك الأعمال]],'SAP Customer Data'!$B:$B,0),CELL("col",Table_Customer_Data[[#Headers],[CardName]]))</f>
        <v>مؤسسة اصول الخليج التجارية</v>
      </c>
      <c r="D280" s="15" t="str">
        <f ca="1">IF(بيانات_العملاء[[#This Row],[حد الائتمان على SAP]]&gt;0,"آجل","نقدى")</f>
        <v>آجل</v>
      </c>
      <c r="E280" s="15"/>
      <c r="F280" s="15" t="s">
        <v>1082</v>
      </c>
      <c r="G280" s="15" t="s">
        <v>854</v>
      </c>
      <c r="H280" s="15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80" s="15" t="s">
        <v>856</v>
      </c>
      <c r="J280" s="18"/>
      <c r="K280" s="15"/>
      <c r="L280" s="15" t="str">
        <f ca="1">IF(AND(بيانات_العملاء[[#This Row],[السجل التجارى]]="موجود",TODAY()+'Other Data'!$B$23&lt;J280,بيانات_العملاء[[#This Row],[مطابقة اسم العميل بالاسم بالسجل التجارى]]="مطابق"), "سارى", "يجب اعادة طلبه")</f>
        <v>يجب اعادة طلبه</v>
      </c>
      <c r="M280" s="15" t="s">
        <v>856</v>
      </c>
      <c r="N280" s="2" t="str" cm="1">
        <f t="array" aca="1" ref="N280" ca="1">INDEX('SAP Customer Data'!$A:$AC,MATCH(بيانات_العملاء[[#This Row],[رمز شريك الأعمال]],'SAP Customer Data'!$B:$B,0),CELL("col",Table_Customer_Data[[#Headers],[LicTradNum]]))</f>
        <v>300450238100003</v>
      </c>
      <c r="O280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80" s="15" t="s">
        <v>856</v>
      </c>
      <c r="Q280" s="18"/>
      <c r="R280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0" s="15" t="s">
        <v>854</v>
      </c>
      <c r="T280" s="20">
        <v>50000</v>
      </c>
      <c r="U280" s="8"/>
      <c r="V280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8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280" s="15" cm="1">
        <f t="array" aca="1" ref="X280" ca="1">INDEX('SAP Customer Data'!$A:$AC,MATCH(بيانات_العملاء[[#This Row],[رمز شريك الأعمال]],'SAP Customer Data'!$B:$B,0),CELL("col",Table_Customer_Data[[#Headers],[CreditLine]]))</f>
        <v>80000</v>
      </c>
      <c r="Y28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280" s="15" t="s">
        <v>859</v>
      </c>
      <c r="AA28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80" s="15" t="s">
        <v>856</v>
      </c>
      <c r="AC280" s="21"/>
      <c r="AD280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0" s="15" t="s">
        <v>856</v>
      </c>
      <c r="AF280" s="15"/>
      <c r="AG280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0" s="15" t="s">
        <v>856</v>
      </c>
      <c r="AI280" s="15"/>
      <c r="AJ280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0" s="15" t="s">
        <v>856</v>
      </c>
      <c r="AL280" s="18"/>
      <c r="AM280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0" s="15" t="s">
        <v>856</v>
      </c>
      <c r="AO280" s="8"/>
      <c r="AP280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0" s="15" t="s">
        <v>856</v>
      </c>
      <c r="AR280" s="15"/>
      <c r="AS280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0" s="8" cm="1">
        <f t="array" aca="1" ref="AT280" ca="1">INDEX('SAP Customer Data'!A:Z,MATCH(بيانات_العملاء[[#This Row],[رمز شريك الأعمال]],'SAP Customer Data'!B:B,0),CELL("col",Table_Customer_Data[[#Headers],[CreateDate]]))</f>
        <v>44516</v>
      </c>
      <c r="AU280" s="15"/>
      <c r="AV280" s="8" t="s">
        <v>2046</v>
      </c>
      <c r="AW280" s="15" t="s">
        <v>2097</v>
      </c>
      <c r="AX280" s="15"/>
    </row>
    <row r="281" spans="1:50" x14ac:dyDescent="0.25">
      <c r="A281" s="16"/>
      <c r="B281" s="17" t="s">
        <v>23</v>
      </c>
      <c r="C281" s="15" t="str" cm="1">
        <f t="array" aca="1" ref="C281" ca="1">INDEX('SAP Customer Data'!$A:$AC,MATCH(بيانات_العملاء[[#This Row],[رمز شريك الأعمال]],'SAP Customer Data'!$B:$B,0),CELL("col",Table_Customer_Data[[#Headers],[CardName]]))</f>
        <v>مؤسسة اتحاد الوسطاء التجارية</v>
      </c>
      <c r="D281" s="15" t="str">
        <f ca="1">IF(بيانات_العملاء[[#This Row],[حد الائتمان على SAP]]&gt;0,"آجل","نقدى")</f>
        <v>آجل</v>
      </c>
      <c r="E281" s="15"/>
      <c r="F281" s="15" t="s">
        <v>1082</v>
      </c>
      <c r="G281" s="15" t="s">
        <v>918</v>
      </c>
      <c r="H281" s="15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81" s="15" t="s">
        <v>856</v>
      </c>
      <c r="J281" s="18"/>
      <c r="K281" s="15"/>
      <c r="L281" s="15" t="str">
        <f ca="1">IF(AND(بيانات_العملاء[[#This Row],[السجل التجارى]]="موجود",TODAY()+'Other Data'!$B$23&lt;J281,بيانات_العملاء[[#This Row],[مطابقة اسم العميل بالاسم بالسجل التجارى]]="مطابق"), "سارى", "يجب اعادة طلبه")</f>
        <v>يجب اعادة طلبه</v>
      </c>
      <c r="M281" s="15" t="s">
        <v>856</v>
      </c>
      <c r="N281" s="19" t="str" cm="1">
        <f t="array" aca="1" ref="N281" ca="1">INDEX('SAP Customer Data'!$A:$AC,MATCH(بيانات_العملاء[[#This Row],[رمز شريك الأعمال]],'SAP Customer Data'!$B:$B,0),CELL("col",Table_Customer_Data[[#Headers],[LicTradNum]]))</f>
        <v>300450704900003</v>
      </c>
      <c r="O281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81" s="15" t="s">
        <v>856</v>
      </c>
      <c r="Q281" s="18"/>
      <c r="R281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1" s="15" t="s">
        <v>856</v>
      </c>
      <c r="T281" s="20"/>
      <c r="U281" s="8"/>
      <c r="V281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8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81" s="15" cm="1">
        <f t="array" aca="1" ref="X281" ca="1">INDEX('SAP Customer Data'!$A:$AC,MATCH(بيانات_العملاء[[#This Row],[رمز شريك الأعمال]],'SAP Customer Data'!$B:$B,0),CELL("col",Table_Customer_Data[[#Headers],[CreditLine]]))</f>
        <v>20000</v>
      </c>
      <c r="Y28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281" s="37"/>
      <c r="AA28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81" s="15" t="s">
        <v>856</v>
      </c>
      <c r="AC281" s="21"/>
      <c r="AD281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1" s="15" t="s">
        <v>856</v>
      </c>
      <c r="AF281" s="15"/>
      <c r="AG281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1" s="15" t="s">
        <v>856</v>
      </c>
      <c r="AI281" s="15"/>
      <c r="AJ281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1" s="15"/>
      <c r="AL281" s="18"/>
      <c r="AM281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1" s="15" t="s">
        <v>856</v>
      </c>
      <c r="AO281" s="8"/>
      <c r="AP281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1" s="15" t="s">
        <v>856</v>
      </c>
      <c r="AR281" s="15"/>
      <c r="AS281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1" s="8" cm="1">
        <f t="array" aca="1" ref="AT281" ca="1">INDEX('SAP Customer Data'!A:Z,MATCH(بيانات_العملاء[[#This Row],[رمز شريك الأعمال]],'SAP Customer Data'!B:B,0),CELL("col",Table_Customer_Data[[#Headers],[CreateDate]]))</f>
        <v>44242</v>
      </c>
      <c r="AU281" s="15"/>
      <c r="AV281" s="8" t="s">
        <v>2304</v>
      </c>
      <c r="AW281" s="15" t="s">
        <v>2097</v>
      </c>
      <c r="AX281" s="15"/>
    </row>
    <row r="282" spans="1:50" x14ac:dyDescent="0.25">
      <c r="A282" s="36" t="str" cm="1">
        <f t="array" aca="1" ref="A282" ca="1">INDEX('SAP Customer Data'!$A:$AC,MATCH(بيانات_العملاء[[#This Row],[رمز شريك الأعمال]],'SAP Customer Data'!$B:$B,0),CELL("col",Table_Customer_Data[[#Headers],[GroupName]]))</f>
        <v>CS05</v>
      </c>
      <c r="B282" s="35" t="s">
        <v>740</v>
      </c>
      <c r="C282" s="37" t="str" cm="1">
        <f t="array" aca="1" ref="C282" ca="1">INDEX('SAP Customer Data'!$A:$AC,MATCH(بيانات_العملاء[[#This Row],[رمز شريك الأعمال]],'SAP Customer Data'!$B:$B,0),CELL("col",Table_Customer_Data[[#Headers],[CardName]]))</f>
        <v>مؤسسة عيسى يوسف الفهيد للانارة - نقدي</v>
      </c>
      <c r="D282" s="37" t="str">
        <f ca="1">IF(بيانات_العملاء[[#This Row],[حد الائتمان على SAP]]&gt;0,"آجل","نقدى")</f>
        <v>نقدى</v>
      </c>
      <c r="E282" s="37"/>
      <c r="F282" s="37" t="s">
        <v>1082</v>
      </c>
      <c r="G282" s="37" t="s">
        <v>856</v>
      </c>
      <c r="H28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82" s="37" t="s">
        <v>856</v>
      </c>
      <c r="J282" s="38"/>
      <c r="K282" s="37"/>
      <c r="L282" s="37" t="str">
        <f ca="1">IF(AND(بيانات_العملاء[[#This Row],[السجل التجارى]]="موجود",TODAY()+'Other Data'!$B$23&lt;J282,بيانات_العملاء[[#This Row],[مطابقة اسم العميل بالاسم بالسجل التجارى]]="مطابق"), "سارى", "يجب اعادة طلبه")</f>
        <v>يجب اعادة طلبه</v>
      </c>
      <c r="M282" s="37" t="s">
        <v>854</v>
      </c>
      <c r="N282" s="39" t="str" cm="1">
        <f t="array" aca="1" ref="N282" ca="1">INDEX('SAP Customer Data'!$A:$AC,MATCH(بيانات_العملاء[[#This Row],[رمز شريك الأعمال]],'SAP Customer Data'!$B:$B,0),CELL("col",Table_Customer_Data[[#Headers],[LicTradNum]]))</f>
        <v>300459122200003</v>
      </c>
      <c r="O28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82" s="37" t="s">
        <v>854</v>
      </c>
      <c r="Q282" s="38">
        <v>45074</v>
      </c>
      <c r="R28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2" s="37" t="s">
        <v>1080</v>
      </c>
      <c r="T282" s="40"/>
      <c r="U282" s="41"/>
      <c r="V28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8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82" s="37" cm="1">
        <f t="array" aca="1" ref="X282" ca="1">INDEX('SAP Customer Data'!$A:$AC,MATCH(بيانات_العملاء[[#This Row],[رمز شريك الأعمال]],'SAP Customer Data'!$B:$B,0),CELL("col",Table_Customer_Data[[#Headers],[CreditLine]]))</f>
        <v>0</v>
      </c>
      <c r="Y28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82" s="37"/>
      <c r="AA28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82" s="37" t="s">
        <v>856</v>
      </c>
      <c r="AC282" s="44"/>
      <c r="AD28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2" s="37" t="s">
        <v>856</v>
      </c>
      <c r="AF282" s="37"/>
      <c r="AG28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2" s="37" t="s">
        <v>856</v>
      </c>
      <c r="AI282" s="37"/>
      <c r="AJ28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2" s="37" t="s">
        <v>856</v>
      </c>
      <c r="AL282" s="38"/>
      <c r="AM28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2" s="37" t="s">
        <v>856</v>
      </c>
      <c r="AO282" s="41"/>
      <c r="AP28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2" s="37" t="s">
        <v>856</v>
      </c>
      <c r="AR282" s="37"/>
      <c r="AS28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2" s="41" cm="1">
        <f t="array" aca="1" ref="AT282" ca="1">INDEX('SAP Customer Data'!A:Z,MATCH(بيانات_العملاء[[#This Row],[رمز شريك الأعمال]],'SAP Customer Data'!B:B,0),CELL("col",Table_Customer_Data[[#Headers],[CreateDate]]))</f>
        <v>44875</v>
      </c>
      <c r="AU282" s="37"/>
      <c r="AV282" s="41"/>
      <c r="AW282" s="37" t="s">
        <v>2097</v>
      </c>
      <c r="AX282" s="37"/>
    </row>
    <row r="283" spans="1:50" x14ac:dyDescent="0.25">
      <c r="A283" s="36" t="str" cm="1">
        <f t="array" aca="1" ref="A283" ca="1">INDEX('SAP Customer Data'!$A:$AC,MATCH(بيانات_العملاء[[#This Row],[رمز شريك الأعمال]],'SAP Customer Data'!$B:$B,0),CELL("col",Table_Customer_Data[[#Headers],[GroupName]]))</f>
        <v>CS05</v>
      </c>
      <c r="B283" s="35" t="s">
        <v>44</v>
      </c>
      <c r="C283" s="37" t="str" cm="1">
        <f t="array" aca="1" ref="C283" ca="1">INDEX('SAP Customer Data'!$A:$AC,MATCH(بيانات_العملاء[[#This Row],[رمز شريك الأعمال]],'SAP Customer Data'!$B:$B,0),CELL("col",Table_Customer_Data[[#Headers],[CardName]]))</f>
        <v>مؤسسة اصداف الخليج للادوات الصحية-نقدي</v>
      </c>
      <c r="D283" s="37" t="str">
        <f ca="1">IF(بيانات_العملاء[[#This Row],[حد الائتمان على SAP]]&gt;0,"آجل","نقدى")</f>
        <v>نقدى</v>
      </c>
      <c r="E283" s="37" t="s">
        <v>2053</v>
      </c>
      <c r="F283" s="37" t="s">
        <v>1081</v>
      </c>
      <c r="G283" s="37" t="s">
        <v>854</v>
      </c>
      <c r="H28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83" s="37" t="s">
        <v>854</v>
      </c>
      <c r="J283" s="38">
        <v>45251</v>
      </c>
      <c r="K283" s="37" t="s">
        <v>855</v>
      </c>
      <c r="L283" s="37" t="str">
        <f ca="1">IF(AND(بيانات_العملاء[[#This Row],[السجل التجارى]]="موجود",TODAY()+'Other Data'!$B$23&lt;J283,بيانات_العملاء[[#This Row],[مطابقة اسم العميل بالاسم بالسجل التجارى]]="مطابق"), "سارى", "يجب اعادة طلبه")</f>
        <v>سارى</v>
      </c>
      <c r="M283" s="37" t="s">
        <v>854</v>
      </c>
      <c r="N283" s="39" t="str" cm="1">
        <f t="array" aca="1" ref="N283" ca="1">INDEX('SAP Customer Data'!$A:$AC,MATCH(بيانات_العملاء[[#This Row],[رمز شريك الأعمال]],'SAP Customer Data'!$B:$B,0),CELL("col",Table_Customer_Data[[#Headers],[LicTradNum]]))</f>
        <v>300483711900003</v>
      </c>
      <c r="O28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83" s="37" t="s">
        <v>854</v>
      </c>
      <c r="Q283" s="38">
        <v>44994</v>
      </c>
      <c r="R28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3" s="37" t="s">
        <v>1080</v>
      </c>
      <c r="T283" s="40"/>
      <c r="U283" s="41"/>
      <c r="V28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8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83" s="37" cm="1">
        <f t="array" aca="1" ref="X283" ca="1">INDEX('SAP Customer Data'!$A:$AC,MATCH(بيانات_العملاء[[#This Row],[رمز شريك الأعمال]],'SAP Customer Data'!$B:$B,0),CELL("col",Table_Customer_Data[[#Headers],[CreditLine]]))</f>
        <v>0</v>
      </c>
      <c r="Y28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83" s="37"/>
      <c r="AA28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83" s="37" t="s">
        <v>854</v>
      </c>
      <c r="AC283" s="44">
        <v>50125</v>
      </c>
      <c r="AD28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283" s="37" t="s">
        <v>856</v>
      </c>
      <c r="AF283" s="37"/>
      <c r="AG28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3" s="37" t="s">
        <v>856</v>
      </c>
      <c r="AI283" s="37"/>
      <c r="AJ28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3" s="37" t="s">
        <v>856</v>
      </c>
      <c r="AL283" s="38"/>
      <c r="AM28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3" s="37" t="s">
        <v>854</v>
      </c>
      <c r="AO283" s="41">
        <v>44964</v>
      </c>
      <c r="AP28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3" s="37" t="s">
        <v>856</v>
      </c>
      <c r="AR283" s="37"/>
      <c r="AS28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3" s="41" cm="1">
        <f t="array" aca="1" ref="AT283" ca="1">INDEX('SAP Customer Data'!A:Z,MATCH(بيانات_العملاء[[#This Row],[رمز شريك الأعمال]],'SAP Customer Data'!B:B,0),CELL("col",Table_Customer_Data[[#Headers],[CreateDate]]))</f>
        <v>44836</v>
      </c>
      <c r="AU283" s="37"/>
      <c r="AV283" s="41"/>
      <c r="AW283" s="37" t="s">
        <v>2097</v>
      </c>
      <c r="AX283" s="37"/>
    </row>
    <row r="284" spans="1:50" x14ac:dyDescent="0.25">
      <c r="A284" s="36" t="str" cm="1">
        <f t="array" aca="1" ref="A284" ca="1">INDEX('SAP Customer Data'!$A:$AC,MATCH(بيانات_العملاء[[#This Row],[رمز شريك الأعمال]],'SAP Customer Data'!$B:$B,0),CELL("col",Table_Customer_Data[[#Headers],[GroupName]]))</f>
        <v>CS05</v>
      </c>
      <c r="B284" s="35" t="s">
        <v>34</v>
      </c>
      <c r="C284" s="37" t="str" cm="1">
        <f t="array" aca="1" ref="C284" ca="1">INDEX('SAP Customer Data'!$A:$AC,MATCH(بيانات_العملاء[[#This Row],[رمز شريك الأعمال]],'SAP Customer Data'!$B:$B,0),CELL("col",Table_Customer_Data[[#Headers],[CardName]]))</f>
        <v>مؤسسة حسين عبدالحميد المرهون لمواد البناء</v>
      </c>
      <c r="D284" s="37" t="str">
        <f ca="1">IF(بيانات_العملاء[[#This Row],[حد الائتمان على SAP]]&gt;0,"آجل","نقدى")</f>
        <v>آجل</v>
      </c>
      <c r="E284" s="37"/>
      <c r="F284" s="37" t="s">
        <v>1082</v>
      </c>
      <c r="G284" s="37" t="s">
        <v>854</v>
      </c>
      <c r="H28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84" s="37" t="s">
        <v>856</v>
      </c>
      <c r="J284" s="38"/>
      <c r="K284" s="37"/>
      <c r="L284" s="37" t="str">
        <f ca="1">IF(AND(بيانات_العملاء[[#This Row],[السجل التجارى]]="موجود",TODAY()+'Other Data'!$B$23&lt;J284,بيانات_العملاء[[#This Row],[مطابقة اسم العميل بالاسم بالسجل التجارى]]="مطابق"), "سارى", "يجب اعادة طلبه")</f>
        <v>يجب اعادة طلبه</v>
      </c>
      <c r="M284" s="37" t="s">
        <v>856</v>
      </c>
      <c r="N284" s="39" t="str" cm="1">
        <f t="array" aca="1" ref="N284" ca="1">INDEX('SAP Customer Data'!$A:$AC,MATCH(بيانات_العملاء[[#This Row],[رمز شريك الأعمال]],'SAP Customer Data'!$B:$B,0),CELL("col",Table_Customer_Data[[#Headers],[LicTradNum]]))</f>
        <v>300489131400003</v>
      </c>
      <c r="O28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84" s="37" t="s">
        <v>856</v>
      </c>
      <c r="Q284" s="38"/>
      <c r="R28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4" s="37" t="s">
        <v>854</v>
      </c>
      <c r="T284" s="40">
        <v>30000</v>
      </c>
      <c r="U284" s="41">
        <v>44380</v>
      </c>
      <c r="V284" s="41">
        <f>IF(بيانات_العملاء[[#This Row],[تاريخ انشاء سند الامر او الاستثناء]]="",0,بيانات_العملاء[[#This Row],[تاريخ انشاء سند الامر او الاستثناء]]+365*3)</f>
        <v>45475</v>
      </c>
      <c r="W28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284" s="37" cm="1">
        <f t="array" aca="1" ref="X284" ca="1">INDEX('SAP Customer Data'!$A:$AC,MATCH(بيانات_العملاء[[#This Row],[رمز شريك الأعمال]],'SAP Customer Data'!$B:$B,0),CELL("col",Table_Customer_Data[[#Headers],[CreditLine]]))</f>
        <v>24000</v>
      </c>
      <c r="Y28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84" s="37" t="s">
        <v>859</v>
      </c>
      <c r="AA28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84" s="37" t="s">
        <v>856</v>
      </c>
      <c r="AC284" s="44"/>
      <c r="AD28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4" s="37" t="s">
        <v>856</v>
      </c>
      <c r="AF284" s="37"/>
      <c r="AG28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4" s="37" t="s">
        <v>856</v>
      </c>
      <c r="AI284" s="37"/>
      <c r="AJ28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4" s="37" t="s">
        <v>856</v>
      </c>
      <c r="AL284" s="38"/>
      <c r="AM28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4" s="37" t="s">
        <v>856</v>
      </c>
      <c r="AO284" s="41"/>
      <c r="AP28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4" s="37" t="s">
        <v>856</v>
      </c>
      <c r="AR284" s="37"/>
      <c r="AS28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4" s="41" cm="1">
        <f t="array" aca="1" ref="AT284" ca="1">INDEX('SAP Customer Data'!A:Z,MATCH(بيانات_العملاء[[#This Row],[رمز شريك الأعمال]],'SAP Customer Data'!B:B,0),CELL("col",Table_Customer_Data[[#Headers],[CreateDate]]))</f>
        <v>44265</v>
      </c>
      <c r="AU284" s="37"/>
      <c r="AV284" s="41"/>
      <c r="AW284" s="37" t="s">
        <v>2097</v>
      </c>
      <c r="AX284" s="37"/>
    </row>
    <row r="285" spans="1:50" x14ac:dyDescent="0.25">
      <c r="A285" s="36" t="str" cm="1">
        <f t="array" aca="1" ref="A285" ca="1">INDEX('SAP Customer Data'!$A:$AC,MATCH(بيانات_العملاء[[#This Row],[رمز شريك الأعمال]],'SAP Customer Data'!$B:$B,0),CELL("col",Table_Customer_Data[[#Headers],[GroupName]]))</f>
        <v>CS05</v>
      </c>
      <c r="B285" s="35" t="s">
        <v>1026</v>
      </c>
      <c r="C285" s="37" t="str" cm="1">
        <f t="array" aca="1" ref="C285" ca="1">INDEX('SAP Customer Data'!$A:$AC,MATCH(بيانات_العملاء[[#This Row],[رمز شريك الأعمال]],'SAP Customer Data'!$B:$B,0),CELL("col",Table_Customer_Data[[#Headers],[CardName]]))</f>
        <v>مؤسسة حسين محمد البوعلي للتجارة - نقدى</v>
      </c>
      <c r="D285" s="37" t="str">
        <f ca="1">IF(بيانات_العملاء[[#This Row],[حد الائتمان على SAP]]&gt;0,"آجل","نقدى")</f>
        <v>نقدى</v>
      </c>
      <c r="E285" s="37" t="s">
        <v>1028</v>
      </c>
      <c r="F285" s="37" t="s">
        <v>1081</v>
      </c>
      <c r="G285" s="37" t="s">
        <v>856</v>
      </c>
      <c r="H28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85" s="37" t="s">
        <v>854</v>
      </c>
      <c r="J285" s="38">
        <v>45318</v>
      </c>
      <c r="K285" s="41" t="s">
        <v>855</v>
      </c>
      <c r="L285" s="37" t="str">
        <f ca="1">IF(AND(بيانات_العملاء[[#This Row],[السجل التجارى]]="موجود",TODAY()+'Other Data'!$B$23&lt;J285,بيانات_العملاء[[#This Row],[مطابقة اسم العميل بالاسم بالسجل التجارى]]="مطابق"), "سارى", "يجب اعادة طلبه")</f>
        <v>سارى</v>
      </c>
      <c r="M285" s="37" t="s">
        <v>854</v>
      </c>
      <c r="N285" s="39" t="str" cm="1">
        <f t="array" aca="1" ref="N285" ca="1">INDEX('SAP Customer Data'!$A:$AC,MATCH(بيانات_العملاء[[#This Row],[رمز شريك الأعمال]],'SAP Customer Data'!$B:$B,0),CELL("col",Table_Customer_Data[[#Headers],[LicTradNum]]))</f>
        <v>300518667900003</v>
      </c>
      <c r="O28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85" s="37" t="s">
        <v>854</v>
      </c>
      <c r="Q285" s="38">
        <v>45413</v>
      </c>
      <c r="R285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285" s="37" t="s">
        <v>1080</v>
      </c>
      <c r="T285" s="40"/>
      <c r="U285" s="41"/>
      <c r="V28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8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85" s="37" cm="1">
        <f t="array" aca="1" ref="X285" ca="1">INDEX('SAP Customer Data'!$A:$AC,MATCH(بيانات_العملاء[[#This Row],[رمز شريك الأعمال]],'SAP Customer Data'!$B:$B,0),CELL("col",Table_Customer_Data[[#Headers],[CreditLine]]))</f>
        <v>0</v>
      </c>
      <c r="Y28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85" s="37"/>
      <c r="AA28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85" s="37" t="s">
        <v>856</v>
      </c>
      <c r="AC285" s="44"/>
      <c r="AD285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5" s="37" t="s">
        <v>856</v>
      </c>
      <c r="AF285" s="37"/>
      <c r="AG28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285" s="37" t="s">
        <v>856</v>
      </c>
      <c r="AI285" s="37"/>
      <c r="AJ28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285" s="37"/>
      <c r="AL285" s="38"/>
      <c r="AM28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5" s="37" t="s">
        <v>856</v>
      </c>
      <c r="AO285" s="41"/>
      <c r="AP28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5" s="37" t="s">
        <v>856</v>
      </c>
      <c r="AR285" s="37"/>
      <c r="AS28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285" s="41" cm="1">
        <f t="array" aca="1" ref="AT285" ca="1">INDEX('SAP Customer Data'!A:Z,MATCH(بيانات_العملاء[[#This Row],[رمز شريك الأعمال]],'SAP Customer Data'!B:B,0),CELL("col",Table_Customer_Data[[#Headers],[CreateDate]]))</f>
        <v>45034</v>
      </c>
      <c r="AU285" s="37" t="s">
        <v>1036</v>
      </c>
      <c r="AV285" s="41"/>
      <c r="AW285" s="37" t="s">
        <v>2097</v>
      </c>
      <c r="AX285" s="37"/>
    </row>
    <row r="286" spans="1:50" x14ac:dyDescent="0.25">
      <c r="A286" s="36" t="str" cm="1">
        <f t="array" aca="1" ref="A286" ca="1">INDEX('SAP Customer Data'!$A:$AC,MATCH(بيانات_العملاء[[#This Row],[رمز شريك الأعمال]],'SAP Customer Data'!$B:$B,0),CELL("col",Table_Customer_Data[[#Headers],[GroupName]]))</f>
        <v>CS05</v>
      </c>
      <c r="B286" s="35" t="s">
        <v>94</v>
      </c>
      <c r="C286" s="37" t="str" cm="1">
        <f t="array" aca="1" ref="C286" ca="1">INDEX('SAP Customer Data'!$A:$AC,MATCH(بيانات_العملاء[[#This Row],[رمز شريك الأعمال]],'SAP Customer Data'!$B:$B,0),CELL("col",Table_Customer_Data[[#Headers],[CardName]]))</f>
        <v>شركة الاعمال والتجارة المحدودة-وداكو</v>
      </c>
      <c r="D286" s="37" t="str">
        <f ca="1">IF(بيانات_العملاء[[#This Row],[حد الائتمان على SAP]]&gt;0,"آجل","نقدى")</f>
        <v>آجل</v>
      </c>
      <c r="E286" s="37"/>
      <c r="F286" s="37" t="s">
        <v>997</v>
      </c>
      <c r="G286" s="37" t="s">
        <v>854</v>
      </c>
      <c r="H28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86" s="37" t="s">
        <v>854</v>
      </c>
      <c r="J286" s="38">
        <v>45980</v>
      </c>
      <c r="K286" s="37" t="s">
        <v>855</v>
      </c>
      <c r="L286" s="37" t="str">
        <f ca="1">IF(AND(بيانات_العملاء[[#This Row],[السجل التجارى]]="موجود",TODAY()+'Other Data'!$B$23&lt;J286,بيانات_العملاء[[#This Row],[مطابقة اسم العميل بالاسم بالسجل التجارى]]="مطابق"), "سارى", "يجب اعادة طلبه")</f>
        <v>سارى</v>
      </c>
      <c r="M286" s="37" t="s">
        <v>854</v>
      </c>
      <c r="N286" s="39">
        <v>300521457200003</v>
      </c>
      <c r="O286" s="37" t="str">
        <f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86" s="37" t="s">
        <v>856</v>
      </c>
      <c r="Q286" s="38"/>
      <c r="R28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6" s="37" t="s">
        <v>854</v>
      </c>
      <c r="T286" s="40">
        <v>100000</v>
      </c>
      <c r="U286" s="41">
        <v>44572</v>
      </c>
      <c r="V286" s="41">
        <f>IF(بيانات_العملاء[[#This Row],[تاريخ انشاء سند الامر او الاستثناء]]="",0,بيانات_العملاء[[#This Row],[تاريخ انشاء سند الامر او الاستثناء]]+365*3)</f>
        <v>45667</v>
      </c>
      <c r="W28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286" s="37" cm="1">
        <f t="array" aca="1" ref="X286" ca="1">INDEX('SAP Customer Data'!$A:$AC,MATCH(بيانات_العملاء[[#This Row],[رمز شريك الأعمال]],'SAP Customer Data'!$B:$B,0),CELL("col",Table_Customer_Data[[#Headers],[CreditLine]]))</f>
        <v>50000</v>
      </c>
      <c r="Y28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286" s="37" t="s">
        <v>855</v>
      </c>
      <c r="AA28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86" s="37" t="s">
        <v>856</v>
      </c>
      <c r="AC286" s="44"/>
      <c r="AD28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6" s="37" t="s">
        <v>856</v>
      </c>
      <c r="AF286" s="37"/>
      <c r="AG28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6" s="37" t="s">
        <v>856</v>
      </c>
      <c r="AI286" s="37"/>
      <c r="AJ28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6" s="37" t="s">
        <v>856</v>
      </c>
      <c r="AL286" s="38"/>
      <c r="AM28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6" s="37" t="s">
        <v>856</v>
      </c>
      <c r="AO286" s="41"/>
      <c r="AP28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6" s="37" t="s">
        <v>856</v>
      </c>
      <c r="AR286" s="37"/>
      <c r="AS28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6" s="41" cm="1">
        <f t="array" aca="1" ref="AT286" ca="1">INDEX('SAP Customer Data'!A:Z,MATCH(بيانات_العملاء[[#This Row],[رمز شريك الأعمال]],'SAP Customer Data'!B:B,0),CELL("col",Table_Customer_Data[[#Headers],[CreateDate]]))</f>
        <v>44521</v>
      </c>
      <c r="AU286" s="37"/>
      <c r="AV286" s="41" t="s">
        <v>2268</v>
      </c>
      <c r="AW286" s="37" t="s">
        <v>2097</v>
      </c>
      <c r="AX286" s="37"/>
    </row>
    <row r="287" spans="1:50" x14ac:dyDescent="0.25">
      <c r="A287" s="36" t="str" cm="1">
        <f t="array" aca="1" ref="A287" ca="1">INDEX('SAP Customer Data'!$A:$AC,MATCH(بيانات_العملاء[[#This Row],[رمز شريك الأعمال]],'SAP Customer Data'!$B:$B,0),CELL("col",Table_Customer_Data[[#Headers],[GroupName]]))</f>
        <v>CS05</v>
      </c>
      <c r="B287" s="35" t="s">
        <v>102</v>
      </c>
      <c r="C287" s="37" t="str" cm="1">
        <f t="array" aca="1" ref="C287" ca="1">INDEX('SAP Customer Data'!$A:$AC,MATCH(بيانات_العملاء[[#This Row],[رمز شريك الأعمال]],'SAP Customer Data'!$B:$B,0),CELL("col",Table_Customer_Data[[#Headers],[CardName]]))</f>
        <v>شركة عبدالعزيز حسن حسن الدهان وشركاه</v>
      </c>
      <c r="D287" s="37" t="str">
        <f ca="1">IF(بيانات_العملاء[[#This Row],[حد الائتمان على SAP]]&gt;0,"آجل","نقدى")</f>
        <v>آجل</v>
      </c>
      <c r="E287" s="37"/>
      <c r="F287" s="37" t="s">
        <v>1082</v>
      </c>
      <c r="G287" s="37" t="s">
        <v>854</v>
      </c>
      <c r="H28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87" s="37" t="s">
        <v>856</v>
      </c>
      <c r="J287" s="38"/>
      <c r="K287" s="37"/>
      <c r="L287" s="37" t="str">
        <f ca="1">IF(AND(بيانات_العملاء[[#This Row],[السجل التجارى]]="موجود",TODAY()+'Other Data'!$B$23&lt;J287,بيانات_العملاء[[#This Row],[مطابقة اسم العميل بالاسم بالسجل التجارى]]="مطابق"), "سارى", "يجب اعادة طلبه")</f>
        <v>يجب اعادة طلبه</v>
      </c>
      <c r="M287" s="37" t="s">
        <v>856</v>
      </c>
      <c r="N287" s="39" t="str" cm="1">
        <f t="array" aca="1" ref="N287" ca="1">INDEX('SAP Customer Data'!$A:$AC,MATCH(بيانات_العملاء[[#This Row],[رمز شريك الأعمال]],'SAP Customer Data'!$B:$B,0),CELL("col",Table_Customer_Data[[#Headers],[LicTradNum]]))</f>
        <v>300524274400003</v>
      </c>
      <c r="O28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87" s="37" t="s">
        <v>856</v>
      </c>
      <c r="Q287" s="38"/>
      <c r="R28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7" s="37" t="s">
        <v>854</v>
      </c>
      <c r="T287" s="40">
        <v>20000</v>
      </c>
      <c r="U287" s="41">
        <v>44528</v>
      </c>
      <c r="V287" s="41">
        <f>IF(بيانات_العملاء[[#This Row],[تاريخ انشاء سند الامر او الاستثناء]]="",0,بيانات_العملاء[[#This Row],[تاريخ انشاء سند الامر او الاستثناء]]+365*3)</f>
        <v>45623</v>
      </c>
      <c r="W28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287" s="37" cm="1">
        <f t="array" aca="1" ref="X287" ca="1">INDEX('SAP Customer Data'!$A:$AC,MATCH(بيانات_العملاء[[#This Row],[رمز شريك الأعمال]],'SAP Customer Data'!$B:$B,0),CELL("col",Table_Customer_Data[[#Headers],[CreditLine]]))</f>
        <v>16000</v>
      </c>
      <c r="Y28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87" s="37" t="s">
        <v>859</v>
      </c>
      <c r="AA28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87" s="37" t="s">
        <v>856</v>
      </c>
      <c r="AC287" s="44"/>
      <c r="AD28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7" s="37" t="s">
        <v>856</v>
      </c>
      <c r="AF287" s="37"/>
      <c r="AG28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7" s="37" t="s">
        <v>856</v>
      </c>
      <c r="AI287" s="37"/>
      <c r="AJ28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7" s="37" t="s">
        <v>856</v>
      </c>
      <c r="AL287" s="38"/>
      <c r="AM28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7" s="37" t="s">
        <v>856</v>
      </c>
      <c r="AO287" s="41"/>
      <c r="AP28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7" s="37" t="s">
        <v>856</v>
      </c>
      <c r="AR287" s="37"/>
      <c r="AS28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7" s="41" cm="1">
        <f t="array" aca="1" ref="AT287" ca="1">INDEX('SAP Customer Data'!A:Z,MATCH(بيانات_العملاء[[#This Row],[رمز شريك الأعمال]],'SAP Customer Data'!B:B,0),CELL("col",Table_Customer_Data[[#Headers],[CreateDate]]))</f>
        <v>44534</v>
      </c>
      <c r="AU287" s="37"/>
      <c r="AV287" s="41"/>
      <c r="AW287" s="37" t="s">
        <v>2097</v>
      </c>
      <c r="AX287" s="37"/>
    </row>
    <row r="288" spans="1:50" x14ac:dyDescent="0.25">
      <c r="A288" s="36" t="str" cm="1">
        <f t="array" aca="1" ref="A288" ca="1">INDEX('SAP Customer Data'!$A:$AC,MATCH(بيانات_العملاء[[#This Row],[رمز شريك الأعمال]],'SAP Customer Data'!$B:$B,0),CELL("col",Table_Customer_Data[[#Headers],[GroupName]]))</f>
        <v>CS05</v>
      </c>
      <c r="B288" s="35" t="s">
        <v>159</v>
      </c>
      <c r="C288" s="37" t="str" cm="1">
        <f t="array" aca="1" ref="C288" ca="1">INDEX('SAP Customer Data'!$A:$AC,MATCH(بيانات_العملاء[[#This Row],[رمز شريك الأعمال]],'SAP Customer Data'!$B:$B,0),CELL("col",Table_Customer_Data[[#Headers],[CardName]]))</f>
        <v>مؤسسة جمال المذهله التجارية</v>
      </c>
      <c r="D288" s="37" t="str">
        <f ca="1">IF(بيانات_العملاء[[#This Row],[حد الائتمان على SAP]]&gt;0,"آجل","نقدى")</f>
        <v>آجل</v>
      </c>
      <c r="E288" s="37" t="s">
        <v>2236</v>
      </c>
      <c r="F288" s="37" t="s">
        <v>1081</v>
      </c>
      <c r="G288" s="37" t="s">
        <v>854</v>
      </c>
      <c r="H28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88" s="37" t="s">
        <v>854</v>
      </c>
      <c r="J288" s="38">
        <v>44698</v>
      </c>
      <c r="K288" s="37" t="s">
        <v>855</v>
      </c>
      <c r="L288" s="37" t="str">
        <f ca="1">IF(AND(بيانات_العملاء[[#This Row],[السجل التجارى]]="موجود",TODAY()+'Other Data'!$B$23&lt;J288,بيانات_العملاء[[#This Row],[مطابقة اسم العميل بالاسم بالسجل التجارى]]="مطابق"), "سارى", "يجب اعادة طلبه")</f>
        <v>يجب اعادة طلبه</v>
      </c>
      <c r="M288" s="37" t="s">
        <v>854</v>
      </c>
      <c r="N288" s="39" t="str" cm="1">
        <f t="array" aca="1" ref="N288" ca="1">INDEX('SAP Customer Data'!$A:$AC,MATCH(بيانات_العملاء[[#This Row],[رمز شريك الأعمال]],'SAP Customer Data'!$B:$B,0),CELL("col",Table_Customer_Data[[#Headers],[LicTradNum]]))</f>
        <v>311171591400003</v>
      </c>
      <c r="O28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88" s="37" t="s">
        <v>856</v>
      </c>
      <c r="Q288" s="38"/>
      <c r="R28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8" s="37" t="s">
        <v>854</v>
      </c>
      <c r="T288" s="40">
        <v>20000</v>
      </c>
      <c r="U288" s="41"/>
      <c r="V28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8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288" s="37" cm="1">
        <f t="array" aca="1" ref="X288" ca="1">INDEX('SAP Customer Data'!$A:$AC,MATCH(بيانات_العملاء[[#This Row],[رمز شريك الأعمال]],'SAP Customer Data'!$B:$B,0),CELL("col",Table_Customer_Data[[#Headers],[CreditLine]]))</f>
        <v>16000</v>
      </c>
      <c r="Y28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88" s="37" t="s">
        <v>855</v>
      </c>
      <c r="AA28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88" s="37" t="s">
        <v>854</v>
      </c>
      <c r="AC288" s="41">
        <v>47318</v>
      </c>
      <c r="AD28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288" s="37"/>
      <c r="AF288" s="37"/>
      <c r="AG28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8" s="37"/>
      <c r="AI288" s="37"/>
      <c r="AJ28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8" s="37"/>
      <c r="AL288" s="38"/>
      <c r="AM28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8" s="37" t="s">
        <v>856</v>
      </c>
      <c r="AO288" s="41"/>
      <c r="AP28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8" s="37"/>
      <c r="AR288" s="37"/>
      <c r="AS28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8" s="41" cm="1">
        <f t="array" aca="1" ref="AT288" ca="1">INDEX('SAP Customer Data'!A:Z,MATCH(بيانات_العملاء[[#This Row],[رمز شريك الأعمال]],'SAP Customer Data'!B:B,0),CELL("col",Table_Customer_Data[[#Headers],[CreateDate]]))</f>
        <v>44665</v>
      </c>
      <c r="AU288" s="37"/>
      <c r="AV288" s="41"/>
      <c r="AW288" s="37" t="s">
        <v>2097</v>
      </c>
      <c r="AX288" s="37"/>
    </row>
    <row r="289" spans="1:50" x14ac:dyDescent="0.25">
      <c r="A289" s="36" t="str" cm="1">
        <f t="array" aca="1" ref="A289" ca="1">INDEX('SAP Customer Data'!$A:$AC,MATCH(بيانات_العملاء[[#This Row],[رمز شريك الأعمال]],'SAP Customer Data'!$B:$B,0),CELL("col",Table_Customer_Data[[#Headers],[GroupName]]))</f>
        <v>CS05</v>
      </c>
      <c r="B289" s="35" t="s">
        <v>141</v>
      </c>
      <c r="C289" s="37" t="str" cm="1">
        <f t="array" aca="1" ref="C289" ca="1">INDEX('SAP Customer Data'!$A:$AC,MATCH(بيانات_العملاء[[#This Row],[رمز شريك الأعمال]],'SAP Customer Data'!$B:$B,0),CELL("col",Table_Customer_Data[[#Headers],[CardName]]))</f>
        <v>مؤسسة لبيد نجيب المانع للتجارة-نقدي</v>
      </c>
      <c r="D289" s="37" t="str">
        <f ca="1">IF(بيانات_العملاء[[#This Row],[حد الائتمان على SAP]]&gt;0,"آجل","نقدى")</f>
        <v>نقدى</v>
      </c>
      <c r="E289" s="37"/>
      <c r="F289" s="37" t="s">
        <v>1082</v>
      </c>
      <c r="G289" s="37" t="s">
        <v>854</v>
      </c>
      <c r="H28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89" s="37" t="s">
        <v>856</v>
      </c>
      <c r="J289" s="38"/>
      <c r="K289" s="37"/>
      <c r="L289" s="37" t="str">
        <f ca="1">IF(AND(بيانات_العملاء[[#This Row],[السجل التجارى]]="موجود",TODAY()+'Other Data'!$B$23&lt;J289,بيانات_العملاء[[#This Row],[مطابقة اسم العميل بالاسم بالسجل التجارى]]="مطابق"), "سارى", "يجب اعادة طلبه")</f>
        <v>يجب اعادة طلبه</v>
      </c>
      <c r="M289" s="37" t="s">
        <v>856</v>
      </c>
      <c r="N289" s="39" t="str" cm="1">
        <f t="array" aca="1" ref="N289" ca="1">INDEX('SAP Customer Data'!$A:$AC,MATCH(بيانات_العملاء[[#This Row],[رمز شريك الأعمال]],'SAP Customer Data'!$B:$B,0),CELL("col",Table_Customer_Data[[#Headers],[LicTradNum]]))</f>
        <v>300548884200003</v>
      </c>
      <c r="O28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89" s="37" t="s">
        <v>856</v>
      </c>
      <c r="Q289" s="38"/>
      <c r="R28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89" s="37" t="s">
        <v>1080</v>
      </c>
      <c r="T289" s="40"/>
      <c r="U289" s="41"/>
      <c r="V28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8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89" s="37" cm="1">
        <f t="array" aca="1" ref="X289" ca="1">INDEX('SAP Customer Data'!$A:$AC,MATCH(بيانات_العملاء[[#This Row],[رمز شريك الأعمال]],'SAP Customer Data'!$B:$B,0),CELL("col",Table_Customer_Data[[#Headers],[CreditLine]]))</f>
        <v>0</v>
      </c>
      <c r="Y28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89" s="37"/>
      <c r="AA28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89" s="37" t="s">
        <v>856</v>
      </c>
      <c r="AC289" s="44"/>
      <c r="AD28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89" s="37" t="s">
        <v>856</v>
      </c>
      <c r="AF289" s="37"/>
      <c r="AG28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89" s="37" t="s">
        <v>856</v>
      </c>
      <c r="AI289" s="37"/>
      <c r="AJ28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89" s="37" t="s">
        <v>856</v>
      </c>
      <c r="AL289" s="38"/>
      <c r="AM28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89" s="37" t="s">
        <v>856</v>
      </c>
      <c r="AO289" s="41"/>
      <c r="AP28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89" s="37" t="s">
        <v>856</v>
      </c>
      <c r="AR289" s="37"/>
      <c r="AS28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89" s="41" cm="1">
        <f t="array" aca="1" ref="AT289" ca="1">INDEX('SAP Customer Data'!A:Z,MATCH(بيانات_العملاء[[#This Row],[رمز شريك الأعمال]],'SAP Customer Data'!B:B,0),CELL("col",Table_Customer_Data[[#Headers],[CreateDate]]))</f>
        <v>44595</v>
      </c>
      <c r="AU289" s="37"/>
      <c r="AV289" s="41"/>
      <c r="AW289" s="37" t="s">
        <v>2097</v>
      </c>
      <c r="AX289" s="37"/>
    </row>
    <row r="290" spans="1:50" x14ac:dyDescent="0.25">
      <c r="A290" s="36" t="str" cm="1">
        <f t="array" aca="1" ref="A290" ca="1">INDEX('SAP Customer Data'!$A:$AC,MATCH(بيانات_العملاء[[#This Row],[رمز شريك الأعمال]],'SAP Customer Data'!$B:$B,0),CELL("col",Table_Customer_Data[[#Headers],[GroupName]]))</f>
        <v>CS05</v>
      </c>
      <c r="B290" s="35" t="s">
        <v>353</v>
      </c>
      <c r="C290" s="37" t="str" cm="1">
        <f t="array" aca="1" ref="C290" ca="1">INDEX('SAP Customer Data'!$A:$AC,MATCH(بيانات_العملاء[[#This Row],[رمز شريك الأعمال]],'SAP Customer Data'!$B:$B,0),CELL("col",Table_Customer_Data[[#Headers],[CardName]]))</f>
        <v>مؤسسة معالم الحرقان التجارية</v>
      </c>
      <c r="D290" s="37" t="str">
        <f ca="1">IF(بيانات_العملاء[[#This Row],[حد الائتمان على SAP]]&gt;0,"آجل","نقدى")</f>
        <v>آجل</v>
      </c>
      <c r="E290" s="37" t="s">
        <v>2058</v>
      </c>
      <c r="F290" s="37" t="s">
        <v>1081</v>
      </c>
      <c r="G290" s="37" t="s">
        <v>854</v>
      </c>
      <c r="H29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90" s="37" t="s">
        <v>854</v>
      </c>
      <c r="J290" s="38">
        <v>44144</v>
      </c>
      <c r="K290" s="37" t="s">
        <v>855</v>
      </c>
      <c r="L290" s="37" t="str">
        <f ca="1">IF(AND(بيانات_العملاء[[#This Row],[السجل التجارى]]="موجود",TODAY()+'Other Data'!$B$23&lt;J290,بيانات_العملاء[[#This Row],[مطابقة اسم العميل بالاسم بالسجل التجارى]]="مطابق"), "سارى", "يجب اعادة طلبه")</f>
        <v>يجب اعادة طلبه</v>
      </c>
      <c r="M290" s="37" t="s">
        <v>854</v>
      </c>
      <c r="N290" s="39" t="str" cm="1">
        <f t="array" aca="1" ref="N290" ca="1">INDEX('SAP Customer Data'!$A:$AC,MATCH(بيانات_العملاء[[#This Row],[رمز شريك الأعمال]],'SAP Customer Data'!$B:$B,0),CELL("col",Table_Customer_Data[[#Headers],[LicTradNum]]))</f>
        <v>300556865600003</v>
      </c>
      <c r="O29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90" s="37" t="s">
        <v>856</v>
      </c>
      <c r="Q290" s="38"/>
      <c r="R29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0" s="37" t="s">
        <v>854</v>
      </c>
      <c r="T290" s="40">
        <v>300000</v>
      </c>
      <c r="U290" s="41"/>
      <c r="V29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240000</v>
      </c>
      <c r="X290" s="37" cm="1">
        <f t="array" aca="1" ref="X290" ca="1">INDEX('SAP Customer Data'!$A:$AC,MATCH(بيانات_العملاء[[#This Row],[رمز شريك الأعمال]],'SAP Customer Data'!$B:$B,0),CELL("col",Table_Customer_Data[[#Headers],[CreditLine]]))</f>
        <v>240000</v>
      </c>
      <c r="Y29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0" s="37" t="s">
        <v>855</v>
      </c>
      <c r="AA29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90" s="37" t="s">
        <v>856</v>
      </c>
      <c r="AC290" s="44"/>
      <c r="AD29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90" s="37" t="s">
        <v>856</v>
      </c>
      <c r="AF290" s="37"/>
      <c r="AG29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0" s="37" t="s">
        <v>856</v>
      </c>
      <c r="AI290" s="37"/>
      <c r="AJ29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0" s="37" t="s">
        <v>856</v>
      </c>
      <c r="AL290" s="38"/>
      <c r="AM29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0" s="37" t="s">
        <v>856</v>
      </c>
      <c r="AO290" s="41"/>
      <c r="AP29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0" s="37" t="s">
        <v>856</v>
      </c>
      <c r="AR290" s="37"/>
      <c r="AS29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0" s="41" cm="1">
        <f t="array" aca="1" ref="AT290" ca="1">INDEX('SAP Customer Data'!A:Z,MATCH(بيانات_العملاء[[#This Row],[رمز شريك الأعمال]],'SAP Customer Data'!B:B,0),CELL("col",Table_Customer_Data[[#Headers],[CreateDate]]))</f>
        <v>43757</v>
      </c>
      <c r="AU290" s="37"/>
      <c r="AV290" s="41"/>
      <c r="AW290" s="37" t="s">
        <v>2097</v>
      </c>
      <c r="AX290" s="37"/>
    </row>
    <row r="291" spans="1:50" x14ac:dyDescent="0.25">
      <c r="A291" s="36" t="str" cm="1">
        <f t="array" aca="1" ref="A291" ca="1">INDEX('SAP Customer Data'!$A:$AC,MATCH(بيانات_العملاء[[#This Row],[رمز شريك الأعمال]],'SAP Customer Data'!$B:$B,0),CELL("col",Table_Customer_Data[[#Headers],[GroupName]]))</f>
        <v>CS05</v>
      </c>
      <c r="B291" s="35" t="s">
        <v>940</v>
      </c>
      <c r="C291" s="37" t="str" cm="1">
        <f t="array" aca="1" ref="C291" ca="1">INDEX('SAP Customer Data'!$A:$AC,MATCH(بيانات_العملاء[[#This Row],[رمز شريك الأعمال]],'SAP Customer Data'!$B:$B,0),CELL("col",Table_Customer_Data[[#Headers],[CardName]]))</f>
        <v>مؤسسة ريكنج التجارية - نقدى</v>
      </c>
      <c r="D291" s="37" t="str">
        <f ca="1">IF(بيانات_العملاء[[#This Row],[حد الائتمان على SAP]]&gt;0,"آجل","نقدى")</f>
        <v>نقدى</v>
      </c>
      <c r="E291" s="37" t="s">
        <v>1000</v>
      </c>
      <c r="F291" s="37" t="s">
        <v>1081</v>
      </c>
      <c r="G291" s="37" t="s">
        <v>856</v>
      </c>
      <c r="H29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91" s="37" t="s">
        <v>854</v>
      </c>
      <c r="J291" s="38">
        <v>46406</v>
      </c>
      <c r="K291" s="37" t="s">
        <v>855</v>
      </c>
      <c r="L291" s="37" t="str">
        <f ca="1">IF(AND(بيانات_العملاء[[#This Row],[السجل التجارى]]="موجود",TODAY()+'Other Data'!$B$23&lt;J291,بيانات_العملاء[[#This Row],[مطابقة اسم العميل بالاسم بالسجل التجارى]]="مطابق"), "سارى", "يجب اعادة طلبه")</f>
        <v>سارى</v>
      </c>
      <c r="M291" s="37" t="s">
        <v>854</v>
      </c>
      <c r="N291" s="39" t="str" cm="1">
        <f t="array" aca="1" ref="N291" ca="1">INDEX('SAP Customer Data'!$A:$AC,MATCH(بيانات_العملاء[[#This Row],[رمز شريك الأعمال]],'SAP Customer Data'!$B:$B,0),CELL("col",Table_Customer_Data[[#Headers],[LicTradNum]]))</f>
        <v>300561002700003</v>
      </c>
      <c r="O29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91" s="37" t="s">
        <v>854</v>
      </c>
      <c r="Q291" s="38">
        <v>46594</v>
      </c>
      <c r="R29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291" s="37" t="s">
        <v>1080</v>
      </c>
      <c r="T291" s="40"/>
      <c r="U291" s="41"/>
      <c r="V29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91" s="37" cm="1">
        <f t="array" aca="1" ref="X291" ca="1">INDEX('SAP Customer Data'!$A:$AC,MATCH(بيانات_العملاء[[#This Row],[رمز شريك الأعمال]],'SAP Customer Data'!$B:$B,0),CELL("col",Table_Customer_Data[[#Headers],[CreditLine]]))</f>
        <v>0</v>
      </c>
      <c r="Y29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1" s="37"/>
      <c r="AA29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91" s="37" t="s">
        <v>856</v>
      </c>
      <c r="AC291" s="44"/>
      <c r="AD29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91" s="37" t="s">
        <v>856</v>
      </c>
      <c r="AF291" s="37"/>
      <c r="AG29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1" s="37" t="s">
        <v>856</v>
      </c>
      <c r="AI291" s="37"/>
      <c r="AJ29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1" s="37"/>
      <c r="AL291" s="38"/>
      <c r="AM29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1" s="37" t="s">
        <v>854</v>
      </c>
      <c r="AO291" s="41">
        <v>45013</v>
      </c>
      <c r="AP29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1" s="37" t="s">
        <v>856</v>
      </c>
      <c r="AR291" s="37"/>
      <c r="AS29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1" s="41" cm="1">
        <f t="array" aca="1" ref="AT291" ca="1">INDEX('SAP Customer Data'!A:Z,MATCH(بيانات_العملاء[[#This Row],[رمز شريك الأعمال]],'SAP Customer Data'!B:B,0),CELL("col",Table_Customer_Data[[#Headers],[CreateDate]]))</f>
        <v>44985</v>
      </c>
      <c r="AU291" s="37"/>
      <c r="AV291" s="41"/>
      <c r="AW291" s="37" t="s">
        <v>2097</v>
      </c>
      <c r="AX291" s="37"/>
    </row>
    <row r="292" spans="1:50" x14ac:dyDescent="0.25">
      <c r="A292" s="36" t="str" cm="1">
        <f t="array" aca="1" ref="A292" ca="1">INDEX('SAP Customer Data'!$A:$AC,MATCH(بيانات_العملاء[[#This Row],[رمز شريك الأعمال]],'SAP Customer Data'!$B:$B,0),CELL("col",Table_Customer_Data[[#Headers],[GroupName]]))</f>
        <v>CS05</v>
      </c>
      <c r="B292" s="35" t="s">
        <v>48</v>
      </c>
      <c r="C292" s="37" t="str" cm="1">
        <f t="array" aca="1" ref="C292" ca="1">INDEX('SAP Customer Data'!$A:$AC,MATCH(بيانات_العملاء[[#This Row],[رمز شريك الأعمال]],'SAP Customer Data'!$B:$B,0),CELL("col",Table_Customer_Data[[#Headers],[CardName]]))</f>
        <v>مؤسسة البيت العامر للادوات الصحية</v>
      </c>
      <c r="D292" s="37" t="str">
        <f ca="1">IF(بيانات_العملاء[[#This Row],[حد الائتمان على SAP]]&gt;0,"آجل","نقدى")</f>
        <v>آجل</v>
      </c>
      <c r="E292" s="37" t="s">
        <v>2054</v>
      </c>
      <c r="F292" s="37" t="s">
        <v>1081</v>
      </c>
      <c r="G292" s="37" t="s">
        <v>854</v>
      </c>
      <c r="H29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92" s="37" t="s">
        <v>854</v>
      </c>
      <c r="J292" s="38">
        <v>44559</v>
      </c>
      <c r="K292" s="37" t="s">
        <v>855</v>
      </c>
      <c r="L292" s="37" t="str">
        <f ca="1">IF(AND(بيانات_العملاء[[#This Row],[السجل التجارى]]="موجود",TODAY()+'Other Data'!$B$23&lt;J292,بيانات_العملاء[[#This Row],[مطابقة اسم العميل بالاسم بالسجل التجارى]]="مطابق"), "سارى", "يجب اعادة طلبه")</f>
        <v>يجب اعادة طلبه</v>
      </c>
      <c r="M292" s="37" t="s">
        <v>856</v>
      </c>
      <c r="N292" s="39" t="str" cm="1">
        <f t="array" aca="1" ref="N292" ca="1">INDEX('SAP Customer Data'!$A:$AC,MATCH(بيانات_العملاء[[#This Row],[رمز شريك الأعمال]],'SAP Customer Data'!$B:$B,0),CELL("col",Table_Customer_Data[[#Headers],[LicTradNum]]))</f>
        <v>300627957200003</v>
      </c>
      <c r="O29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92" s="37" t="s">
        <v>854</v>
      </c>
      <c r="Q292" s="38">
        <v>44675</v>
      </c>
      <c r="R29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2" s="37" t="s">
        <v>854</v>
      </c>
      <c r="T292" s="40">
        <v>30000</v>
      </c>
      <c r="U292" s="41"/>
      <c r="V29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292" s="37" cm="1">
        <f t="array" aca="1" ref="X292" ca="1">INDEX('SAP Customer Data'!$A:$AC,MATCH(بيانات_العملاء[[#This Row],[رمز شريك الأعمال]],'SAP Customer Data'!$B:$B,0),CELL("col",Table_Customer_Data[[#Headers],[CreditLine]]))</f>
        <v>24000</v>
      </c>
      <c r="Y29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2" s="37" t="s">
        <v>855</v>
      </c>
      <c r="AA29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92" s="37" t="s">
        <v>854</v>
      </c>
      <c r="AC292" s="44">
        <v>50499</v>
      </c>
      <c r="AD29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292" s="37" t="s">
        <v>856</v>
      </c>
      <c r="AF292" s="37"/>
      <c r="AG29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2" s="37" t="s">
        <v>856</v>
      </c>
      <c r="AI292" s="37"/>
      <c r="AJ29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2" s="37" t="s">
        <v>856</v>
      </c>
      <c r="AL292" s="38"/>
      <c r="AM29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2" s="37" t="s">
        <v>856</v>
      </c>
      <c r="AO292" s="41"/>
      <c r="AP29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2" s="37" t="s">
        <v>856</v>
      </c>
      <c r="AR292" s="37"/>
      <c r="AS29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2" s="41" cm="1">
        <f t="array" aca="1" ref="AT292" ca="1">INDEX('SAP Customer Data'!A:Z,MATCH(بيانات_العملاء[[#This Row],[رمز شريك الأعمال]],'SAP Customer Data'!B:B,0),CELL("col",Table_Customer_Data[[#Headers],[CreateDate]]))</f>
        <v>44352</v>
      </c>
      <c r="AU292" s="37"/>
      <c r="AV292" s="41"/>
      <c r="AW292" s="37" t="s">
        <v>2097</v>
      </c>
      <c r="AX292" s="37"/>
    </row>
    <row r="293" spans="1:50" x14ac:dyDescent="0.25">
      <c r="A293" s="36" t="str" cm="1">
        <f t="array" aca="1" ref="A293" ca="1">INDEX('SAP Customer Data'!$A:$AC,MATCH(بيانات_العملاء[[#This Row],[رمز شريك الأعمال]],'SAP Customer Data'!$B:$B,0),CELL("col",Table_Customer_Data[[#Headers],[GroupName]]))</f>
        <v>CS05</v>
      </c>
      <c r="B293" s="35" t="s">
        <v>50</v>
      </c>
      <c r="C293" s="37" t="str" cm="1">
        <f t="array" aca="1" ref="C293" ca="1">INDEX('SAP Customer Data'!$A:$AC,MATCH(بيانات_العملاء[[#This Row],[رمز شريك الأعمال]],'SAP Customer Data'!$B:$B,0),CELL("col",Table_Customer_Data[[#Headers],[CardName]]))</f>
        <v>شركة فهد سعد المنقور وشركاه للتجارة</v>
      </c>
      <c r="D293" s="37" t="str">
        <f ca="1">IF(بيانات_العملاء[[#This Row],[حد الائتمان على SAP]]&gt;0,"آجل","نقدى")</f>
        <v>آجل</v>
      </c>
      <c r="E293" s="37"/>
      <c r="F293" s="37" t="s">
        <v>1602</v>
      </c>
      <c r="G293" s="37" t="s">
        <v>854</v>
      </c>
      <c r="H29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93" s="37" t="s">
        <v>854</v>
      </c>
      <c r="J293" s="38">
        <v>44797</v>
      </c>
      <c r="K293" s="37" t="s">
        <v>855</v>
      </c>
      <c r="L293" s="37" t="str">
        <f ca="1">IF(AND(بيانات_العملاء[[#This Row],[السجل التجارى]]="موجود",TODAY()+'Other Data'!$B$23&lt;J293,بيانات_العملاء[[#This Row],[مطابقة اسم العميل بالاسم بالسجل التجارى]]="مطابق"), "سارى", "يجب اعادة طلبه")</f>
        <v>يجب اعادة طلبه</v>
      </c>
      <c r="M293" s="37" t="s">
        <v>854</v>
      </c>
      <c r="N293" s="39" t="str" cm="1">
        <f t="array" aca="1" ref="N293" ca="1">INDEX('SAP Customer Data'!$A:$AC,MATCH(بيانات_العملاء[[#This Row],[رمز شريك الأعمال]],'SAP Customer Data'!$B:$B,0),CELL("col",Table_Customer_Data[[#Headers],[LicTradNum]]))</f>
        <v>300689974700003</v>
      </c>
      <c r="O29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93" s="37" t="s">
        <v>856</v>
      </c>
      <c r="Q293" s="38"/>
      <c r="R29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3" s="37" t="s">
        <v>1075</v>
      </c>
      <c r="T293" s="40">
        <v>50000</v>
      </c>
      <c r="U293" s="41">
        <v>43701</v>
      </c>
      <c r="V293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29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293" s="37" cm="1">
        <f t="array" aca="1" ref="X293" ca="1">INDEX('SAP Customer Data'!$A:$AC,MATCH(بيانات_العملاء[[#This Row],[رمز شريك الأعمال]],'SAP Customer Data'!$B:$B,0),CELL("col",Table_Customer_Data[[#Headers],[CreditLine]]))</f>
        <v>50000</v>
      </c>
      <c r="Y29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3" s="37"/>
      <c r="AA29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93" s="37" t="s">
        <v>856</v>
      </c>
      <c r="AC293" s="44"/>
      <c r="AD29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93" s="37" t="s">
        <v>856</v>
      </c>
      <c r="AF293" s="37"/>
      <c r="AG29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3" s="37" t="s">
        <v>856</v>
      </c>
      <c r="AI293" s="37"/>
      <c r="AJ29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3" s="37" t="s">
        <v>856</v>
      </c>
      <c r="AL293" s="38"/>
      <c r="AM29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3" s="37" t="s">
        <v>856</v>
      </c>
      <c r="AO293" s="41"/>
      <c r="AP29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3" s="37" t="s">
        <v>856</v>
      </c>
      <c r="AR293" s="37"/>
      <c r="AS29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3" s="41" cm="1">
        <f t="array" aca="1" ref="AT293" ca="1">INDEX('SAP Customer Data'!A:Z,MATCH(بيانات_العملاء[[#This Row],[رمز شريك الأعمال]],'SAP Customer Data'!B:B,0),CELL("col",Table_Customer_Data[[#Headers],[CreateDate]]))</f>
        <v>44381</v>
      </c>
      <c r="AU293" s="37"/>
      <c r="AV293" s="41"/>
      <c r="AW293" s="37" t="s">
        <v>2097</v>
      </c>
      <c r="AX293" s="37"/>
    </row>
    <row r="294" spans="1:50" x14ac:dyDescent="0.25">
      <c r="A294" s="36" t="str" cm="1">
        <f t="array" aca="1" ref="A294" ca="1">INDEX('SAP Customer Data'!$A:$AC,MATCH(بيانات_العملاء[[#This Row],[رمز شريك الأعمال]],'SAP Customer Data'!$B:$B,0),CELL("col",Table_Customer_Data[[#Headers],[GroupName]]))</f>
        <v>CS05</v>
      </c>
      <c r="B294" s="35" t="s">
        <v>91</v>
      </c>
      <c r="C294" s="37" t="str" cm="1">
        <f t="array" aca="1" ref="C294" ca="1">INDEX('SAP Customer Data'!$A:$AC,MATCH(بيانات_العملاء[[#This Row],[رمز شريك الأعمال]],'SAP Customer Data'!$B:$B,0),CELL("col",Table_Customer_Data[[#Headers],[CardName]]))</f>
        <v>معرض باهمام التجارية</v>
      </c>
      <c r="D294" s="37" t="str">
        <f ca="1">IF(بيانات_العملاء[[#This Row],[حد الائتمان على SAP]]&gt;0,"آجل","نقدى")</f>
        <v>آجل</v>
      </c>
      <c r="E294" s="37"/>
      <c r="F294" s="37" t="s">
        <v>1082</v>
      </c>
      <c r="G294" s="37" t="s">
        <v>854</v>
      </c>
      <c r="H29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94" s="37" t="s">
        <v>856</v>
      </c>
      <c r="J294" s="38"/>
      <c r="K294" s="37"/>
      <c r="L294" s="37" t="str">
        <f ca="1">IF(AND(بيانات_العملاء[[#This Row],[السجل التجارى]]="موجود",TODAY()+'Other Data'!$B$23&lt;J294,بيانات_العملاء[[#This Row],[مطابقة اسم العميل بالاسم بالسجل التجارى]]="مطابق"), "سارى", "يجب اعادة طلبه")</f>
        <v>يجب اعادة طلبه</v>
      </c>
      <c r="M294" s="37" t="s">
        <v>856</v>
      </c>
      <c r="N294" s="39" t="str" cm="1">
        <f t="array" aca="1" ref="N294" ca="1">INDEX('SAP Customer Data'!$A:$AC,MATCH(بيانات_العملاء[[#This Row],[رمز شريك الأعمال]],'SAP Customer Data'!$B:$B,0),CELL("col",Table_Customer_Data[[#Headers],[LicTradNum]]))</f>
        <v>300692498100003</v>
      </c>
      <c r="O29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94" s="37" t="s">
        <v>856</v>
      </c>
      <c r="Q294" s="38"/>
      <c r="R29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4" s="37" t="s">
        <v>1075</v>
      </c>
      <c r="T294" s="40">
        <v>20000</v>
      </c>
      <c r="U294" s="41"/>
      <c r="V29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20000</v>
      </c>
      <c r="X294" s="37" cm="1">
        <f t="array" aca="1" ref="X294" ca="1">INDEX('SAP Customer Data'!$A:$AC,MATCH(بيانات_العملاء[[#This Row],[رمز شريك الأعمال]],'SAP Customer Data'!$B:$B,0),CELL("col",Table_Customer_Data[[#Headers],[CreditLine]]))</f>
        <v>20000</v>
      </c>
      <c r="Y29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4" s="37"/>
      <c r="AA29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94" s="37" t="s">
        <v>856</v>
      </c>
      <c r="AC294" s="44"/>
      <c r="AD29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94" s="37" t="s">
        <v>856</v>
      </c>
      <c r="AF294" s="37"/>
      <c r="AG29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4" s="37" t="s">
        <v>856</v>
      </c>
      <c r="AI294" s="37"/>
      <c r="AJ29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4" s="37" t="s">
        <v>856</v>
      </c>
      <c r="AL294" s="38"/>
      <c r="AM29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4" s="37" t="s">
        <v>856</v>
      </c>
      <c r="AO294" s="41"/>
      <c r="AP29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4" s="37" t="s">
        <v>856</v>
      </c>
      <c r="AR294" s="37"/>
      <c r="AS29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4" s="41" cm="1">
        <f t="array" aca="1" ref="AT294" ca="1">INDEX('SAP Customer Data'!A:Z,MATCH(بيانات_العملاء[[#This Row],[رمز شريك الأعمال]],'SAP Customer Data'!B:B,0),CELL("col",Table_Customer_Data[[#Headers],[CreateDate]]))</f>
        <v>44514</v>
      </c>
      <c r="AU294" s="37"/>
      <c r="AV294" s="41"/>
      <c r="AW294" s="37" t="s">
        <v>2097</v>
      </c>
      <c r="AX294" s="37"/>
    </row>
    <row r="295" spans="1:50" x14ac:dyDescent="0.25">
      <c r="A295" s="36" t="str" cm="1">
        <f t="array" aca="1" ref="A295" ca="1">INDEX('SAP Customer Data'!$A:$AC,MATCH(بيانات_العملاء[[#This Row],[رمز شريك الأعمال]],'SAP Customer Data'!$B:$B,0),CELL("col",Table_Customer_Data[[#Headers],[GroupName]]))</f>
        <v>CS05</v>
      </c>
      <c r="B295" s="35" t="s">
        <v>106</v>
      </c>
      <c r="C295" s="37" t="str" cm="1">
        <f t="array" aca="1" ref="C295" ca="1">INDEX('SAP Customer Data'!$A:$AC,MATCH(بيانات_العملاء[[#This Row],[رمز شريك الأعمال]],'SAP Customer Data'!$B:$B,0),CELL("col",Table_Customer_Data[[#Headers],[CardName]]))</f>
        <v>مؤسسة فاضل بن حبيب محمد فندم التجارية</v>
      </c>
      <c r="D295" s="37" t="str">
        <f ca="1">IF(بيانات_العملاء[[#This Row],[حد الائتمان على SAP]]&gt;0,"آجل","نقدى")</f>
        <v>آجل</v>
      </c>
      <c r="E295" s="37" t="s">
        <v>1603</v>
      </c>
      <c r="F295" s="37" t="s">
        <v>1081</v>
      </c>
      <c r="G295" s="37" t="s">
        <v>854</v>
      </c>
      <c r="H29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95" s="37" t="s">
        <v>854</v>
      </c>
      <c r="J295" s="38">
        <v>45214</v>
      </c>
      <c r="K295" s="37" t="s">
        <v>855</v>
      </c>
      <c r="L295" s="37" t="str">
        <f ca="1">IF(AND(بيانات_العملاء[[#This Row],[السجل التجارى]]="موجود",TODAY()+'Other Data'!$B$23&lt;J295,بيانات_العملاء[[#This Row],[مطابقة اسم العميل بالاسم بالسجل التجارى]]="مطابق"), "سارى", "يجب اعادة طلبه")</f>
        <v>يجب اعادة طلبه</v>
      </c>
      <c r="M295" s="37" t="s">
        <v>854</v>
      </c>
      <c r="N295" s="39" t="str" cm="1">
        <f t="array" aca="1" ref="N295" ca="1">INDEX('SAP Customer Data'!$A:$AC,MATCH(بيانات_العملاء[[#This Row],[رمز شريك الأعمال]],'SAP Customer Data'!$B:$B,0),CELL("col",Table_Customer_Data[[#Headers],[LicTradNum]]))</f>
        <v>300750522900003</v>
      </c>
      <c r="O29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95" s="37" t="s">
        <v>854</v>
      </c>
      <c r="Q295" s="38">
        <v>45199</v>
      </c>
      <c r="R29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5" s="37" t="s">
        <v>854</v>
      </c>
      <c r="T295" s="40">
        <v>10000</v>
      </c>
      <c r="U295" s="41">
        <v>45069</v>
      </c>
      <c r="V295" s="41">
        <f>IF(بيانات_العملاء[[#This Row],[تاريخ انشاء سند الامر او الاستثناء]]="",0,بيانات_العملاء[[#This Row],[تاريخ انشاء سند الامر او الاستثناء]]+365*3)</f>
        <v>46164</v>
      </c>
      <c r="W29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</v>
      </c>
      <c r="X295" s="37" cm="1">
        <f t="array" aca="1" ref="X295" ca="1">INDEX('SAP Customer Data'!$A:$AC,MATCH(بيانات_العملاء[[#This Row],[رمز شريك الأعمال]],'SAP Customer Data'!$B:$B,0),CELL("col",Table_Customer_Data[[#Headers],[CreditLine]]))</f>
        <v>8000</v>
      </c>
      <c r="Y29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5" s="37" t="s">
        <v>855</v>
      </c>
      <c r="AA29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95" s="37" t="s">
        <v>854</v>
      </c>
      <c r="AC295" s="44">
        <v>47548</v>
      </c>
      <c r="AD29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295" s="37" t="s">
        <v>854</v>
      </c>
      <c r="AF295" s="41">
        <v>47548</v>
      </c>
      <c r="AG29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295" s="37" t="s">
        <v>854</v>
      </c>
      <c r="AI295" s="37"/>
      <c r="AJ29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5" s="37" t="s">
        <v>856</v>
      </c>
      <c r="AL295" s="38"/>
      <c r="AM29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5" s="37" t="s">
        <v>854</v>
      </c>
      <c r="AO295" s="41">
        <v>44771</v>
      </c>
      <c r="AP29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5" s="37" t="s">
        <v>856</v>
      </c>
      <c r="AR295" s="37"/>
      <c r="AS29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5" s="41" cm="1">
        <f t="array" aca="1" ref="AT295" ca="1">INDEX('SAP Customer Data'!A:Z,MATCH(بيانات_العملاء[[#This Row],[رمز شريك الأعمال]],'SAP Customer Data'!B:B,0),CELL("col",Table_Customer_Data[[#Headers],[CreateDate]]))</f>
        <v>44545</v>
      </c>
      <c r="AU295" s="37"/>
      <c r="AV295" s="41"/>
      <c r="AW295" s="37" t="s">
        <v>2097</v>
      </c>
      <c r="AX295" s="37"/>
    </row>
    <row r="296" spans="1:50" x14ac:dyDescent="0.25">
      <c r="A296" s="36" t="str" cm="1">
        <f t="array" aca="1" ref="A296" ca="1">INDEX('SAP Customer Data'!$A:$AC,MATCH(بيانات_العملاء[[#This Row],[رمز شريك الأعمال]],'SAP Customer Data'!$B:$B,0),CELL("col",Table_Customer_Data[[#Headers],[GroupName]]))</f>
        <v>CS05</v>
      </c>
      <c r="B296" s="35" t="s">
        <v>119</v>
      </c>
      <c r="C296" s="37" t="str" cm="1">
        <f t="array" aca="1" ref="C296" ca="1">INDEX('SAP Customer Data'!$A:$AC,MATCH(بيانات_العملاء[[#This Row],[رمز شريك الأعمال]],'SAP Customer Data'!$B:$B,0),CELL("col",Table_Customer_Data[[#Headers],[CardName]]))</f>
        <v>مؤسسة عبدالعزيز راشد البوعينين للادوات الكهربائية</v>
      </c>
      <c r="D296" s="37" t="str">
        <f ca="1">IF(بيانات_العملاء[[#This Row],[حد الائتمان على SAP]]&gt;0,"آجل","نقدى")</f>
        <v>آجل</v>
      </c>
      <c r="E296" s="37"/>
      <c r="F296" s="37" t="s">
        <v>1082</v>
      </c>
      <c r="G296" s="37" t="s">
        <v>854</v>
      </c>
      <c r="H29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96" s="37" t="s">
        <v>856</v>
      </c>
      <c r="J296" s="38"/>
      <c r="K296" s="37"/>
      <c r="L296" s="37" t="str">
        <f ca="1">IF(AND(بيانات_العملاء[[#This Row],[السجل التجارى]]="موجود",TODAY()+'Other Data'!$B$23&lt;J296,بيانات_العملاء[[#This Row],[مطابقة اسم العميل بالاسم بالسجل التجارى]]="مطابق"), "سارى", "يجب اعادة طلبه")</f>
        <v>يجب اعادة طلبه</v>
      </c>
      <c r="M296" s="37" t="s">
        <v>856</v>
      </c>
      <c r="N296" s="39" t="str" cm="1">
        <f t="array" aca="1" ref="N296" ca="1">INDEX('SAP Customer Data'!$A:$AC,MATCH(بيانات_العملاء[[#This Row],[رمز شريك الأعمال]],'SAP Customer Data'!$B:$B,0),CELL("col",Table_Customer_Data[[#Headers],[LicTradNum]]))</f>
        <v>300764092400003</v>
      </c>
      <c r="O29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96" s="37" t="s">
        <v>856</v>
      </c>
      <c r="Q296" s="38"/>
      <c r="R29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6" s="37" t="s">
        <v>854</v>
      </c>
      <c r="T296" s="40">
        <v>30000</v>
      </c>
      <c r="U296" s="41"/>
      <c r="V29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296" s="37" cm="1">
        <f t="array" aca="1" ref="X296" ca="1">INDEX('SAP Customer Data'!$A:$AC,MATCH(بيانات_العملاء[[#This Row],[رمز شريك الأعمال]],'SAP Customer Data'!$B:$B,0),CELL("col",Table_Customer_Data[[#Headers],[CreditLine]]))</f>
        <v>24000</v>
      </c>
      <c r="Y29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6" s="37" t="s">
        <v>859</v>
      </c>
      <c r="AA29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96" s="37" t="s">
        <v>856</v>
      </c>
      <c r="AC296" s="44"/>
      <c r="AD29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96" s="37" t="s">
        <v>856</v>
      </c>
      <c r="AF296" s="37"/>
      <c r="AG29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6" s="37" t="s">
        <v>856</v>
      </c>
      <c r="AI296" s="37"/>
      <c r="AJ29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6" s="37" t="s">
        <v>856</v>
      </c>
      <c r="AL296" s="38"/>
      <c r="AM29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6" s="37" t="s">
        <v>856</v>
      </c>
      <c r="AO296" s="41"/>
      <c r="AP29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6" s="37" t="s">
        <v>856</v>
      </c>
      <c r="AR296" s="37"/>
      <c r="AS29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6" s="41" cm="1">
        <f t="array" aca="1" ref="AT296" ca="1">INDEX('SAP Customer Data'!A:Z,MATCH(بيانات_العملاء[[#This Row],[رمز شريك الأعمال]],'SAP Customer Data'!B:B,0),CELL("col",Table_Customer_Data[[#Headers],[CreateDate]]))</f>
        <v>44553</v>
      </c>
      <c r="AU296" s="37"/>
      <c r="AV296" s="41"/>
      <c r="AW296" s="37" t="s">
        <v>2097</v>
      </c>
      <c r="AX296" s="37"/>
    </row>
    <row r="297" spans="1:50" x14ac:dyDescent="0.25">
      <c r="A297" s="36" t="str" cm="1">
        <f t="array" aca="1" ref="A297" ca="1">INDEX('SAP Customer Data'!$A:$AC,MATCH(بيانات_العملاء[[#This Row],[رمز شريك الأعمال]],'SAP Customer Data'!$B:$B,0),CELL("col",Table_Customer_Data[[#Headers],[GroupName]]))</f>
        <v>CS05</v>
      </c>
      <c r="B297" s="35" t="s">
        <v>68</v>
      </c>
      <c r="C297" s="37" t="str" cm="1">
        <f t="array" aca="1" ref="C297" ca="1">INDEX('SAP Customer Data'!$A:$AC,MATCH(بيانات_العملاء[[#This Row],[رمز شريك الأعمال]],'SAP Customer Data'!$B:$B,0),CELL("col",Table_Customer_Data[[#Headers],[CardName]]))</f>
        <v>مؤسسة عالم البناء الراقي التجارية- نقدي</v>
      </c>
      <c r="D297" s="37" t="str">
        <f ca="1">IF(بيانات_العملاء[[#This Row],[حد الائتمان على SAP]]&gt;0,"آجل","نقدى")</f>
        <v>نقدى</v>
      </c>
      <c r="E297" s="37"/>
      <c r="F297" s="37" t="s">
        <v>1082</v>
      </c>
      <c r="G297" s="37" t="s">
        <v>856</v>
      </c>
      <c r="H29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297" s="37" t="s">
        <v>856</v>
      </c>
      <c r="J297" s="38"/>
      <c r="K297" s="37"/>
      <c r="L297" s="37" t="str">
        <f ca="1">IF(AND(بيانات_العملاء[[#This Row],[السجل التجارى]]="موجود",TODAY()+'Other Data'!$B$23&lt;J297,بيانات_العملاء[[#This Row],[مطابقة اسم العميل بالاسم بالسجل التجارى]]="مطابق"), "سارى", "يجب اعادة طلبه")</f>
        <v>يجب اعادة طلبه</v>
      </c>
      <c r="M297" s="37" t="s">
        <v>854</v>
      </c>
      <c r="N297" s="39" t="str" cm="1">
        <f t="array" aca="1" ref="N297" ca="1">INDEX('SAP Customer Data'!$A:$AC,MATCH(بيانات_العملاء[[#This Row],[رمز شريك الأعمال]],'SAP Customer Data'!$B:$B,0),CELL("col",Table_Customer_Data[[#Headers],[LicTradNum]]))</f>
        <v>300820785900003</v>
      </c>
      <c r="O29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97" s="37" t="s">
        <v>856</v>
      </c>
      <c r="Q297" s="38"/>
      <c r="R29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7" s="37" t="s">
        <v>1080</v>
      </c>
      <c r="T297" s="40"/>
      <c r="U297" s="41"/>
      <c r="V29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97" s="37" cm="1">
        <f t="array" aca="1" ref="X297" ca="1">INDEX('SAP Customer Data'!$A:$AC,MATCH(بيانات_العملاء[[#This Row],[رمز شريك الأعمال]],'SAP Customer Data'!$B:$B,0),CELL("col",Table_Customer_Data[[#Headers],[CreditLine]]))</f>
        <v>0</v>
      </c>
      <c r="Y29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7" s="37"/>
      <c r="AA29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97" s="37" t="s">
        <v>856</v>
      </c>
      <c r="AC297" s="44"/>
      <c r="AD29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97" s="37" t="s">
        <v>856</v>
      </c>
      <c r="AF297" s="37"/>
      <c r="AG29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7" s="37" t="s">
        <v>856</v>
      </c>
      <c r="AI297" s="37"/>
      <c r="AJ29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7" s="37" t="s">
        <v>856</v>
      </c>
      <c r="AL297" s="38"/>
      <c r="AM29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7" s="37" t="s">
        <v>856</v>
      </c>
      <c r="AO297" s="41"/>
      <c r="AP29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7" s="37" t="s">
        <v>856</v>
      </c>
      <c r="AR297" s="37"/>
      <c r="AS29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7" s="41" cm="1">
        <f t="array" aca="1" ref="AT297" ca="1">INDEX('SAP Customer Data'!A:Z,MATCH(بيانات_العملاء[[#This Row],[رمز شريك الأعمال]],'SAP Customer Data'!B:B,0),CELL("col",Table_Customer_Data[[#Headers],[CreateDate]]))</f>
        <v>44455</v>
      </c>
      <c r="AU297" s="37"/>
      <c r="AV297" s="41"/>
      <c r="AW297" s="37" t="s">
        <v>2097</v>
      </c>
      <c r="AX297" s="37"/>
    </row>
    <row r="298" spans="1:50" x14ac:dyDescent="0.25">
      <c r="A298" s="36" t="str" cm="1">
        <f t="array" aca="1" ref="A298" ca="1">INDEX('SAP Customer Data'!$A:$AC,MATCH(بيانات_العملاء[[#This Row],[رمز شريك الأعمال]],'SAP Customer Data'!$B:$B,0),CELL("col",Table_Customer_Data[[#Headers],[GroupName]]))</f>
        <v>CS05</v>
      </c>
      <c r="B298" s="35" t="s">
        <v>927</v>
      </c>
      <c r="C298" s="37" t="str" cm="1">
        <f t="array" aca="1" ref="C298" ca="1">INDEX('SAP Customer Data'!$A:$AC,MATCH(بيانات_العملاء[[#This Row],[رمز شريك الأعمال]],'SAP Customer Data'!$B:$B,0),CELL("col",Table_Customer_Data[[#Headers],[CardName]]))</f>
        <v>مؤسسة محمود سعود المروحن التجارية - نقدي</v>
      </c>
      <c r="D298" s="37" t="str">
        <f ca="1">IF(بيانات_العملاء[[#This Row],[حد الائتمان على SAP]]&gt;0,"آجل","نقدى")</f>
        <v>نقدى</v>
      </c>
      <c r="E298" s="37" t="s">
        <v>998</v>
      </c>
      <c r="F298" s="37" t="s">
        <v>1081</v>
      </c>
      <c r="G298" s="37" t="s">
        <v>854</v>
      </c>
      <c r="H29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98" s="37" t="s">
        <v>854</v>
      </c>
      <c r="J298" s="38">
        <v>45348</v>
      </c>
      <c r="K298" s="37" t="s">
        <v>855</v>
      </c>
      <c r="L298" s="37" t="str">
        <f ca="1">IF(AND(بيانات_العملاء[[#This Row],[السجل التجارى]]="موجود",TODAY()+'Other Data'!$B$23&lt;J298,بيانات_العملاء[[#This Row],[مطابقة اسم العميل بالاسم بالسجل التجارى]]="مطابق"), "سارى", "يجب اعادة طلبه")</f>
        <v>سارى</v>
      </c>
      <c r="M298" s="37" t="s">
        <v>854</v>
      </c>
      <c r="N298" s="39" t="str" cm="1">
        <f t="array" aca="1" ref="N298" ca="1">INDEX('SAP Customer Data'!$A:$AC,MATCH(بيانات_العملاء[[#This Row],[رمز شريك الأعمال]],'SAP Customer Data'!$B:$B,0),CELL("col",Table_Customer_Data[[#Headers],[LicTradNum]]))</f>
        <v>300821085800003</v>
      </c>
      <c r="O29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298" s="37" t="s">
        <v>854</v>
      </c>
      <c r="Q298" s="38">
        <v>45271</v>
      </c>
      <c r="R29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298" s="37" t="s">
        <v>1080</v>
      </c>
      <c r="T298" s="40"/>
      <c r="U298" s="41"/>
      <c r="V29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298" s="37" cm="1">
        <f t="array" aca="1" ref="X298" ca="1">INDEX('SAP Customer Data'!$A:$AC,MATCH(بيانات_العملاء[[#This Row],[رمز شريك الأعمال]],'SAP Customer Data'!$B:$B,0),CELL("col",Table_Customer_Data[[#Headers],[CreditLine]]))</f>
        <v>0</v>
      </c>
      <c r="Y29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8" s="37"/>
      <c r="AA29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298" s="37" t="s">
        <v>854</v>
      </c>
      <c r="AC298" s="44">
        <v>51118</v>
      </c>
      <c r="AD29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298" s="37" t="s">
        <v>856</v>
      </c>
      <c r="AF298" s="37"/>
      <c r="AG29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8" s="37" t="s">
        <v>856</v>
      </c>
      <c r="AI298" s="37"/>
      <c r="AJ29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8" s="37"/>
      <c r="AL298" s="38"/>
      <c r="AM29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8" s="37" t="s">
        <v>854</v>
      </c>
      <c r="AO298" s="41"/>
      <c r="AP29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8" s="37" t="s">
        <v>856</v>
      </c>
      <c r="AR298" s="37"/>
      <c r="AS29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8" s="41" cm="1">
        <f t="array" aca="1" ref="AT298" ca="1">INDEX('SAP Customer Data'!A:Z,MATCH(بيانات_العملاء[[#This Row],[رمز شريك الأعمال]],'SAP Customer Data'!B:B,0),CELL("col",Table_Customer_Data[[#Headers],[CreateDate]]))</f>
        <v>44958</v>
      </c>
      <c r="AU298" s="37"/>
      <c r="AV298" s="41"/>
      <c r="AW298" s="37" t="s">
        <v>2097</v>
      </c>
      <c r="AX298" s="37"/>
    </row>
    <row r="299" spans="1:50" x14ac:dyDescent="0.25">
      <c r="A299" s="36" t="str" cm="1">
        <f t="array" aca="1" ref="A299" ca="1">INDEX('SAP Customer Data'!$A:$AC,MATCH(بيانات_العملاء[[#This Row],[رمز شريك الأعمال]],'SAP Customer Data'!$B:$B,0),CELL("col",Table_Customer_Data[[#Headers],[GroupName]]))</f>
        <v>CS05</v>
      </c>
      <c r="B299" s="35" t="s">
        <v>129</v>
      </c>
      <c r="C299" s="37" t="str" cm="1">
        <f t="array" aca="1" ref="C299" ca="1">INDEX('SAP Customer Data'!$A:$AC,MATCH(بيانات_العملاء[[#This Row],[رمز شريك الأعمال]],'SAP Customer Data'!$B:$B,0),CELL("col",Table_Customer_Data[[#Headers],[CardName]]))</f>
        <v>مؤسسة الكهرباء الامنة التجاريه</v>
      </c>
      <c r="D299" s="37" t="str">
        <f ca="1">IF(بيانات_العملاء[[#This Row],[حد الائتمان على SAP]]&gt;0,"آجل","نقدى")</f>
        <v>آجل</v>
      </c>
      <c r="E299" s="37"/>
      <c r="F299" s="37" t="s">
        <v>1082</v>
      </c>
      <c r="G299" s="37" t="s">
        <v>854</v>
      </c>
      <c r="H29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299" s="37" t="s">
        <v>856</v>
      </c>
      <c r="J299" s="38"/>
      <c r="K299" s="37"/>
      <c r="L299" s="37" t="str">
        <f ca="1">IF(AND(بيانات_العملاء[[#This Row],[السجل التجارى]]="موجود",TODAY()+'Other Data'!$B$23&lt;J299,بيانات_العملاء[[#This Row],[مطابقة اسم العميل بالاسم بالسجل التجارى]]="مطابق"), "سارى", "يجب اعادة طلبه")</f>
        <v>يجب اعادة طلبه</v>
      </c>
      <c r="M299" s="37" t="s">
        <v>856</v>
      </c>
      <c r="N299" s="39" t="str" cm="1">
        <f t="array" aca="1" ref="N299" ca="1">INDEX('SAP Customer Data'!$A:$AC,MATCH(بيانات_العملاء[[#This Row],[رمز شريك الأعمال]],'SAP Customer Data'!$B:$B,0),CELL("col",Table_Customer_Data[[#Headers],[LicTradNum]]))</f>
        <v>300891682900003</v>
      </c>
      <c r="O29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299" s="37" t="s">
        <v>856</v>
      </c>
      <c r="Q299" s="38"/>
      <c r="R29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299" s="37" t="s">
        <v>854</v>
      </c>
      <c r="T299" s="40">
        <v>50000</v>
      </c>
      <c r="U299" s="41"/>
      <c r="V29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29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299" s="37" cm="1">
        <f t="array" aca="1" ref="X299" ca="1">INDEX('SAP Customer Data'!$A:$AC,MATCH(بيانات_العملاء[[#This Row],[رمز شريك الأعمال]],'SAP Customer Data'!$B:$B,0),CELL("col",Table_Customer_Data[[#Headers],[CreditLine]]))</f>
        <v>40000</v>
      </c>
      <c r="Y29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299" s="37" t="s">
        <v>859</v>
      </c>
      <c r="AA29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299" s="37" t="s">
        <v>856</v>
      </c>
      <c r="AC299" s="44"/>
      <c r="AD29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299" s="37" t="s">
        <v>856</v>
      </c>
      <c r="AF299" s="37"/>
      <c r="AG29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299" s="37" t="s">
        <v>856</v>
      </c>
      <c r="AI299" s="37"/>
      <c r="AJ29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299" s="37"/>
      <c r="AL299" s="38"/>
      <c r="AM29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299" s="37" t="s">
        <v>856</v>
      </c>
      <c r="AO299" s="41"/>
      <c r="AP29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299" s="37" t="s">
        <v>856</v>
      </c>
      <c r="AR299" s="37"/>
      <c r="AS29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299" s="41" cm="1">
        <f t="array" aca="1" ref="AT299" ca="1">INDEX('SAP Customer Data'!A:Z,MATCH(بيانات_العملاء[[#This Row],[رمز شريك الأعمال]],'SAP Customer Data'!B:B,0),CELL("col",Table_Customer_Data[[#Headers],[CreateDate]]))</f>
        <v>44571</v>
      </c>
      <c r="AU299" s="37"/>
      <c r="AV299" s="41"/>
      <c r="AW299" s="37" t="s">
        <v>2097</v>
      </c>
      <c r="AX299" s="37"/>
    </row>
    <row r="300" spans="1:50" x14ac:dyDescent="0.25">
      <c r="A300" s="36" t="str" cm="1">
        <f t="array" aca="1" ref="A300" ca="1">INDEX('SAP Customer Data'!$A:$AC,MATCH(بيانات_العملاء[[#This Row],[رمز شريك الأعمال]],'SAP Customer Data'!$B:$B,0),CELL("col",Table_Customer_Data[[#Headers],[GroupName]]))</f>
        <v>CS05</v>
      </c>
      <c r="B300" s="35" t="s">
        <v>113</v>
      </c>
      <c r="C300" s="37" t="str" cm="1">
        <f t="array" aca="1" ref="C300" ca="1">INDEX('SAP Customer Data'!$A:$AC,MATCH(بيانات_العملاء[[#This Row],[رمز شريك الأعمال]],'SAP Customer Data'!$B:$B,0),CELL("col",Table_Customer_Data[[#Headers],[CardName]]))</f>
        <v>مؤسسة انارة المشكاة للتجارة</v>
      </c>
      <c r="D300" s="37" t="str">
        <f ca="1">IF(بيانات_العملاء[[#This Row],[حد الائتمان على SAP]]&gt;0,"آجل","نقدى")</f>
        <v>آجل</v>
      </c>
      <c r="E300" s="37"/>
      <c r="F300" s="37" t="s">
        <v>1082</v>
      </c>
      <c r="G300" s="37" t="s">
        <v>854</v>
      </c>
      <c r="H30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00" s="37" t="s">
        <v>856</v>
      </c>
      <c r="J300" s="38"/>
      <c r="K300" s="37"/>
      <c r="L300" s="37" t="str">
        <f ca="1">IF(AND(بيانات_العملاء[[#This Row],[السجل التجارى]]="موجود",TODAY()+'Other Data'!$B$23&lt;J300,بيانات_العملاء[[#This Row],[مطابقة اسم العميل بالاسم بالسجل التجارى]]="مطابق"), "سارى", "يجب اعادة طلبه")</f>
        <v>يجب اعادة طلبه</v>
      </c>
      <c r="M300" s="37" t="s">
        <v>856</v>
      </c>
      <c r="N300" s="39" t="str" cm="1">
        <f t="array" aca="1" ref="N300" ca="1">INDEX('SAP Customer Data'!$A:$AC,MATCH(بيانات_العملاء[[#This Row],[رمز شريك الأعمال]],'SAP Customer Data'!$B:$B,0),CELL("col",Table_Customer_Data[[#Headers],[LicTradNum]]))</f>
        <v>300998875600003</v>
      </c>
      <c r="O30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00" s="37" t="s">
        <v>856</v>
      </c>
      <c r="Q300" s="38"/>
      <c r="R30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0" s="37" t="s">
        <v>854</v>
      </c>
      <c r="T300" s="40">
        <v>100000</v>
      </c>
      <c r="U300" s="41"/>
      <c r="V30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300" s="37" cm="1">
        <f t="array" aca="1" ref="X300" ca="1">INDEX('SAP Customer Data'!$A:$AC,MATCH(بيانات_العملاء[[#This Row],[رمز شريك الأعمال]],'SAP Customer Data'!$B:$B,0),CELL("col",Table_Customer_Data[[#Headers],[CreditLine]]))</f>
        <v>40000</v>
      </c>
      <c r="Y30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300" s="37" t="s">
        <v>859</v>
      </c>
      <c r="AA30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00" s="37" t="s">
        <v>856</v>
      </c>
      <c r="AC300" s="44"/>
      <c r="AD30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0" s="37" t="s">
        <v>856</v>
      </c>
      <c r="AF300" s="37"/>
      <c r="AG30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0" s="37" t="s">
        <v>856</v>
      </c>
      <c r="AI300" s="37"/>
      <c r="AJ30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0" s="37" t="s">
        <v>856</v>
      </c>
      <c r="AL300" s="38"/>
      <c r="AM30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0" s="37" t="s">
        <v>856</v>
      </c>
      <c r="AO300" s="41"/>
      <c r="AP30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0" s="37" t="s">
        <v>856</v>
      </c>
      <c r="AR300" s="37"/>
      <c r="AS30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0" s="41" cm="1">
        <f t="array" aca="1" ref="AT300" ca="1">INDEX('SAP Customer Data'!A:Z,MATCH(بيانات_العملاء[[#This Row],[رمز شريك الأعمال]],'SAP Customer Data'!B:B,0),CELL("col",Table_Customer_Data[[#Headers],[CreateDate]]))</f>
        <v>44548</v>
      </c>
      <c r="AU300" s="37"/>
      <c r="AV300" s="41"/>
      <c r="AW300" s="37" t="s">
        <v>2097</v>
      </c>
      <c r="AX300" s="37"/>
    </row>
    <row r="301" spans="1:50" x14ac:dyDescent="0.25">
      <c r="A301" s="36" t="str" cm="1">
        <f t="array" aca="1" ref="A301" ca="1">INDEX('SAP Customer Data'!$A:$AC,MATCH(بيانات_العملاء[[#This Row],[رمز شريك الأعمال]],'SAP Customer Data'!$B:$B,0),CELL("col",Table_Customer_Data[[#Headers],[GroupName]]))</f>
        <v>CS05</v>
      </c>
      <c r="B301" s="35" t="s">
        <v>11</v>
      </c>
      <c r="C301" s="37" t="str" cm="1">
        <f t="array" aca="1" ref="C301" ca="1">INDEX('SAP Customer Data'!$A:$AC,MATCH(بيانات_العملاء[[#This Row],[رمز شريك الأعمال]],'SAP Customer Data'!$B:$B,0),CELL("col",Table_Customer_Data[[#Headers],[CardName]]))</f>
        <v>مؤسسة الانارة الجديدة التجارية</v>
      </c>
      <c r="D301" s="37" t="str">
        <f ca="1">IF(بيانات_العملاء[[#This Row],[حد الائتمان على SAP]]&gt;0,"آجل","نقدى")</f>
        <v>آجل</v>
      </c>
      <c r="E301" s="37" t="s">
        <v>2047</v>
      </c>
      <c r="F301" s="37" t="s">
        <v>1081</v>
      </c>
      <c r="G301" s="37" t="s">
        <v>854</v>
      </c>
      <c r="H30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01" s="37" t="s">
        <v>854</v>
      </c>
      <c r="J301" s="38">
        <v>44670</v>
      </c>
      <c r="K301" s="37" t="s">
        <v>855</v>
      </c>
      <c r="L301" s="37" t="str">
        <f ca="1">IF(AND(بيانات_العملاء[[#This Row],[السجل التجارى]]="موجود",TODAY()+'Other Data'!$B$23&lt;J301,بيانات_العملاء[[#This Row],[مطابقة اسم العميل بالاسم بالسجل التجارى]]="مطابق"), "سارى", "يجب اعادة طلبه")</f>
        <v>يجب اعادة طلبه</v>
      </c>
      <c r="M301" s="37" t="s">
        <v>854</v>
      </c>
      <c r="N301" s="39" t="str" cm="1">
        <f t="array" aca="1" ref="N301" ca="1">INDEX('SAP Customer Data'!$A:$AC,MATCH(بيانات_العملاء[[#This Row],[رمز شريك الأعمال]],'SAP Customer Data'!$B:$B,0),CELL("col",Table_Customer_Data[[#Headers],[LicTradNum]]))</f>
        <v>301048174800003</v>
      </c>
      <c r="O30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01" s="37" t="s">
        <v>856</v>
      </c>
      <c r="Q301" s="38"/>
      <c r="R30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1" s="37" t="s">
        <v>854</v>
      </c>
      <c r="T301" s="40">
        <v>50000</v>
      </c>
      <c r="U301" s="41">
        <v>44195</v>
      </c>
      <c r="V301" s="41">
        <f>IF(بيانات_العملاء[[#This Row],[تاريخ انشاء سند الامر او الاستثناء]]="",0,بيانات_العملاء[[#This Row],[تاريخ انشاء سند الامر او الاستثناء]]+365*3)</f>
        <v>45290</v>
      </c>
      <c r="W30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301" s="37" cm="1">
        <f t="array" aca="1" ref="X301" ca="1">INDEX('SAP Customer Data'!$A:$AC,MATCH(بيانات_العملاء[[#This Row],[رمز شريك الأعمال]],'SAP Customer Data'!$B:$B,0),CELL("col",Table_Customer_Data[[#Headers],[CreditLine]]))</f>
        <v>40000</v>
      </c>
      <c r="Y30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1" s="37" t="s">
        <v>855</v>
      </c>
      <c r="AA30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01" s="37" t="s">
        <v>854</v>
      </c>
      <c r="AC301" s="44">
        <v>45612</v>
      </c>
      <c r="AD30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301" s="37" t="s">
        <v>856</v>
      </c>
      <c r="AF301" s="37"/>
      <c r="AG30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1" s="37" t="s">
        <v>856</v>
      </c>
      <c r="AI301" s="37"/>
      <c r="AJ30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1" s="37" t="s">
        <v>856</v>
      </c>
      <c r="AL301" s="38"/>
      <c r="AM30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1" s="37" t="s">
        <v>856</v>
      </c>
      <c r="AO301" s="41"/>
      <c r="AP30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1" s="37" t="s">
        <v>856</v>
      </c>
      <c r="AR301" s="37"/>
      <c r="AS30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1" s="41" cm="1">
        <f t="array" aca="1" ref="AT301" ca="1">INDEX('SAP Customer Data'!A:Z,MATCH(بيانات_العملاء[[#This Row],[رمز شريك الأعمال]],'SAP Customer Data'!B:B,0),CELL("col",Table_Customer_Data[[#Headers],[CreateDate]]))</f>
        <v>44205</v>
      </c>
      <c r="AU301" s="37"/>
      <c r="AV301" s="41"/>
      <c r="AW301" s="37" t="s">
        <v>2097</v>
      </c>
      <c r="AX301" s="37"/>
    </row>
    <row r="302" spans="1:50" x14ac:dyDescent="0.25">
      <c r="A302" s="36" t="str" cm="1">
        <f t="array" aca="1" ref="A302" ca="1">INDEX('SAP Customer Data'!$A:$AC,MATCH(بيانات_العملاء[[#This Row],[رمز شريك الأعمال]],'SAP Customer Data'!$B:$B,0),CELL("col",Table_Customer_Data[[#Headers],[GroupName]]))</f>
        <v>CS05</v>
      </c>
      <c r="B302" s="35" t="s">
        <v>742</v>
      </c>
      <c r="C302" s="37" t="str" cm="1">
        <f t="array" aca="1" ref="C302" ca="1">INDEX('SAP Customer Data'!$A:$AC,MATCH(بيانات_العملاء[[#This Row],[رمز شريك الأعمال]],'SAP Customer Data'!$B:$B,0),CELL("col",Table_Customer_Data[[#Headers],[CardName]]))</f>
        <v>مؤسسة الفناء للكهرباء - نقدى</v>
      </c>
      <c r="D302" s="37" t="str">
        <f ca="1">IF(بيانات_العملاء[[#This Row],[حد الائتمان على SAP]]&gt;0,"آجل","نقدى")</f>
        <v>نقدى</v>
      </c>
      <c r="E302" s="37" t="s">
        <v>1053</v>
      </c>
      <c r="F302" s="37" t="s">
        <v>1081</v>
      </c>
      <c r="G302" s="37" t="s">
        <v>856</v>
      </c>
      <c r="H30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02" s="37" t="s">
        <v>854</v>
      </c>
      <c r="J302" s="38">
        <v>44967</v>
      </c>
      <c r="K302" s="37" t="s">
        <v>855</v>
      </c>
      <c r="L302" s="37" t="str">
        <f ca="1">IF(AND(بيانات_العملاء[[#This Row],[السجل التجارى]]="موجود",TODAY()+'Other Data'!$B$23&lt;J302,بيانات_العملاء[[#This Row],[مطابقة اسم العميل بالاسم بالسجل التجارى]]="مطابق"), "سارى", "يجب اعادة طلبه")</f>
        <v>يجب اعادة طلبه</v>
      </c>
      <c r="M302" s="37" t="s">
        <v>854</v>
      </c>
      <c r="N302" s="39" t="str" cm="1">
        <f t="array" aca="1" ref="N302" ca="1">INDEX('SAP Customer Data'!$A:$AC,MATCH(بيانات_العملاء[[#This Row],[رمز شريك الأعمال]],'SAP Customer Data'!$B:$B,0),CELL("col",Table_Customer_Data[[#Headers],[LicTradNum]]))</f>
        <v>301098959500003</v>
      </c>
      <c r="O30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02" s="37" t="s">
        <v>856</v>
      </c>
      <c r="Q302" s="38"/>
      <c r="R30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2" s="37" t="s">
        <v>1080</v>
      </c>
      <c r="T302" s="40"/>
      <c r="U302" s="41"/>
      <c r="V30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02" s="37" cm="1">
        <f t="array" aca="1" ref="X302" ca="1">INDEX('SAP Customer Data'!$A:$AC,MATCH(بيانات_العملاء[[#This Row],[رمز شريك الأعمال]],'SAP Customer Data'!$B:$B,0),CELL("col",Table_Customer_Data[[#Headers],[CreditLine]]))</f>
        <v>0</v>
      </c>
      <c r="Y30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2" s="37"/>
      <c r="AA30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02" s="37" t="s">
        <v>854</v>
      </c>
      <c r="AC302" s="44">
        <v>44942</v>
      </c>
      <c r="AD30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2" s="37" t="s">
        <v>856</v>
      </c>
      <c r="AF302" s="37"/>
      <c r="AG30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2" s="37"/>
      <c r="AI302" s="37"/>
      <c r="AJ30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2" s="37"/>
      <c r="AL302" s="38"/>
      <c r="AM30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2" s="37" t="s">
        <v>856</v>
      </c>
      <c r="AO302" s="41"/>
      <c r="AP30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2" s="37" t="s">
        <v>856</v>
      </c>
      <c r="AR302" s="37"/>
      <c r="AS30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2" s="41" cm="1">
        <f t="array" aca="1" ref="AT302" ca="1">INDEX('SAP Customer Data'!A:Z,MATCH(بيانات_العملاء[[#This Row],[رمز شريك الأعمال]],'SAP Customer Data'!B:B,0),CELL("col",Table_Customer_Data[[#Headers],[CreateDate]]))</f>
        <v>44900</v>
      </c>
      <c r="AU302" s="37"/>
      <c r="AV302" s="41"/>
      <c r="AW302" s="37" t="s">
        <v>2097</v>
      </c>
      <c r="AX302" s="37"/>
    </row>
    <row r="303" spans="1:50" x14ac:dyDescent="0.25">
      <c r="A303" s="36" t="str" cm="1">
        <f t="array" aca="1" ref="A303" ca="1">INDEX('SAP Customer Data'!$A:$AC,MATCH(بيانات_العملاء[[#This Row],[رمز شريك الأعمال]],'SAP Customer Data'!$B:$B,0),CELL("col",Table_Customer_Data[[#Headers],[GroupName]]))</f>
        <v>CS05</v>
      </c>
      <c r="B303" s="42" t="s">
        <v>104</v>
      </c>
      <c r="C303" s="37" t="str" cm="1">
        <f t="array" aca="1" ref="C303" ca="1">INDEX('SAP Customer Data'!$A:$AC,MATCH(بيانات_العملاء[[#This Row],[رمز شريك الأعمال]],'SAP Customer Data'!$B:$B,0),CELL("col",Table_Customer_Data[[#Headers],[CardName]]))</f>
        <v>مؤسسة مبارك عبدالله فهاد الدوسري التجارية - نقدي</v>
      </c>
      <c r="D303" s="37" t="str">
        <f ca="1">IF(بيانات_العملاء[[#This Row],[حد الائتمان على SAP]]&gt;0,"آجل","نقدى")</f>
        <v>نقدى</v>
      </c>
      <c r="E303" s="37"/>
      <c r="F303" s="37" t="s">
        <v>1082</v>
      </c>
      <c r="G303" s="37"/>
      <c r="H30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03" s="37" t="s">
        <v>856</v>
      </c>
      <c r="J303" s="38"/>
      <c r="K303" s="37"/>
      <c r="L303" s="37" t="str">
        <f ca="1">IF(AND(بيانات_العملاء[[#This Row],[السجل التجارى]]="موجود",TODAY()+'Other Data'!$B$23&lt;J303,بيانات_العملاء[[#This Row],[مطابقة اسم العميل بالاسم بالسجل التجارى]]="مطابق"), "سارى", "يجب اعادة طلبه")</f>
        <v>يجب اعادة طلبه</v>
      </c>
      <c r="M303" s="37" t="s">
        <v>854</v>
      </c>
      <c r="N303" s="39" t="str" cm="1">
        <f t="array" aca="1" ref="N303" ca="1">INDEX('SAP Customer Data'!$A:$AC,MATCH(بيانات_العملاء[[#This Row],[رمز شريك الأعمال]],'SAP Customer Data'!$B:$B,0),CELL("col",Table_Customer_Data[[#Headers],[LicTradNum]]))</f>
        <v>301239573700003</v>
      </c>
      <c r="O30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03" s="37"/>
      <c r="Q303" s="38"/>
      <c r="R30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3" s="37" t="s">
        <v>1080</v>
      </c>
      <c r="T303" s="40"/>
      <c r="U303" s="41"/>
      <c r="V30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03" s="37" cm="1">
        <f t="array" aca="1" ref="X303" ca="1">INDEX('SAP Customer Data'!$A:$AC,MATCH(بيانات_العملاء[[#This Row],[رمز شريك الأعمال]],'SAP Customer Data'!$B:$B,0),CELL("col",Table_Customer_Data[[#Headers],[CreditLine]]))</f>
        <v>0</v>
      </c>
      <c r="Y30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3" s="37"/>
      <c r="AA30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03" s="37"/>
      <c r="AC303" s="37"/>
      <c r="AD30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3" s="37"/>
      <c r="AF303" s="37"/>
      <c r="AG30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3" s="37"/>
      <c r="AI303" s="37"/>
      <c r="AJ30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3" s="37"/>
      <c r="AL303" s="38"/>
      <c r="AM30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3" s="37"/>
      <c r="AO303" s="41"/>
      <c r="AP30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3" s="37"/>
      <c r="AR303" s="37"/>
      <c r="AS30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3" s="41" cm="1">
        <f t="array" aca="1" ref="AT303" ca="1">INDEX('SAP Customer Data'!A:Z,MATCH(بيانات_العملاء[[#This Row],[رمز شريك الأعمال]],'SAP Customer Data'!B:B,0),CELL("col",Table_Customer_Data[[#Headers],[CreateDate]]))</f>
        <v>44545</v>
      </c>
      <c r="AU303" s="37"/>
      <c r="AV303" s="41"/>
      <c r="AW303" s="37" t="s">
        <v>2097</v>
      </c>
      <c r="AX303" s="37"/>
    </row>
    <row r="304" spans="1:50" x14ac:dyDescent="0.25">
      <c r="A304" s="36" t="str" cm="1">
        <f t="array" aca="1" ref="A304" ca="1">INDEX('SAP Customer Data'!$A:$AC,MATCH(بيانات_العملاء[[#This Row],[رمز شريك الأعمال]],'SAP Customer Data'!$B:$B,0),CELL("col",Table_Customer_Data[[#Headers],[GroupName]]))</f>
        <v>CS05</v>
      </c>
      <c r="B304" s="35" t="s">
        <v>175</v>
      </c>
      <c r="C304" s="37" t="str" cm="1">
        <f t="array" aca="1" ref="C304" ca="1">INDEX('SAP Customer Data'!$A:$AC,MATCH(بيانات_العملاء[[#This Row],[رمز شريك الأعمال]],'SAP Customer Data'!$B:$B,0),CELL("col",Table_Customer_Data[[#Headers],[CardName]]))</f>
        <v>مؤسسة اقطاب العاصمة التجارية -نقدي</v>
      </c>
      <c r="D304" s="37" t="str">
        <f ca="1">IF(بيانات_العملاء[[#This Row],[حد الائتمان على SAP]]&gt;0,"آجل","نقدى")</f>
        <v>نقدى</v>
      </c>
      <c r="E304" s="37" t="s">
        <v>2075</v>
      </c>
      <c r="F304" s="37" t="s">
        <v>1081</v>
      </c>
      <c r="G304" s="37" t="s">
        <v>856</v>
      </c>
      <c r="H30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04" s="37" t="s">
        <v>854</v>
      </c>
      <c r="J304" s="38">
        <v>45085</v>
      </c>
      <c r="K304" s="37" t="s">
        <v>855</v>
      </c>
      <c r="L304" s="37" t="str">
        <f ca="1">IF(AND(بيانات_العملاء[[#This Row],[السجل التجارى]]="موجود",TODAY()+'Other Data'!$B$23&lt;J304,بيانات_العملاء[[#This Row],[مطابقة اسم العميل بالاسم بالسجل التجارى]]="مطابق"), "سارى", "يجب اعادة طلبه")</f>
        <v>يجب اعادة طلبه</v>
      </c>
      <c r="M304" s="37" t="s">
        <v>854</v>
      </c>
      <c r="N304" s="39" t="str" cm="1">
        <f t="array" aca="1" ref="N304" ca="1">INDEX('SAP Customer Data'!$A:$AC,MATCH(بيانات_العملاء[[#This Row],[رمز شريك الأعمال]],'SAP Customer Data'!$B:$B,0),CELL("col",Table_Customer_Data[[#Headers],[LicTradNum]]))</f>
        <v>301270764700003</v>
      </c>
      <c r="O30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04" s="37" t="s">
        <v>856</v>
      </c>
      <c r="Q304" s="38"/>
      <c r="R30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4" s="37" t="s">
        <v>1080</v>
      </c>
      <c r="T304" s="40"/>
      <c r="U304" s="41"/>
      <c r="V30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04" s="37" cm="1">
        <f t="array" aca="1" ref="X304" ca="1">INDEX('SAP Customer Data'!$A:$AC,MATCH(بيانات_العملاء[[#This Row],[رمز شريك الأعمال]],'SAP Customer Data'!$B:$B,0),CELL("col",Table_Customer_Data[[#Headers],[CreditLine]]))</f>
        <v>0</v>
      </c>
      <c r="Y30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4" s="37"/>
      <c r="AA30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04" s="37" t="s">
        <v>854</v>
      </c>
      <c r="AC304" s="44">
        <v>51212</v>
      </c>
      <c r="AD30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304" s="37" t="s">
        <v>856</v>
      </c>
      <c r="AF304" s="37"/>
      <c r="AG30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4" s="37" t="s">
        <v>856</v>
      </c>
      <c r="AI304" s="37"/>
      <c r="AJ30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4" s="37" t="s">
        <v>856</v>
      </c>
      <c r="AL304" s="38"/>
      <c r="AM30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4" s="37" t="s">
        <v>856</v>
      </c>
      <c r="AO304" s="41"/>
      <c r="AP30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4" s="37" t="s">
        <v>856</v>
      </c>
      <c r="AR304" s="37"/>
      <c r="AS30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4" s="41" cm="1">
        <f t="array" aca="1" ref="AT304" ca="1">INDEX('SAP Customer Data'!A:Z,MATCH(بيانات_العملاء[[#This Row],[رمز شريك الأعمال]],'SAP Customer Data'!B:B,0),CELL("col",Table_Customer_Data[[#Headers],[CreateDate]]))</f>
        <v>44793</v>
      </c>
      <c r="AU304" s="37"/>
      <c r="AV304" s="41"/>
      <c r="AW304" s="37" t="s">
        <v>2097</v>
      </c>
      <c r="AX304" s="37"/>
    </row>
    <row r="305" spans="1:50" x14ac:dyDescent="0.25">
      <c r="A305" s="36" t="str" cm="1">
        <f t="array" aca="1" ref="A305" ca="1">INDEX('SAP Customer Data'!$A:$AC,MATCH(بيانات_العملاء[[#This Row],[رمز شريك الأعمال]],'SAP Customer Data'!$B:$B,0),CELL("col",Table_Customer_Data[[#Headers],[GroupName]]))</f>
        <v>CS05</v>
      </c>
      <c r="B305" s="35" t="s">
        <v>76</v>
      </c>
      <c r="C305" s="37" t="str" cm="1">
        <f t="array" aca="1" ref="C305" ca="1">INDEX('SAP Customer Data'!$A:$AC,MATCH(بيانات_العملاء[[#This Row],[رمز شريك الأعمال]],'SAP Customer Data'!$B:$B,0),CELL("col",Table_Customer_Data[[#Headers],[CardName]]))</f>
        <v>مؤسسة الليالي المضيئة للأجهزة المنزلية</v>
      </c>
      <c r="D305" s="37" t="str">
        <f ca="1">IF(بيانات_العملاء[[#This Row],[حد الائتمان على SAP]]&gt;0,"آجل","نقدى")</f>
        <v>آجل</v>
      </c>
      <c r="E305" s="37" t="s">
        <v>2078</v>
      </c>
      <c r="F305" s="37" t="s">
        <v>1081</v>
      </c>
      <c r="G305" s="37" t="s">
        <v>854</v>
      </c>
      <c r="H30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05" s="37" t="s">
        <v>854</v>
      </c>
      <c r="J305" s="38">
        <v>45159</v>
      </c>
      <c r="K305" s="37" t="s">
        <v>855</v>
      </c>
      <c r="L305" s="37" t="str">
        <f ca="1">IF(AND(بيانات_العملاء[[#This Row],[السجل التجارى]]="موجود",TODAY()+'Other Data'!$B$23&lt;J305,بيانات_العملاء[[#This Row],[مطابقة اسم العميل بالاسم بالسجل التجارى]]="مطابق"), "سارى", "يجب اعادة طلبه")</f>
        <v>يجب اعادة طلبه</v>
      </c>
      <c r="M305" s="37" t="s">
        <v>854</v>
      </c>
      <c r="N305" s="39" t="str" cm="1">
        <f t="array" aca="1" ref="N305" ca="1">INDEX('SAP Customer Data'!$A:$AC,MATCH(بيانات_العملاء[[#This Row],[رمز شريك الأعمال]],'SAP Customer Data'!$B:$B,0),CELL("col",Table_Customer_Data[[#Headers],[LicTradNum]]))</f>
        <v>301314721900003</v>
      </c>
      <c r="O30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05" s="37" t="s">
        <v>854</v>
      </c>
      <c r="Q305" s="38">
        <v>45434</v>
      </c>
      <c r="R30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305" s="37" t="s">
        <v>854</v>
      </c>
      <c r="T305" s="40">
        <v>10000</v>
      </c>
      <c r="U305" s="41">
        <v>45273</v>
      </c>
      <c r="V305" s="41">
        <f>IF(بيانات_العملاء[[#This Row],[تاريخ انشاء سند الامر او الاستثناء]]="",0,بيانات_العملاء[[#This Row],[تاريخ انشاء سند الامر او الاستثناء]]+365*3)</f>
        <v>46368</v>
      </c>
      <c r="W30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</v>
      </c>
      <c r="X305" s="37" cm="1">
        <f t="array" aca="1" ref="X305" ca="1">INDEX('SAP Customer Data'!$A:$AC,MATCH(بيانات_العملاء[[#This Row],[رمز شريك الأعمال]],'SAP Customer Data'!$B:$B,0),CELL("col",Table_Customer_Data[[#Headers],[CreditLine]]))</f>
        <v>8000</v>
      </c>
      <c r="Y30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5" s="37" t="s">
        <v>855</v>
      </c>
      <c r="AA30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05" s="37" t="s">
        <v>856</v>
      </c>
      <c r="AC305" s="44"/>
      <c r="AD30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5" s="37" t="s">
        <v>856</v>
      </c>
      <c r="AF305" s="37"/>
      <c r="AG30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5" s="37" t="s">
        <v>856</v>
      </c>
      <c r="AI305" s="37"/>
      <c r="AJ30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5" s="37" t="s">
        <v>856</v>
      </c>
      <c r="AL305" s="38"/>
      <c r="AM30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5" s="37" t="s">
        <v>856</v>
      </c>
      <c r="AO305" s="41"/>
      <c r="AP30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5" s="37" t="s">
        <v>856</v>
      </c>
      <c r="AR305" s="37"/>
      <c r="AS30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5" s="41" cm="1">
        <f t="array" aca="1" ref="AT305" ca="1">INDEX('SAP Customer Data'!A:Z,MATCH(بيانات_العملاء[[#This Row],[رمز شريك الأعمال]],'SAP Customer Data'!B:B,0),CELL("col",Table_Customer_Data[[#Headers],[CreateDate]]))</f>
        <v>44475</v>
      </c>
      <c r="AU305" s="76" t="s">
        <v>2305</v>
      </c>
      <c r="AV305" s="41"/>
      <c r="AW305" s="37" t="s">
        <v>2097</v>
      </c>
      <c r="AX305" s="37"/>
    </row>
    <row r="306" spans="1:50" x14ac:dyDescent="0.25">
      <c r="A306" s="36" t="str" cm="1">
        <f t="array" aca="1" ref="A306" ca="1">INDEX('SAP Customer Data'!$A:$AC,MATCH(بيانات_العملاء[[#This Row],[رمز شريك الأعمال]],'SAP Customer Data'!$B:$B,0),CELL("col",Table_Customer_Data[[#Headers],[GroupName]]))</f>
        <v>CS05</v>
      </c>
      <c r="B306" s="35" t="s">
        <v>79</v>
      </c>
      <c r="C306" s="37" t="str" cm="1">
        <f t="array" aca="1" ref="C306" ca="1">INDEX('SAP Customer Data'!$A:$AC,MATCH(بيانات_العملاء[[#This Row],[رمز شريك الأعمال]],'SAP Customer Data'!$B:$B,0),CELL("col",Table_Customer_Data[[#Headers],[CardName]]))</f>
        <v>مؤسسة معالم الاصدار للمقاولات</v>
      </c>
      <c r="D306" s="37" t="str">
        <f ca="1">IF(بيانات_العملاء[[#This Row],[حد الائتمان على SAP]]&gt;0,"آجل","نقدى")</f>
        <v>آجل</v>
      </c>
      <c r="E306" s="37"/>
      <c r="F306" s="37" t="s">
        <v>1082</v>
      </c>
      <c r="G306" s="37" t="s">
        <v>854</v>
      </c>
      <c r="H30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06" s="37" t="s">
        <v>856</v>
      </c>
      <c r="J306" s="38"/>
      <c r="K306" s="37"/>
      <c r="L306" s="37" t="str">
        <f ca="1">IF(AND(بيانات_العملاء[[#This Row],[السجل التجارى]]="موجود",TODAY()+'Other Data'!$B$23&lt;J306,بيانات_العملاء[[#This Row],[مطابقة اسم العميل بالاسم بالسجل التجارى]]="مطابق"), "سارى", "يجب اعادة طلبه")</f>
        <v>يجب اعادة طلبه</v>
      </c>
      <c r="M306" s="37" t="s">
        <v>856</v>
      </c>
      <c r="N306" s="39" t="str" cm="1">
        <f t="array" aca="1" ref="N306" ca="1">INDEX('SAP Customer Data'!$A:$AC,MATCH(بيانات_العملاء[[#This Row],[رمز شريك الأعمال]],'SAP Customer Data'!$B:$B,0),CELL("col",Table_Customer_Data[[#Headers],[LicTradNum]]))</f>
        <v>302027334300003</v>
      </c>
      <c r="O30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06" s="37" t="s">
        <v>856</v>
      </c>
      <c r="Q306" s="38"/>
      <c r="R30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6" s="37" t="s">
        <v>854</v>
      </c>
      <c r="T306" s="40">
        <v>20000</v>
      </c>
      <c r="U306" s="41"/>
      <c r="V30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306" s="37" cm="1">
        <f t="array" aca="1" ref="X306" ca="1">INDEX('SAP Customer Data'!$A:$AC,MATCH(بيانات_العملاء[[#This Row],[رمز شريك الأعمال]],'SAP Customer Data'!$B:$B,0),CELL("col",Table_Customer_Data[[#Headers],[CreditLine]]))</f>
        <v>16000</v>
      </c>
      <c r="Y30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6" s="37" t="s">
        <v>859</v>
      </c>
      <c r="AA30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06" s="37" t="s">
        <v>856</v>
      </c>
      <c r="AC306" s="44"/>
      <c r="AD30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6" s="37" t="s">
        <v>856</v>
      </c>
      <c r="AF306" s="37"/>
      <c r="AG30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6" s="37" t="s">
        <v>856</v>
      </c>
      <c r="AI306" s="37"/>
      <c r="AJ30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6" s="37" t="s">
        <v>856</v>
      </c>
      <c r="AL306" s="38"/>
      <c r="AM30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6" s="37" t="s">
        <v>856</v>
      </c>
      <c r="AO306" s="41"/>
      <c r="AP30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6" s="37" t="s">
        <v>856</v>
      </c>
      <c r="AR306" s="37"/>
      <c r="AS30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6" s="41" cm="1">
        <f t="array" aca="1" ref="AT306" ca="1">INDEX('SAP Customer Data'!A:Z,MATCH(بيانات_العملاء[[#This Row],[رمز شريك الأعمال]],'SAP Customer Data'!B:B,0),CELL("col",Table_Customer_Data[[#Headers],[CreateDate]]))</f>
        <v>44489</v>
      </c>
      <c r="AU306" s="37"/>
      <c r="AV306" s="41"/>
      <c r="AW306" s="37" t="s">
        <v>2097</v>
      </c>
      <c r="AX306" s="37"/>
    </row>
    <row r="307" spans="1:50" x14ac:dyDescent="0.25">
      <c r="A307" s="36" t="str" cm="1">
        <f t="array" aca="1" ref="A307" ca="1">INDEX('SAP Customer Data'!$A:$AC,MATCH(بيانات_العملاء[[#This Row],[رمز شريك الأعمال]],'SAP Customer Data'!$B:$B,0),CELL("col",Table_Customer_Data[[#Headers],[GroupName]]))</f>
        <v>CS05</v>
      </c>
      <c r="B307" s="35" t="s">
        <v>54</v>
      </c>
      <c r="C307" s="37" t="str" cm="1">
        <f t="array" aca="1" ref="C307" ca="1">INDEX('SAP Customer Data'!$A:$AC,MATCH(بيانات_العملاء[[#This Row],[رمز شريك الأعمال]],'SAP Customer Data'!$B:$B,0),CELL("col",Table_Customer_Data[[#Headers],[CardName]]))</f>
        <v>مؤسسة عبدالعزيز عبدالله عمر التجارية</v>
      </c>
      <c r="D307" s="37" t="str">
        <f ca="1">IF(بيانات_العملاء[[#This Row],[حد الائتمان على SAP]]&gt;0,"آجل","نقدى")</f>
        <v>آجل</v>
      </c>
      <c r="E307" s="37" t="s">
        <v>2077</v>
      </c>
      <c r="F307" s="37" t="s">
        <v>1081</v>
      </c>
      <c r="G307" s="37" t="s">
        <v>854</v>
      </c>
      <c r="H30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07" s="37" t="s">
        <v>854</v>
      </c>
      <c r="J307" s="38">
        <v>44722</v>
      </c>
      <c r="K307" s="37" t="s">
        <v>855</v>
      </c>
      <c r="L307" s="37" t="str">
        <f ca="1">IF(AND(بيانات_العملاء[[#This Row],[السجل التجارى]]="موجود",TODAY()+'Other Data'!$B$23&lt;J307,بيانات_العملاء[[#This Row],[مطابقة اسم العميل بالاسم بالسجل التجارى]]="مطابق"), "سارى", "يجب اعادة طلبه")</f>
        <v>يجب اعادة طلبه</v>
      </c>
      <c r="M307" s="37" t="s">
        <v>856</v>
      </c>
      <c r="N307" s="39" t="str" cm="1">
        <f t="array" aca="1" ref="N307" ca="1">INDEX('SAP Customer Data'!$A:$AC,MATCH(بيانات_العملاء[[#This Row],[رمز شريك الأعمال]],'SAP Customer Data'!$B:$B,0),CELL("col",Table_Customer_Data[[#Headers],[LicTradNum]]))</f>
        <v>302038812500003</v>
      </c>
      <c r="O30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07" s="37" t="s">
        <v>856</v>
      </c>
      <c r="Q307" s="38"/>
      <c r="R30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7" s="37" t="s">
        <v>854</v>
      </c>
      <c r="T307" s="40">
        <v>10000</v>
      </c>
      <c r="U307" s="41"/>
      <c r="V30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</v>
      </c>
      <c r="X307" s="37" cm="1">
        <f t="array" aca="1" ref="X307" ca="1">INDEX('SAP Customer Data'!$A:$AC,MATCH(بيانات_العملاء[[#This Row],[رمز شريك الأعمال]],'SAP Customer Data'!$B:$B,0),CELL("col",Table_Customer_Data[[#Headers],[CreditLine]]))</f>
        <v>8000</v>
      </c>
      <c r="Y30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7" s="37" t="s">
        <v>855</v>
      </c>
      <c r="AA30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07" s="37" t="s">
        <v>856</v>
      </c>
      <c r="AC307" s="44"/>
      <c r="AD30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7" s="37" t="s">
        <v>856</v>
      </c>
      <c r="AF307" s="37"/>
      <c r="AG30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7" s="37" t="s">
        <v>856</v>
      </c>
      <c r="AI307" s="37"/>
      <c r="AJ30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7" s="37" t="s">
        <v>856</v>
      </c>
      <c r="AL307" s="38"/>
      <c r="AM30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7" s="37" t="s">
        <v>856</v>
      </c>
      <c r="AO307" s="41"/>
      <c r="AP30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7" s="37" t="s">
        <v>856</v>
      </c>
      <c r="AR307" s="37"/>
      <c r="AS30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7" s="41" cm="1">
        <f t="array" aca="1" ref="AT307" ca="1">INDEX('SAP Customer Data'!A:Z,MATCH(بيانات_العملاء[[#This Row],[رمز شريك الأعمال]],'SAP Customer Data'!B:B,0),CELL("col",Table_Customer_Data[[#Headers],[CreateDate]]))</f>
        <v>44410</v>
      </c>
      <c r="AU307" s="37"/>
      <c r="AV307" s="41"/>
      <c r="AW307" s="37" t="s">
        <v>2097</v>
      </c>
      <c r="AX307" s="37"/>
    </row>
    <row r="308" spans="1:50" x14ac:dyDescent="0.25">
      <c r="A308" s="36" t="str" cm="1">
        <f t="array" aca="1" ref="A308" ca="1">INDEX('SAP Customer Data'!$A:$AC,MATCH(بيانات_العملاء[[#This Row],[رمز شريك الأعمال]],'SAP Customer Data'!$B:$B,0),CELL("col",Table_Customer_Data[[#Headers],[GroupName]]))</f>
        <v>CS05</v>
      </c>
      <c r="B308" s="35" t="s">
        <v>33</v>
      </c>
      <c r="C308" s="37" t="str" cm="1">
        <f t="array" aca="1" ref="C308" ca="1">INDEX('SAP Customer Data'!$A:$AC,MATCH(بيانات_العملاء[[#This Row],[رمز شريك الأعمال]],'SAP Customer Data'!$B:$B,0),CELL("col",Table_Customer_Data[[#Headers],[CardName]]))</f>
        <v>مؤسسة اضواء وطن التجارية-نقدي</v>
      </c>
      <c r="D308" s="37" t="str">
        <f ca="1">IF(بيانات_العملاء[[#This Row],[حد الائتمان على SAP]]&gt;0,"آجل","نقدى")</f>
        <v>نقدى</v>
      </c>
      <c r="E308" s="37" t="s">
        <v>2051</v>
      </c>
      <c r="F308" s="37" t="s">
        <v>1081</v>
      </c>
      <c r="G308" s="37" t="s">
        <v>854</v>
      </c>
      <c r="H30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08" s="37" t="s">
        <v>854</v>
      </c>
      <c r="J308" s="38">
        <v>45822</v>
      </c>
      <c r="K308" s="37" t="s">
        <v>855</v>
      </c>
      <c r="L308" s="37" t="str">
        <f ca="1">IF(AND(بيانات_العملاء[[#This Row],[السجل التجارى]]="موجود",TODAY()+'Other Data'!$B$23&lt;J308,بيانات_العملاء[[#This Row],[مطابقة اسم العميل بالاسم بالسجل التجارى]]="مطابق"), "سارى", "يجب اعادة طلبه")</f>
        <v>سارى</v>
      </c>
      <c r="M308" s="37" t="s">
        <v>854</v>
      </c>
      <c r="N308" s="39" t="str" cm="1">
        <f t="array" aca="1" ref="N308" ca="1">INDEX('SAP Customer Data'!$A:$AC,MATCH(بيانات_العملاء[[#This Row],[رمز شريك الأعمال]],'SAP Customer Data'!$B:$B,0),CELL("col",Table_Customer_Data[[#Headers],[LicTradNum]]))</f>
        <v>302128241300003</v>
      </c>
      <c r="O30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08" s="37" t="s">
        <v>854</v>
      </c>
      <c r="Q308" s="38">
        <v>45298</v>
      </c>
      <c r="R30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308" s="37" t="s">
        <v>854</v>
      </c>
      <c r="T308" s="40">
        <v>50000</v>
      </c>
      <c r="U308" s="41"/>
      <c r="V30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308" s="37" cm="1">
        <f t="array" aca="1" ref="X308" ca="1">INDEX('SAP Customer Data'!$A:$AC,MATCH(بيانات_العملاء[[#This Row],[رمز شريك الأعمال]],'SAP Customer Data'!$B:$B,0),CELL("col",Table_Customer_Data[[#Headers],[CreditLine]]))</f>
        <v>0</v>
      </c>
      <c r="Y30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308" s="37" t="s">
        <v>855</v>
      </c>
      <c r="AA30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08" s="37" t="s">
        <v>856</v>
      </c>
      <c r="AC308" s="44"/>
      <c r="AD30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8" s="37" t="s">
        <v>856</v>
      </c>
      <c r="AF308" s="37"/>
      <c r="AG30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8" s="37" t="s">
        <v>856</v>
      </c>
      <c r="AI308" s="37"/>
      <c r="AJ30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8" s="37" t="s">
        <v>856</v>
      </c>
      <c r="AL308" s="38"/>
      <c r="AM30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8" s="37" t="s">
        <v>856</v>
      </c>
      <c r="AO308" s="41"/>
      <c r="AP30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8" s="37" t="s">
        <v>856</v>
      </c>
      <c r="AR308" s="37"/>
      <c r="AS30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8" s="41" cm="1">
        <f t="array" aca="1" ref="AT308" ca="1">INDEX('SAP Customer Data'!A:Z,MATCH(بيانات_العملاء[[#This Row],[رمز شريك الأعمال]],'SAP Customer Data'!B:B,0),CELL("col",Table_Customer_Data[[#Headers],[CreateDate]]))</f>
        <v>44258</v>
      </c>
      <c r="AU308" s="37"/>
      <c r="AV308" s="41"/>
      <c r="AW308" s="37" t="s">
        <v>2097</v>
      </c>
      <c r="AX308" s="37"/>
    </row>
    <row r="309" spans="1:50" x14ac:dyDescent="0.25">
      <c r="A309" s="36" t="str" cm="1">
        <f t="array" aca="1" ref="A309" ca="1">INDEX('SAP Customer Data'!$A:$AC,MATCH(بيانات_العملاء[[#This Row],[رمز شريك الأعمال]],'SAP Customer Data'!$B:$B,0),CELL("col",Table_Customer_Data[[#Headers],[GroupName]]))</f>
        <v>CS05</v>
      </c>
      <c r="B309" s="35" t="s">
        <v>21</v>
      </c>
      <c r="C309" s="37" t="str" cm="1">
        <f t="array" aca="1" ref="C309" ca="1">INDEX('SAP Customer Data'!$A:$AC,MATCH(بيانات_العملاء[[#This Row],[رمز شريك الأعمال]],'SAP Customer Data'!$B:$B,0),CELL("col",Table_Customer_Data[[#Headers],[CardName]]))</f>
        <v>مؤسسة سحر الشمعة المتخصصة التجارية</v>
      </c>
      <c r="D309" s="37" t="str">
        <f ca="1">IF(بيانات_العملاء[[#This Row],[حد الائتمان على SAP]]&gt;0,"آجل","نقدى")</f>
        <v>آجل</v>
      </c>
      <c r="E309" s="37" t="s">
        <v>1043</v>
      </c>
      <c r="F309" s="37" t="s">
        <v>1081</v>
      </c>
      <c r="G309" s="37" t="s">
        <v>854</v>
      </c>
      <c r="H30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09" s="37" t="s">
        <v>854</v>
      </c>
      <c r="J309" s="38">
        <v>44744</v>
      </c>
      <c r="K309" s="37" t="s">
        <v>855</v>
      </c>
      <c r="L309" s="37" t="str">
        <f ca="1">IF(AND(بيانات_العملاء[[#This Row],[السجل التجارى]]="موجود",TODAY()+'Other Data'!$B$23&lt;J309,بيانات_العملاء[[#This Row],[مطابقة اسم العميل بالاسم بالسجل التجارى]]="مطابق"), "سارى", "يجب اعادة طلبه")</f>
        <v>يجب اعادة طلبه</v>
      </c>
      <c r="M309" s="37" t="s">
        <v>854</v>
      </c>
      <c r="N309" s="39" t="str" cm="1">
        <f t="array" aca="1" ref="N309" ca="1">INDEX('SAP Customer Data'!$A:$AC,MATCH(بيانات_العملاء[[#This Row],[رمز شريك الأعمال]],'SAP Customer Data'!$B:$B,0),CELL("col",Table_Customer_Data[[#Headers],[LicTradNum]]))</f>
        <v>302228452500003</v>
      </c>
      <c r="O30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09" s="37" t="s">
        <v>856</v>
      </c>
      <c r="Q309" s="38"/>
      <c r="R30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09" s="37" t="s">
        <v>854</v>
      </c>
      <c r="T309" s="40">
        <v>60000</v>
      </c>
      <c r="U309" s="41"/>
      <c r="V30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0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48000</v>
      </c>
      <c r="X309" s="37" cm="1">
        <f t="array" aca="1" ref="X309" ca="1">INDEX('SAP Customer Data'!$A:$AC,MATCH(بيانات_العملاء[[#This Row],[رمز شريك الأعمال]],'SAP Customer Data'!$B:$B,0),CELL("col",Table_Customer_Data[[#Headers],[CreditLine]]))</f>
        <v>48000</v>
      </c>
      <c r="Y30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09" s="37" t="s">
        <v>855</v>
      </c>
      <c r="AA30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09" s="37" t="s">
        <v>856</v>
      </c>
      <c r="AC309" s="44"/>
      <c r="AD30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09" s="37" t="s">
        <v>856</v>
      </c>
      <c r="AF309" s="37"/>
      <c r="AG30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09" s="37" t="s">
        <v>856</v>
      </c>
      <c r="AI309" s="37"/>
      <c r="AJ30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09" s="37"/>
      <c r="AL309" s="38"/>
      <c r="AM30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09" s="37" t="s">
        <v>856</v>
      </c>
      <c r="AO309" s="41"/>
      <c r="AP30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09" s="37" t="s">
        <v>856</v>
      </c>
      <c r="AR309" s="37"/>
      <c r="AS30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09" s="41" cm="1">
        <f t="array" aca="1" ref="AT309" ca="1">INDEX('SAP Customer Data'!A:Z,MATCH(بيانات_العملاء[[#This Row],[رمز شريك الأعمال]],'SAP Customer Data'!B:B,0),CELL("col",Table_Customer_Data[[#Headers],[CreateDate]]))</f>
        <v>44244</v>
      </c>
      <c r="AU309" s="37"/>
      <c r="AV309" s="41"/>
      <c r="AW309" s="37" t="s">
        <v>2097</v>
      </c>
      <c r="AX309" s="37"/>
    </row>
    <row r="310" spans="1:50" x14ac:dyDescent="0.25">
      <c r="A310" s="36" t="str" cm="1">
        <f t="array" aca="1" ref="A310" ca="1">INDEX('SAP Customer Data'!$A:$AC,MATCH(بيانات_العملاء[[#This Row],[رمز شريك الأعمال]],'SAP Customer Data'!$B:$B,0),CELL("col",Table_Customer_Data[[#Headers],[GroupName]]))</f>
        <v>CS05</v>
      </c>
      <c r="B310" s="35" t="s">
        <v>167</v>
      </c>
      <c r="C310" s="37" t="str" cm="1">
        <f t="array" aca="1" ref="C310" ca="1">INDEX('SAP Customer Data'!$A:$AC,MATCH(بيانات_العملاء[[#This Row],[رمز شريك الأعمال]],'SAP Customer Data'!$B:$B,0),CELL("col",Table_Customer_Data[[#Headers],[CardName]]))</f>
        <v>مؤسسة ادال للتجارة -نقدي</v>
      </c>
      <c r="D310" s="37" t="str">
        <f ca="1">IF(بيانات_العملاء[[#This Row],[حد الائتمان على SAP]]&gt;0,"آجل","نقدى")</f>
        <v>نقدى</v>
      </c>
      <c r="E310" s="37" t="s">
        <v>2071</v>
      </c>
      <c r="F310" s="37" t="s">
        <v>1081</v>
      </c>
      <c r="G310" s="37" t="s">
        <v>854</v>
      </c>
      <c r="H31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10" s="37" t="s">
        <v>854</v>
      </c>
      <c r="J310" s="38">
        <v>44912</v>
      </c>
      <c r="K310" s="37" t="s">
        <v>855</v>
      </c>
      <c r="L310" s="37" t="str">
        <f ca="1">IF(AND(بيانات_العملاء[[#This Row],[السجل التجارى]]="موجود",TODAY()+'Other Data'!$B$23&lt;J310,بيانات_العملاء[[#This Row],[مطابقة اسم العميل بالاسم بالسجل التجارى]]="مطابق"), "سارى", "يجب اعادة طلبه")</f>
        <v>يجب اعادة طلبه</v>
      </c>
      <c r="M310" s="37" t="s">
        <v>854</v>
      </c>
      <c r="N310" s="39" t="str" cm="1">
        <f t="array" aca="1" ref="N310" ca="1">INDEX('SAP Customer Data'!$A:$AC,MATCH(بيانات_العملاء[[#This Row],[رمز شريك الأعمال]],'SAP Customer Data'!$B:$B,0),CELL("col",Table_Customer_Data[[#Headers],[LicTradNum]]))</f>
        <v>310009944600003</v>
      </c>
      <c r="O31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10" s="37" t="s">
        <v>856</v>
      </c>
      <c r="Q310" s="38"/>
      <c r="R31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0" s="37" t="s">
        <v>1080</v>
      </c>
      <c r="T310" s="40"/>
      <c r="U310" s="41"/>
      <c r="V31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10" s="37" cm="1">
        <f t="array" aca="1" ref="X310" ca="1">INDEX('SAP Customer Data'!$A:$AC,MATCH(بيانات_العملاء[[#This Row],[رمز شريك الأعمال]],'SAP Customer Data'!$B:$B,0),CELL("col",Table_Customer_Data[[#Headers],[CreditLine]]))</f>
        <v>0</v>
      </c>
      <c r="Y31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0" s="37"/>
      <c r="AA31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10" s="37" t="s">
        <v>856</v>
      </c>
      <c r="AC310" s="44"/>
      <c r="AD31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0" s="37" t="s">
        <v>856</v>
      </c>
      <c r="AF310" s="37"/>
      <c r="AG31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0" s="37" t="s">
        <v>856</v>
      </c>
      <c r="AI310" s="37"/>
      <c r="AJ31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0" s="37" t="s">
        <v>856</v>
      </c>
      <c r="AL310" s="38"/>
      <c r="AM31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0" s="37" t="s">
        <v>856</v>
      </c>
      <c r="AO310" s="41"/>
      <c r="AP31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0" s="37" t="s">
        <v>856</v>
      </c>
      <c r="AR310" s="37"/>
      <c r="AS31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0" s="41" cm="1">
        <f t="array" aca="1" ref="AT310" ca="1">INDEX('SAP Customer Data'!A:Z,MATCH(بيانات_العملاء[[#This Row],[رمز شريك الأعمال]],'SAP Customer Data'!B:B,0),CELL("col",Table_Customer_Data[[#Headers],[CreateDate]]))</f>
        <v>44738</v>
      </c>
      <c r="AU310" s="37"/>
      <c r="AV310" s="41"/>
      <c r="AW310" s="37" t="s">
        <v>2097</v>
      </c>
      <c r="AX310" s="37"/>
    </row>
    <row r="311" spans="1:50" x14ac:dyDescent="0.25">
      <c r="A311" s="36" t="str" cm="1">
        <f t="array" aca="1" ref="A311" ca="1">INDEX('SAP Customer Data'!$A:$AC,MATCH(بيانات_العملاء[[#This Row],[رمز شريك الأعمال]],'SAP Customer Data'!$B:$B,0),CELL("col",Table_Customer_Data[[#Headers],[GroupName]]))</f>
        <v>CS05</v>
      </c>
      <c r="B311" s="35" t="s">
        <v>179</v>
      </c>
      <c r="C311" s="37" t="str" cm="1">
        <f t="array" aca="1" ref="C311" ca="1">INDEX('SAP Customer Data'!$A:$AC,MATCH(بيانات_العملاء[[#This Row],[رمز شريك الأعمال]],'SAP Customer Data'!$B:$B,0),CELL("col",Table_Customer_Data[[#Headers],[CardName]]))</f>
        <v>مؤسسة هلال حسن آل شطى للتجارة - نقدى</v>
      </c>
      <c r="D311" s="37" t="str">
        <f ca="1">IF(بيانات_العملاء[[#This Row],[حد الائتمان على SAP]]&gt;0,"آجل","نقدى")</f>
        <v>نقدى</v>
      </c>
      <c r="E311" s="37" t="s">
        <v>2056</v>
      </c>
      <c r="F311" s="37" t="s">
        <v>1081</v>
      </c>
      <c r="G311" s="37" t="s">
        <v>856</v>
      </c>
      <c r="H31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11" s="37" t="s">
        <v>854</v>
      </c>
      <c r="J311" s="38">
        <v>45780</v>
      </c>
      <c r="K311" s="37" t="s">
        <v>855</v>
      </c>
      <c r="L311" s="37" t="str">
        <f ca="1">IF(AND(بيانات_العملاء[[#This Row],[السجل التجارى]]="موجود",TODAY()+'Other Data'!$B$23&lt;J311,بيانات_العملاء[[#This Row],[مطابقة اسم العميل بالاسم بالسجل التجارى]]="مطابق"), "سارى", "يجب اعادة طلبه")</f>
        <v>سارى</v>
      </c>
      <c r="M311" s="37" t="s">
        <v>854</v>
      </c>
      <c r="N311" s="39" t="str" cm="1">
        <f t="array" aca="1" ref="N311" ca="1">INDEX('SAP Customer Data'!$A:$AC,MATCH(بيانات_العملاء[[#This Row],[رمز شريك الأعمال]],'SAP Customer Data'!$B:$B,0),CELL("col",Table_Customer_Data[[#Headers],[LicTradNum]]))</f>
        <v>310047156300003</v>
      </c>
      <c r="O31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11" s="37" t="s">
        <v>854</v>
      </c>
      <c r="Q311" s="38">
        <v>45285</v>
      </c>
      <c r="R31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311" s="37" t="s">
        <v>1080</v>
      </c>
      <c r="T311" s="40"/>
      <c r="U311" s="41"/>
      <c r="V31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11" s="37" cm="1">
        <f t="array" aca="1" ref="X311" ca="1">INDEX('SAP Customer Data'!$A:$AC,MATCH(بيانات_العملاء[[#This Row],[رمز شريك الأعمال]],'SAP Customer Data'!$B:$B,0),CELL("col",Table_Customer_Data[[#Headers],[CreditLine]]))</f>
        <v>0</v>
      </c>
      <c r="Y31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1" s="37"/>
      <c r="AA31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11" s="37" t="s">
        <v>856</v>
      </c>
      <c r="AC311" s="44"/>
      <c r="AD31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1" s="37" t="s">
        <v>856</v>
      </c>
      <c r="AF311" s="37"/>
      <c r="AG31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1" s="37" t="s">
        <v>856</v>
      </c>
      <c r="AI311" s="37"/>
      <c r="AJ31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1" s="37" t="s">
        <v>856</v>
      </c>
      <c r="AL311" s="38"/>
      <c r="AM31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1" s="37" t="s">
        <v>856</v>
      </c>
      <c r="AO311" s="41"/>
      <c r="AP31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1" s="37" t="s">
        <v>856</v>
      </c>
      <c r="AR311" s="37"/>
      <c r="AS31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1" s="41" cm="1">
        <f t="array" aca="1" ref="AT311" ca="1">INDEX('SAP Customer Data'!A:Z,MATCH(بيانات_العملاء[[#This Row],[رمز شريك الأعمال]],'SAP Customer Data'!B:B,0),CELL("col",Table_Customer_Data[[#Headers],[CreateDate]]))</f>
        <v>44902</v>
      </c>
      <c r="AU311" s="37"/>
      <c r="AV311" s="41"/>
      <c r="AW311" s="37" t="s">
        <v>2097</v>
      </c>
      <c r="AX311" s="37"/>
    </row>
    <row r="312" spans="1:50" x14ac:dyDescent="0.25">
      <c r="A312" s="36" t="str" cm="1">
        <f t="array" aca="1" ref="A312" ca="1">INDEX('SAP Customer Data'!$A:$AC,MATCH(بيانات_العملاء[[#This Row],[رمز شريك الأعمال]],'SAP Customer Data'!$B:$B,0),CELL("col",Table_Customer_Data[[#Headers],[GroupName]]))</f>
        <v>CS05</v>
      </c>
      <c r="B312" s="35" t="s">
        <v>137</v>
      </c>
      <c r="C312" s="37" t="str" cm="1">
        <f t="array" aca="1" ref="C312" ca="1">INDEX('SAP Customer Data'!$A:$AC,MATCH(بيانات_العملاء[[#This Row],[رمز شريك الأعمال]],'SAP Customer Data'!$B:$B,0),CELL("col",Table_Customer_Data[[#Headers],[CardName]]))</f>
        <v>شركة واجهة الخبر للتجارة والمقاولات العامة</v>
      </c>
      <c r="D312" s="37" t="str">
        <f ca="1">IF(بيانات_العملاء[[#This Row],[حد الائتمان على SAP]]&gt;0,"آجل","نقدى")</f>
        <v>آجل</v>
      </c>
      <c r="E312" s="37"/>
      <c r="F312" s="37" t="s">
        <v>997</v>
      </c>
      <c r="G312" s="37" t="s">
        <v>854</v>
      </c>
      <c r="H31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12" s="37" t="s">
        <v>854</v>
      </c>
      <c r="J312" s="38">
        <v>44568</v>
      </c>
      <c r="K312" s="37" t="s">
        <v>855</v>
      </c>
      <c r="L312" s="37" t="str">
        <f ca="1">IF(AND(بيانات_العملاء[[#This Row],[السجل التجارى]]="موجود",TODAY()+'Other Data'!$B$23&lt;J312,بيانات_العملاء[[#This Row],[مطابقة اسم العميل بالاسم بالسجل التجارى]]="مطابق"), "سارى", "يجب اعادة طلبه")</f>
        <v>يجب اعادة طلبه</v>
      </c>
      <c r="M312" s="37" t="s">
        <v>854</v>
      </c>
      <c r="N312" s="39" t="str" cm="1">
        <f t="array" aca="1" ref="N312" ca="1">INDEX('SAP Customer Data'!$A:$AC,MATCH(بيانات_العملاء[[#This Row],[رمز شريك الأعمال]],'SAP Customer Data'!$B:$B,0),CELL("col",Table_Customer_Data[[#Headers],[LicTradNum]]))</f>
        <v>310054685400003</v>
      </c>
      <c r="O31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12" s="37" t="s">
        <v>856</v>
      </c>
      <c r="Q312" s="38"/>
      <c r="R31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2" s="37" t="s">
        <v>854</v>
      </c>
      <c r="T312" s="40">
        <v>100000</v>
      </c>
      <c r="U312" s="41"/>
      <c r="V31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312" s="37" cm="1">
        <f t="array" aca="1" ref="X312" ca="1">INDEX('SAP Customer Data'!$A:$AC,MATCH(بيانات_العملاء[[#This Row],[رمز شريك الأعمال]],'SAP Customer Data'!$B:$B,0),CELL("col",Table_Customer_Data[[#Headers],[CreditLine]]))</f>
        <v>80000</v>
      </c>
      <c r="Y31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2" s="37" t="s">
        <v>855</v>
      </c>
      <c r="AA31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12" s="37" t="s">
        <v>856</v>
      </c>
      <c r="AC312" s="44"/>
      <c r="AD31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2" s="37" t="s">
        <v>856</v>
      </c>
      <c r="AF312" s="37"/>
      <c r="AG31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2" s="37" t="s">
        <v>856</v>
      </c>
      <c r="AI312" s="37"/>
      <c r="AJ31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2" s="37" t="s">
        <v>856</v>
      </c>
      <c r="AL312" s="38"/>
      <c r="AM31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2" s="37" t="s">
        <v>854</v>
      </c>
      <c r="AO312" s="41"/>
      <c r="AP31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2" s="37" t="s">
        <v>856</v>
      </c>
      <c r="AR312" s="37"/>
      <c r="AS31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2" s="41" cm="1">
        <f t="array" aca="1" ref="AT312" ca="1">INDEX('SAP Customer Data'!A:Z,MATCH(بيانات_العملاء[[#This Row],[رمز شريك الأعمال]],'SAP Customer Data'!B:B,0),CELL("col",Table_Customer_Data[[#Headers],[CreateDate]]))</f>
        <v>44578</v>
      </c>
      <c r="AU312" s="37"/>
      <c r="AV312" s="41"/>
      <c r="AW312" s="37" t="s">
        <v>2097</v>
      </c>
      <c r="AX312" s="37"/>
    </row>
    <row r="313" spans="1:50" x14ac:dyDescent="0.25">
      <c r="A313" s="36" t="str" cm="1">
        <f t="array" aca="1" ref="A313" ca="1">INDEX('SAP Customer Data'!$A:$AC,MATCH(بيانات_العملاء[[#This Row],[رمز شريك الأعمال]],'SAP Customer Data'!$B:$B,0),CELL("col",Table_Customer_Data[[#Headers],[GroupName]]))</f>
        <v>CS05</v>
      </c>
      <c r="B313" s="42" t="s">
        <v>70</v>
      </c>
      <c r="C313" s="37" t="str" cm="1">
        <f t="array" aca="1" ref="C313" ca="1">INDEX('SAP Customer Data'!$A:$AC,MATCH(بيانات_العملاء[[#This Row],[رمز شريك الأعمال]],'SAP Customer Data'!$B:$B,0),CELL("col",Table_Customer_Data[[#Headers],[CardName]]))</f>
        <v>شركة منار للتجارة والمقاولات - نقدي</v>
      </c>
      <c r="D313" s="37" t="str">
        <f ca="1">IF(بيانات_العملاء[[#This Row],[حد الائتمان على SAP]]&gt;0,"آجل","نقدى")</f>
        <v>نقدى</v>
      </c>
      <c r="E313" s="37"/>
      <c r="F313" s="37" t="s">
        <v>1082</v>
      </c>
      <c r="G313" s="37"/>
      <c r="H31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13" s="37" t="s">
        <v>856</v>
      </c>
      <c r="J313" s="38"/>
      <c r="K313" s="37"/>
      <c r="L313" s="37" t="str">
        <f ca="1">IF(AND(بيانات_العملاء[[#This Row],[السجل التجارى]]="موجود",TODAY()+'Other Data'!$B$23&lt;J313,بيانات_العملاء[[#This Row],[مطابقة اسم العميل بالاسم بالسجل التجارى]]="مطابق"), "سارى", "يجب اعادة طلبه")</f>
        <v>يجب اعادة طلبه</v>
      </c>
      <c r="M313" s="37" t="s">
        <v>854</v>
      </c>
      <c r="N313" s="39" t="str" cm="1">
        <f t="array" aca="1" ref="N313" ca="1">INDEX('SAP Customer Data'!$A:$AC,MATCH(بيانات_العملاء[[#This Row],[رمز شريك الأعمال]],'SAP Customer Data'!$B:$B,0),CELL("col",Table_Customer_Data[[#Headers],[LicTradNum]]))</f>
        <v>302004341500003</v>
      </c>
      <c r="O31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13" s="37"/>
      <c r="Q313" s="38"/>
      <c r="R31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3" s="37" t="s">
        <v>1080</v>
      </c>
      <c r="T313" s="40"/>
      <c r="U313" s="41"/>
      <c r="V31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13" s="37" cm="1">
        <f t="array" aca="1" ref="X313" ca="1">INDEX('SAP Customer Data'!$A:$AC,MATCH(بيانات_العملاء[[#This Row],[رمز شريك الأعمال]],'SAP Customer Data'!$B:$B,0),CELL("col",Table_Customer_Data[[#Headers],[CreditLine]]))</f>
        <v>0</v>
      </c>
      <c r="Y31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3" s="37"/>
      <c r="AA31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13" s="37"/>
      <c r="AC313" s="37"/>
      <c r="AD31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3" s="37"/>
      <c r="AF313" s="37"/>
      <c r="AG31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3" s="37"/>
      <c r="AI313" s="37"/>
      <c r="AJ31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3" s="37"/>
      <c r="AL313" s="38"/>
      <c r="AM31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3" s="37"/>
      <c r="AO313" s="41"/>
      <c r="AP31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3" s="37"/>
      <c r="AR313" s="37"/>
      <c r="AS31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3" s="41" cm="1">
        <f t="array" aca="1" ref="AT313" ca="1">INDEX('SAP Customer Data'!A:Z,MATCH(بيانات_العملاء[[#This Row],[رمز شريك الأعمال]],'SAP Customer Data'!B:B,0),CELL("col",Table_Customer_Data[[#Headers],[CreateDate]]))</f>
        <v>44471</v>
      </c>
      <c r="AU313" s="37"/>
      <c r="AV313" s="41"/>
      <c r="AW313" s="37" t="s">
        <v>2097</v>
      </c>
      <c r="AX313" s="37"/>
    </row>
    <row r="314" spans="1:50" x14ac:dyDescent="0.25">
      <c r="A314" s="36" t="str" cm="1">
        <f t="array" aca="1" ref="A314" ca="1">INDEX('SAP Customer Data'!$A:$AC,MATCH(بيانات_العملاء[[#This Row],[رمز شريك الأعمال]],'SAP Customer Data'!$B:$B,0),CELL("col",Table_Customer_Data[[#Headers],[GroupName]]))</f>
        <v>CS05</v>
      </c>
      <c r="B314" s="35" t="s">
        <v>738</v>
      </c>
      <c r="C314" s="37" t="str" cm="1">
        <f t="array" aca="1" ref="C314" ca="1">INDEX('SAP Customer Data'!$A:$AC,MATCH(بيانات_العملاء[[#This Row],[رمز شريك الأعمال]],'SAP Customer Data'!$B:$B,0),CELL("col",Table_Customer_Data[[#Headers],[CardName]]))</f>
        <v>مؤسسة اسامه عبدالله الموسي التجارية-نقدي</v>
      </c>
      <c r="D314" s="37" t="str">
        <f ca="1">IF(بيانات_العملاء[[#This Row],[حد الائتمان على SAP]]&gt;0,"آجل","نقدى")</f>
        <v>نقدى</v>
      </c>
      <c r="E314" s="37" t="s">
        <v>2076</v>
      </c>
      <c r="F314" s="37" t="s">
        <v>1081</v>
      </c>
      <c r="G314" s="37" t="s">
        <v>856</v>
      </c>
      <c r="H31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14" s="37" t="s">
        <v>854</v>
      </c>
      <c r="J314" s="38">
        <v>45182</v>
      </c>
      <c r="K314" s="37" t="s">
        <v>855</v>
      </c>
      <c r="L314" s="37" t="str">
        <f ca="1">IF(AND(بيانات_العملاء[[#This Row],[السجل التجارى]]="موجود",TODAY()+'Other Data'!$B$23&lt;J314,بيانات_العملاء[[#This Row],[مطابقة اسم العميل بالاسم بالسجل التجارى]]="مطابق"), "سارى", "يجب اعادة طلبه")</f>
        <v>يجب اعادة طلبه</v>
      </c>
      <c r="M314" s="37" t="s">
        <v>854</v>
      </c>
      <c r="N314" s="39" t="str" cm="1">
        <f t="array" aca="1" ref="N314" ca="1">INDEX('SAP Customer Data'!$A:$AC,MATCH(بيانات_العملاء[[#This Row],[رمز شريك الأعمال]],'SAP Customer Data'!$B:$B,0),CELL("col",Table_Customer_Data[[#Headers],[LicTradNum]]))</f>
        <v>310128049800003</v>
      </c>
      <c r="O31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14" s="37" t="s">
        <v>856</v>
      </c>
      <c r="Q314" s="38"/>
      <c r="R31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4" s="37" t="s">
        <v>1080</v>
      </c>
      <c r="T314" s="40"/>
      <c r="U314" s="41"/>
      <c r="V31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14" s="37" cm="1">
        <f t="array" aca="1" ref="X314" ca="1">INDEX('SAP Customer Data'!$A:$AC,MATCH(بيانات_العملاء[[#This Row],[رمز شريك الأعمال]],'SAP Customer Data'!$B:$B,0),CELL("col",Table_Customer_Data[[#Headers],[CreditLine]]))</f>
        <v>0</v>
      </c>
      <c r="Y31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4" s="37"/>
      <c r="AA31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14" s="37" t="s">
        <v>856</v>
      </c>
      <c r="AC314" s="44"/>
      <c r="AD31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4" s="37" t="s">
        <v>856</v>
      </c>
      <c r="AF314" s="37"/>
      <c r="AG31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4" s="37" t="s">
        <v>856</v>
      </c>
      <c r="AI314" s="37"/>
      <c r="AJ31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4" s="37" t="s">
        <v>856</v>
      </c>
      <c r="AL314" s="38"/>
      <c r="AM31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4" s="37" t="s">
        <v>854</v>
      </c>
      <c r="AO314" s="41">
        <v>44534</v>
      </c>
      <c r="AP31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4" s="37" t="s">
        <v>856</v>
      </c>
      <c r="AR314" s="37"/>
      <c r="AS31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4" s="41" cm="1">
        <f t="array" aca="1" ref="AT314" ca="1">INDEX('SAP Customer Data'!A:Z,MATCH(بيانات_العملاء[[#This Row],[رمز شريك الأعمال]],'SAP Customer Data'!B:B,0),CELL("col",Table_Customer_Data[[#Headers],[CreateDate]]))</f>
        <v>44871</v>
      </c>
      <c r="AU314" s="37"/>
      <c r="AV314" s="41"/>
      <c r="AW314" s="37" t="s">
        <v>2097</v>
      </c>
      <c r="AX314" s="37"/>
    </row>
    <row r="315" spans="1:50" x14ac:dyDescent="0.25">
      <c r="A315" s="36" t="str" cm="1">
        <f t="array" aca="1" ref="A315" ca="1">INDEX('SAP Customer Data'!$A:$AC,MATCH(بيانات_العملاء[[#This Row],[رمز شريك الأعمال]],'SAP Customer Data'!$B:$B,0),CELL("col",Table_Customer_Data[[#Headers],[GroupName]]))</f>
        <v>CS05</v>
      </c>
      <c r="B315" s="35" t="s">
        <v>169</v>
      </c>
      <c r="C315" s="37" t="str" cm="1">
        <f t="array" aca="1" ref="C315" ca="1">INDEX('SAP Customer Data'!$A:$AC,MATCH(بيانات_العملاء[[#This Row],[رمز شريك الأعمال]],'SAP Customer Data'!$B:$B,0),CELL("col",Table_Customer_Data[[#Headers],[CardName]]))</f>
        <v>مؤسسة اسرار الانارة التجارية</v>
      </c>
      <c r="D315" s="37" t="str">
        <f ca="1">IF(بيانات_العملاء[[#This Row],[حد الائتمان على SAP]]&gt;0,"آجل","نقدى")</f>
        <v>آجل</v>
      </c>
      <c r="E315" s="37" t="s">
        <v>2072</v>
      </c>
      <c r="F315" s="37" t="s">
        <v>1081</v>
      </c>
      <c r="G315" s="37" t="s">
        <v>854</v>
      </c>
      <c r="H31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15" s="37" t="s">
        <v>854</v>
      </c>
      <c r="J315" s="38">
        <v>45453</v>
      </c>
      <c r="K315" s="37" t="s">
        <v>855</v>
      </c>
      <c r="L315" s="37" t="str">
        <f ca="1">IF(AND(بيانات_العملاء[[#This Row],[السجل التجارى]]="موجود",TODAY()+'Other Data'!$B$23&lt;J315,بيانات_العملاء[[#This Row],[مطابقة اسم العميل بالاسم بالسجل التجارى]]="مطابق"), "سارى", "يجب اعادة طلبه")</f>
        <v>سارى</v>
      </c>
      <c r="M315" s="37" t="s">
        <v>854</v>
      </c>
      <c r="N315" s="39" t="str" cm="1">
        <f t="array" aca="1" ref="N315" ca="1">INDEX('SAP Customer Data'!$A:$AC,MATCH(بيانات_العملاء[[#This Row],[رمز شريك الأعمال]],'SAP Customer Data'!$B:$B,0),CELL("col",Table_Customer_Data[[#Headers],[LicTradNum]]))</f>
        <v>310218033700003</v>
      </c>
      <c r="O31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15" s="37" t="s">
        <v>856</v>
      </c>
      <c r="Q315" s="38"/>
      <c r="R31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5" s="37" t="s">
        <v>854</v>
      </c>
      <c r="T315" s="40">
        <v>50000</v>
      </c>
      <c r="U315" s="41"/>
      <c r="V31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315" s="37" cm="1">
        <f t="array" aca="1" ref="X315" ca="1">INDEX('SAP Customer Data'!$A:$AC,MATCH(بيانات_العملاء[[#This Row],[رمز شريك الأعمال]],'SAP Customer Data'!$B:$B,0),CELL("col",Table_Customer_Data[[#Headers],[CreditLine]]))</f>
        <v>40000</v>
      </c>
      <c r="Y31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5" s="37" t="s">
        <v>855</v>
      </c>
      <c r="AA31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15" s="37" t="s">
        <v>856</v>
      </c>
      <c r="AC315" s="44"/>
      <c r="AD31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5" s="37" t="s">
        <v>856</v>
      </c>
      <c r="AF315" s="37"/>
      <c r="AG31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5" s="37" t="s">
        <v>856</v>
      </c>
      <c r="AI315" s="37"/>
      <c r="AJ31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5" s="37" t="s">
        <v>856</v>
      </c>
      <c r="AL315" s="38"/>
      <c r="AM31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5" s="37" t="s">
        <v>856</v>
      </c>
      <c r="AO315" s="41"/>
      <c r="AP31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5" s="37" t="s">
        <v>856</v>
      </c>
      <c r="AR315" s="37"/>
      <c r="AS31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5" s="41" cm="1">
        <f t="array" aca="1" ref="AT315" ca="1">INDEX('SAP Customer Data'!A:Z,MATCH(بيانات_العملاء[[#This Row],[رمز شريك الأعمال]],'SAP Customer Data'!B:B,0),CELL("col",Table_Customer_Data[[#Headers],[CreateDate]]))</f>
        <v>44761</v>
      </c>
      <c r="AU315" s="37"/>
      <c r="AV315" s="41"/>
      <c r="AW315" s="37" t="s">
        <v>2097</v>
      </c>
      <c r="AX315" s="37"/>
    </row>
    <row r="316" spans="1:50" x14ac:dyDescent="0.25">
      <c r="A316" s="36" t="str" cm="1">
        <f t="array" aca="1" ref="A316" ca="1">INDEX('SAP Customer Data'!$A:$AC,MATCH(بيانات_العملاء[[#This Row],[رمز شريك الأعمال]],'SAP Customer Data'!$B:$B,0),CELL("col",Table_Customer_Data[[#Headers],[GroupName]]))</f>
        <v>CS05</v>
      </c>
      <c r="B316" s="42" t="s">
        <v>83</v>
      </c>
      <c r="C316" s="37" t="str" cm="1">
        <f t="array" aca="1" ref="C316" ca="1">INDEX('SAP Customer Data'!$A:$AC,MATCH(بيانات_العملاء[[#This Row],[رمز شريك الأعمال]],'SAP Customer Data'!$B:$B,0),CELL("col",Table_Customer_Data[[#Headers],[CardName]]))</f>
        <v>مؤسسة لوازم الفنيين التجارية - نقدي</v>
      </c>
      <c r="D316" s="37" t="str">
        <f ca="1">IF(بيانات_العملاء[[#This Row],[حد الائتمان على SAP]]&gt;0,"آجل","نقدى")</f>
        <v>نقدى</v>
      </c>
      <c r="E316" s="37"/>
      <c r="F316" s="37" t="s">
        <v>1082</v>
      </c>
      <c r="G316" s="37"/>
      <c r="H31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16" s="37" t="s">
        <v>856</v>
      </c>
      <c r="J316" s="38"/>
      <c r="K316" s="37"/>
      <c r="L316" s="37" t="str">
        <f ca="1">IF(AND(بيانات_العملاء[[#This Row],[السجل التجارى]]="موجود",TODAY()+'Other Data'!$B$23&lt;J316,بيانات_العملاء[[#This Row],[مطابقة اسم العميل بالاسم بالسجل التجارى]]="مطابق"), "سارى", "يجب اعادة طلبه")</f>
        <v>يجب اعادة طلبه</v>
      </c>
      <c r="M316" s="37" t="s">
        <v>854</v>
      </c>
      <c r="N316" s="39" t="str" cm="1">
        <f t="array" aca="1" ref="N316" ca="1">INDEX('SAP Customer Data'!$A:$AC,MATCH(بيانات_العملاء[[#This Row],[رمز شريك الأعمال]],'SAP Customer Data'!$B:$B,0),CELL("col",Table_Customer_Data[[#Headers],[LicTradNum]]))</f>
        <v>302018676700003</v>
      </c>
      <c r="O31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16" s="37"/>
      <c r="Q316" s="38"/>
      <c r="R31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6" s="37" t="s">
        <v>1080</v>
      </c>
      <c r="T316" s="40"/>
      <c r="U316" s="41"/>
      <c r="V31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16" s="37" cm="1">
        <f t="array" aca="1" ref="X316" ca="1">INDEX('SAP Customer Data'!$A:$AC,MATCH(بيانات_العملاء[[#This Row],[رمز شريك الأعمال]],'SAP Customer Data'!$B:$B,0),CELL("col",Table_Customer_Data[[#Headers],[CreditLine]]))</f>
        <v>0</v>
      </c>
      <c r="Y31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6" s="37"/>
      <c r="AA31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16" s="37"/>
      <c r="AC316" s="37"/>
      <c r="AD31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6" s="37"/>
      <c r="AF316" s="37"/>
      <c r="AG31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6" s="37"/>
      <c r="AI316" s="37"/>
      <c r="AJ31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6" s="37"/>
      <c r="AL316" s="38"/>
      <c r="AM31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6" s="37"/>
      <c r="AO316" s="41"/>
      <c r="AP31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6" s="37"/>
      <c r="AR316" s="37"/>
      <c r="AS31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6" s="41" cm="1">
        <f t="array" aca="1" ref="AT316" ca="1">INDEX('SAP Customer Data'!A:Z,MATCH(بيانات_العملاء[[#This Row],[رمز شريك الأعمال]],'SAP Customer Data'!B:B,0),CELL("col",Table_Customer_Data[[#Headers],[CreateDate]]))</f>
        <v>44497</v>
      </c>
      <c r="AU316" s="37"/>
      <c r="AV316" s="41"/>
      <c r="AW316" s="37" t="s">
        <v>2097</v>
      </c>
      <c r="AX316" s="37"/>
    </row>
    <row r="317" spans="1:50" x14ac:dyDescent="0.25">
      <c r="A317" s="36" t="str" cm="1">
        <f t="array" aca="1" ref="A317" ca="1">INDEX('SAP Customer Data'!$A:$AC,MATCH(بيانات_العملاء[[#This Row],[رمز شريك الأعمال]],'SAP Customer Data'!$B:$B,0),CELL("col",Table_Customer_Data[[#Headers],[GroupName]]))</f>
        <v>CS05</v>
      </c>
      <c r="B317" s="35" t="s">
        <v>928</v>
      </c>
      <c r="C317" s="37" t="str" cm="1">
        <f t="array" aca="1" ref="C317" ca="1">INDEX('SAP Customer Data'!$A:$AC,MATCH(بيانات_العملاء[[#This Row],[رمز شريك الأعمال]],'SAP Customer Data'!$B:$B,0),CELL("col",Table_Customer_Data[[#Headers],[CardName]]))</f>
        <v>مؤسسة تميز ذكوان التجارية - نقدي</v>
      </c>
      <c r="D317" s="37" t="str">
        <f ca="1">IF(بيانات_العملاء[[#This Row],[حد الائتمان على SAP]]&gt;0,"آجل","نقدى")</f>
        <v>نقدى</v>
      </c>
      <c r="E317" s="37" t="s">
        <v>999</v>
      </c>
      <c r="F317" s="37" t="s">
        <v>1081</v>
      </c>
      <c r="G317" s="37" t="s">
        <v>856</v>
      </c>
      <c r="H31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17" s="37" t="s">
        <v>854</v>
      </c>
      <c r="J317" s="38">
        <v>45178</v>
      </c>
      <c r="K317" s="37" t="s">
        <v>855</v>
      </c>
      <c r="L317" s="37" t="str">
        <f ca="1">IF(AND(بيانات_العملاء[[#This Row],[السجل التجارى]]="موجود",TODAY()+'Other Data'!$B$23&lt;J317,بيانات_العملاء[[#This Row],[مطابقة اسم العميل بالاسم بالسجل التجارى]]="مطابق"), "سارى", "يجب اعادة طلبه")</f>
        <v>يجب اعادة طلبه</v>
      </c>
      <c r="M317" s="37" t="s">
        <v>856</v>
      </c>
      <c r="N317" s="39" t="str" cm="1">
        <f t="array" aca="1" ref="N317" ca="1">INDEX('SAP Customer Data'!$A:$AC,MATCH(بيانات_العملاء[[#This Row],[رمز شريك الأعمال]],'SAP Customer Data'!$B:$B,0),CELL("col",Table_Customer_Data[[#Headers],[LicTradNum]]))</f>
        <v>310289316700003</v>
      </c>
      <c r="O31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17" s="37" t="s">
        <v>856</v>
      </c>
      <c r="Q317" s="38"/>
      <c r="R31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7" s="37" t="s">
        <v>1080</v>
      </c>
      <c r="T317" s="40"/>
      <c r="U317" s="41"/>
      <c r="V31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17" s="37" cm="1">
        <f t="array" aca="1" ref="X317" ca="1">INDEX('SAP Customer Data'!$A:$AC,MATCH(بيانات_العملاء[[#This Row],[رمز شريك الأعمال]],'SAP Customer Data'!$B:$B,0),CELL("col",Table_Customer_Data[[#Headers],[CreditLine]]))</f>
        <v>0</v>
      </c>
      <c r="Y31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7" s="37"/>
      <c r="AA31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17" s="37" t="s">
        <v>856</v>
      </c>
      <c r="AC317" s="44"/>
      <c r="AD31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7" s="37" t="s">
        <v>856</v>
      </c>
      <c r="AF317" s="37"/>
      <c r="AG31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7" s="37" t="s">
        <v>856</v>
      </c>
      <c r="AI317" s="37"/>
      <c r="AJ31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7" s="37"/>
      <c r="AL317" s="38"/>
      <c r="AM31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7" s="37" t="s">
        <v>856</v>
      </c>
      <c r="AO317" s="41"/>
      <c r="AP31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7" s="37" t="s">
        <v>856</v>
      </c>
      <c r="AR317" s="37"/>
      <c r="AS31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7" s="41" cm="1">
        <f t="array" aca="1" ref="AT317" ca="1">INDEX('SAP Customer Data'!A:Z,MATCH(بيانات_العملاء[[#This Row],[رمز شريك الأعمال]],'SAP Customer Data'!B:B,0),CELL("col",Table_Customer_Data[[#Headers],[CreateDate]]))</f>
        <v>44970</v>
      </c>
      <c r="AU317" s="37"/>
      <c r="AV317" s="41"/>
      <c r="AW317" s="37" t="s">
        <v>2097</v>
      </c>
      <c r="AX317" s="37"/>
    </row>
    <row r="318" spans="1:50" x14ac:dyDescent="0.25">
      <c r="A318" s="36" t="str" cm="1">
        <f t="array" aca="1" ref="A318" ca="1">INDEX('SAP Customer Data'!$A:$AC,MATCH(بيانات_العملاء[[#This Row],[رمز شريك الأعمال]],'SAP Customer Data'!$B:$B,0),CELL("col",Table_Customer_Data[[#Headers],[GroupName]]))</f>
        <v>CS05</v>
      </c>
      <c r="B318" s="35" t="s">
        <v>40</v>
      </c>
      <c r="C318" s="37" t="str" cm="1">
        <f t="array" aca="1" ref="C318" ca="1">INDEX('SAP Customer Data'!$A:$AC,MATCH(بيانات_العملاء[[#This Row],[رمز شريك الأعمال]],'SAP Customer Data'!$B:$B,0),CELL("col",Table_Customer_Data[[#Headers],[CardName]]))</f>
        <v>شركة بريق الانارة للتجارة</v>
      </c>
      <c r="D318" s="37" t="str">
        <f ca="1">IF(بيانات_العملاء[[#This Row],[حد الائتمان على SAP]]&gt;0,"آجل","نقدى")</f>
        <v>آجل</v>
      </c>
      <c r="E318" s="37"/>
      <c r="F318" s="37" t="s">
        <v>1082</v>
      </c>
      <c r="G318" s="37" t="s">
        <v>854</v>
      </c>
      <c r="H31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18" s="37" t="s">
        <v>856</v>
      </c>
      <c r="J318" s="38"/>
      <c r="K318" s="37"/>
      <c r="L318" s="37" t="str">
        <f ca="1">IF(AND(بيانات_العملاء[[#This Row],[السجل التجارى]]="موجود",TODAY()+'Other Data'!$B$23&lt;J318,بيانات_العملاء[[#This Row],[مطابقة اسم العميل بالاسم بالسجل التجارى]]="مطابق"), "سارى", "يجب اعادة طلبه")</f>
        <v>يجب اعادة طلبه</v>
      </c>
      <c r="M318" s="37" t="s">
        <v>856</v>
      </c>
      <c r="N318" s="39" t="str" cm="1">
        <f t="array" aca="1" ref="N318" ca="1">INDEX('SAP Customer Data'!$A:$AC,MATCH(بيانات_العملاء[[#This Row],[رمز شريك الأعمال]],'SAP Customer Data'!$B:$B,0),CELL("col",Table_Customer_Data[[#Headers],[LicTradNum]]))</f>
        <v>310561788600003</v>
      </c>
      <c r="O31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18" s="37" t="s">
        <v>856</v>
      </c>
      <c r="Q318" s="38"/>
      <c r="R31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18" s="37" t="s">
        <v>854</v>
      </c>
      <c r="T318" s="40">
        <v>100000</v>
      </c>
      <c r="U318" s="41"/>
      <c r="V31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318" s="37" cm="1">
        <f t="array" aca="1" ref="X318" ca="1">INDEX('SAP Customer Data'!$A:$AC,MATCH(بيانات_العملاء[[#This Row],[رمز شريك الأعمال]],'SAP Customer Data'!$B:$B,0),CELL("col",Table_Customer_Data[[#Headers],[CreditLine]]))</f>
        <v>80000</v>
      </c>
      <c r="Y31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8" s="37" t="s">
        <v>859</v>
      </c>
      <c r="AA31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18" s="37" t="s">
        <v>856</v>
      </c>
      <c r="AC318" s="44"/>
      <c r="AD31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8" s="37" t="s">
        <v>856</v>
      </c>
      <c r="AF318" s="37"/>
      <c r="AG31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8" s="37" t="s">
        <v>856</v>
      </c>
      <c r="AI318" s="37"/>
      <c r="AJ31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8" s="37" t="s">
        <v>856</v>
      </c>
      <c r="AL318" s="38"/>
      <c r="AM31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8" s="37" t="s">
        <v>856</v>
      </c>
      <c r="AO318" s="41"/>
      <c r="AP31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8" s="37" t="s">
        <v>856</v>
      </c>
      <c r="AR318" s="37"/>
      <c r="AS31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8" s="41" cm="1">
        <f t="array" aca="1" ref="AT318" ca="1">INDEX('SAP Customer Data'!A:Z,MATCH(بيانات_العملاء[[#This Row],[رمز شريك الأعمال]],'SAP Customer Data'!B:B,0),CELL("col",Table_Customer_Data[[#Headers],[CreateDate]]))</f>
        <v>44290</v>
      </c>
      <c r="AU318" s="37"/>
      <c r="AV318" s="41"/>
      <c r="AW318" s="37" t="s">
        <v>2097</v>
      </c>
      <c r="AX318" s="37"/>
    </row>
    <row r="319" spans="1:50" x14ac:dyDescent="0.25">
      <c r="A319" s="36" t="str" cm="1">
        <f t="array" aca="1" ref="A319" ca="1">INDEX('SAP Customer Data'!$A:$AC,MATCH(بيانات_العملاء[[#This Row],[رمز شريك الأعمال]],'SAP Customer Data'!$B:$B,0),CELL("col",Table_Customer_Data[[#Headers],[GroupName]]))</f>
        <v>CS05</v>
      </c>
      <c r="B319" s="35" t="s">
        <v>38</v>
      </c>
      <c r="C319" s="37" t="str" cm="1">
        <f t="array" aca="1" ref="C319" ca="1">INDEX('SAP Customer Data'!$A:$AC,MATCH(بيانات_العملاء[[#This Row],[رمز شريك الأعمال]],'SAP Customer Data'!$B:$B,0),CELL("col",Table_Customer_Data[[#Headers],[CardName]]))</f>
        <v>مؤسسة طاهر حمد النمر التجارية</v>
      </c>
      <c r="D319" s="37" t="str">
        <f ca="1">IF(بيانات_العملاء[[#This Row],[حد الائتمان على SAP]]&gt;0,"آجل","نقدى")</f>
        <v>آجل</v>
      </c>
      <c r="E319" s="37" t="s">
        <v>2052</v>
      </c>
      <c r="F319" s="37" t="s">
        <v>1081</v>
      </c>
      <c r="G319" s="37" t="s">
        <v>854</v>
      </c>
      <c r="H31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19" s="37" t="s">
        <v>854</v>
      </c>
      <c r="J319" s="38">
        <v>45248</v>
      </c>
      <c r="K319" s="37" t="s">
        <v>855</v>
      </c>
      <c r="L319" s="37" t="str">
        <f ca="1">IF(AND(بيانات_العملاء[[#This Row],[السجل التجارى]]="موجود",TODAY()+'Other Data'!$B$23&lt;J319,بيانات_العملاء[[#This Row],[مطابقة اسم العميل بالاسم بالسجل التجارى]]="مطابق"), "سارى", "يجب اعادة طلبه")</f>
        <v>سارى</v>
      </c>
      <c r="M319" s="37" t="s">
        <v>854</v>
      </c>
      <c r="N319" s="39" t="str" cm="1">
        <f t="array" aca="1" ref="N319" ca="1">INDEX('SAP Customer Data'!$A:$AC,MATCH(بيانات_العملاء[[#This Row],[رمز شريك الأعمال]],'SAP Customer Data'!$B:$B,0),CELL("col",Table_Customer_Data[[#Headers],[LicTradNum]]))</f>
        <v>310622202300003</v>
      </c>
      <c r="O31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19" s="37" t="s">
        <v>854</v>
      </c>
      <c r="Q319" s="38">
        <v>45315</v>
      </c>
      <c r="R31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319" s="37" t="s">
        <v>854</v>
      </c>
      <c r="T319" s="40">
        <v>15000</v>
      </c>
      <c r="U319" s="41"/>
      <c r="V31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1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</v>
      </c>
      <c r="X319" s="37" cm="1">
        <f t="array" aca="1" ref="X319" ca="1">INDEX('SAP Customer Data'!$A:$AC,MATCH(بيانات_العملاء[[#This Row],[رمز شريك الأعمال]],'SAP Customer Data'!$B:$B,0),CELL("col",Table_Customer_Data[[#Headers],[CreditLine]]))</f>
        <v>12000</v>
      </c>
      <c r="Y31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19" s="37" t="s">
        <v>855</v>
      </c>
      <c r="AA31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19" s="37" t="s">
        <v>856</v>
      </c>
      <c r="AC319" s="44"/>
      <c r="AD31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19" s="37" t="s">
        <v>856</v>
      </c>
      <c r="AF319" s="37"/>
      <c r="AG31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19" s="37" t="s">
        <v>856</v>
      </c>
      <c r="AI319" s="37"/>
      <c r="AJ31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19" s="37" t="s">
        <v>856</v>
      </c>
      <c r="AL319" s="38"/>
      <c r="AM31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19" s="37" t="s">
        <v>854</v>
      </c>
      <c r="AO319" s="41">
        <v>44781</v>
      </c>
      <c r="AP31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19" s="37" t="s">
        <v>856</v>
      </c>
      <c r="AR319" s="37"/>
      <c r="AS31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19" s="41" cm="1">
        <f t="array" aca="1" ref="AT319" ca="1">INDEX('SAP Customer Data'!A:Z,MATCH(بيانات_العملاء[[#This Row],[رمز شريك الأعمال]],'SAP Customer Data'!B:B,0),CELL("col",Table_Customer_Data[[#Headers],[CreateDate]]))</f>
        <v>44272</v>
      </c>
      <c r="AU319" s="37"/>
      <c r="AV319" s="41"/>
      <c r="AW319" s="37" t="s">
        <v>2097</v>
      </c>
      <c r="AX319" s="37"/>
    </row>
    <row r="320" spans="1:50" x14ac:dyDescent="0.25">
      <c r="A320" s="36" t="str" cm="1">
        <f t="array" aca="1" ref="A320" ca="1">INDEX('SAP Customer Data'!$A:$AC,MATCH(بيانات_العملاء[[#This Row],[رمز شريك الأعمال]],'SAP Customer Data'!$B:$B,0),CELL("col",Table_Customer_Data[[#Headers],[GroupName]]))</f>
        <v>CS05</v>
      </c>
      <c r="B320" s="35" t="s">
        <v>173</v>
      </c>
      <c r="C320" s="37" t="str" cm="1">
        <f t="array" aca="1" ref="C320" ca="1">INDEX('SAP Customer Data'!$A:$AC,MATCH(بيانات_العملاء[[#This Row],[رمز شريك الأعمال]],'SAP Customer Data'!$B:$B,0),CELL("col",Table_Customer_Data[[#Headers],[CardName]]))</f>
        <v>مؤسسة التطوير الشرقي للتجارة -نقدي</v>
      </c>
      <c r="D320" s="37" t="str">
        <f ca="1">IF(بيانات_العملاء[[#This Row],[حد الائتمان على SAP]]&gt;0,"آجل","نقدى")</f>
        <v>نقدى</v>
      </c>
      <c r="E320" s="37" t="s">
        <v>2074</v>
      </c>
      <c r="F320" s="37" t="s">
        <v>1081</v>
      </c>
      <c r="G320" s="37" t="s">
        <v>856</v>
      </c>
      <c r="H32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20" s="37" t="s">
        <v>854</v>
      </c>
      <c r="J320" s="38">
        <v>44587</v>
      </c>
      <c r="K320" s="37" t="s">
        <v>855</v>
      </c>
      <c r="L320" s="37" t="str">
        <f ca="1">IF(AND(بيانات_العملاء[[#This Row],[السجل التجارى]]="موجود",TODAY()+'Other Data'!$B$23&lt;J320,بيانات_العملاء[[#This Row],[مطابقة اسم العميل بالاسم بالسجل التجارى]]="مطابق"), "سارى", "يجب اعادة طلبه")</f>
        <v>يجب اعادة طلبه</v>
      </c>
      <c r="M320" s="37" t="s">
        <v>854</v>
      </c>
      <c r="N320" s="39" t="str" cm="1">
        <f t="array" aca="1" ref="N320" ca="1">INDEX('SAP Customer Data'!$A:$AC,MATCH(بيانات_العملاء[[#This Row],[رمز شريك الأعمال]],'SAP Customer Data'!$B:$B,0),CELL("col",Table_Customer_Data[[#Headers],[LicTradNum]]))</f>
        <v>310627640400003</v>
      </c>
      <c r="O32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20" s="37" t="s">
        <v>856</v>
      </c>
      <c r="Q320" s="38"/>
      <c r="R32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0" s="37" t="s">
        <v>1080</v>
      </c>
      <c r="T320" s="40"/>
      <c r="U320" s="41"/>
      <c r="V32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20" s="37" cm="1">
        <f t="array" aca="1" ref="X320" ca="1">INDEX('SAP Customer Data'!$A:$AC,MATCH(بيانات_العملاء[[#This Row],[رمز شريك الأعمال]],'SAP Customer Data'!$B:$B,0),CELL("col",Table_Customer_Data[[#Headers],[CreditLine]]))</f>
        <v>0</v>
      </c>
      <c r="Y32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0" s="37"/>
      <c r="AA32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20" s="37" t="s">
        <v>856</v>
      </c>
      <c r="AC320" s="44"/>
      <c r="AD32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0" s="37" t="s">
        <v>856</v>
      </c>
      <c r="AF320" s="37"/>
      <c r="AG32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0" s="37" t="s">
        <v>856</v>
      </c>
      <c r="AI320" s="37"/>
      <c r="AJ32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0" s="37" t="s">
        <v>856</v>
      </c>
      <c r="AL320" s="38"/>
      <c r="AM32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0" s="37" t="s">
        <v>856</v>
      </c>
      <c r="AO320" s="41"/>
      <c r="AP32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0" s="37" t="s">
        <v>856</v>
      </c>
      <c r="AR320" s="37"/>
      <c r="AS32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0" s="41" cm="1">
        <f t="array" aca="1" ref="AT320" ca="1">INDEX('SAP Customer Data'!A:Z,MATCH(بيانات_العملاء[[#This Row],[رمز شريك الأعمال]],'SAP Customer Data'!B:B,0),CELL("col",Table_Customer_Data[[#Headers],[CreateDate]]))</f>
        <v>44779</v>
      </c>
      <c r="AU320" s="37"/>
      <c r="AV320" s="41"/>
      <c r="AW320" s="37" t="s">
        <v>2097</v>
      </c>
      <c r="AX320" s="37"/>
    </row>
    <row r="321" spans="1:50" x14ac:dyDescent="0.25">
      <c r="A321" s="36" t="str" cm="1">
        <f t="array" aca="1" ref="A321" ca="1">INDEX('SAP Customer Data'!$A:$AC,MATCH(بيانات_العملاء[[#This Row],[رمز شريك الأعمال]],'SAP Customer Data'!$B:$B,0),CELL("col",Table_Customer_Data[[#Headers],[GroupName]]))</f>
        <v>CS05</v>
      </c>
      <c r="B321" s="35" t="s">
        <v>155</v>
      </c>
      <c r="C321" s="37" t="str" cm="1">
        <f t="array" aca="1" ref="C321" ca="1">INDEX('SAP Customer Data'!$A:$AC,MATCH(بيانات_العملاء[[#This Row],[رمز شريك الأعمال]],'SAP Customer Data'!$B:$B,0),CELL("col",Table_Customer_Data[[#Headers],[CardName]]))</f>
        <v>مؤسسة مساكب الشرقية التجارية -نقدي</v>
      </c>
      <c r="D321" s="37" t="str">
        <f ca="1">IF(بيانات_العملاء[[#This Row],[حد الائتمان على SAP]]&gt;0,"آجل","نقدى")</f>
        <v>نقدى</v>
      </c>
      <c r="E321" s="37" t="s">
        <v>2237</v>
      </c>
      <c r="F321" s="37" t="s">
        <v>1081</v>
      </c>
      <c r="G321" s="37" t="s">
        <v>856</v>
      </c>
      <c r="H32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21" s="37" t="s">
        <v>854</v>
      </c>
      <c r="J321" s="38">
        <v>44701</v>
      </c>
      <c r="K321" s="37" t="s">
        <v>855</v>
      </c>
      <c r="L321" s="37" t="str">
        <f ca="1">IF(AND(بيانات_العملاء[[#This Row],[السجل التجارى]]="موجود",TODAY()+'Other Data'!$B$23&lt;J321,بيانات_العملاء[[#This Row],[مطابقة اسم العميل بالاسم بالسجل التجارى]]="مطابق"), "سارى", "يجب اعادة طلبه")</f>
        <v>يجب اعادة طلبه</v>
      </c>
      <c r="M321" s="37" t="s">
        <v>856</v>
      </c>
      <c r="N321" s="39" t="str" cm="1">
        <f t="array" aca="1" ref="N321" ca="1">INDEX('SAP Customer Data'!$A:$AC,MATCH(بيانات_العملاء[[#This Row],[رمز شريك الأعمال]],'SAP Customer Data'!$B:$B,0),CELL("col",Table_Customer_Data[[#Headers],[LicTradNum]]))</f>
        <v>302062070800003</v>
      </c>
      <c r="O32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21" s="37" t="s">
        <v>856</v>
      </c>
      <c r="Q321" s="38"/>
      <c r="R32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1" s="37" t="s">
        <v>1080</v>
      </c>
      <c r="T321" s="40"/>
      <c r="U321" s="41"/>
      <c r="V32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21" s="37" cm="1">
        <f t="array" aca="1" ref="X321" ca="1">INDEX('SAP Customer Data'!$A:$AC,MATCH(بيانات_العملاء[[#This Row],[رمز شريك الأعمال]],'SAP Customer Data'!$B:$B,0),CELL("col",Table_Customer_Data[[#Headers],[CreditLine]]))</f>
        <v>0</v>
      </c>
      <c r="Y32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1" s="37"/>
      <c r="AA32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21" s="37" t="s">
        <v>856</v>
      </c>
      <c r="AC321" s="37"/>
      <c r="AD32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1" s="37"/>
      <c r="AF321" s="37"/>
      <c r="AG32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1" s="37"/>
      <c r="AI321" s="37"/>
      <c r="AJ32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1" s="37"/>
      <c r="AL321" s="38"/>
      <c r="AM32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1" s="37" t="s">
        <v>856</v>
      </c>
      <c r="AO321" s="41"/>
      <c r="AP32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1" s="37"/>
      <c r="AR321" s="37"/>
      <c r="AS32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1" s="41" cm="1">
        <f t="array" aca="1" ref="AT321" ca="1">INDEX('SAP Customer Data'!A:Z,MATCH(بيانات_العملاء[[#This Row],[رمز شريك الأعمال]],'SAP Customer Data'!B:B,0),CELL("col",Table_Customer_Data[[#Headers],[CreateDate]]))</f>
        <v>44637</v>
      </c>
      <c r="AU321" s="37"/>
      <c r="AV321" s="41"/>
      <c r="AW321" s="37" t="s">
        <v>2097</v>
      </c>
      <c r="AX321" s="37"/>
    </row>
    <row r="322" spans="1:50" x14ac:dyDescent="0.25">
      <c r="A322" s="36" t="str" cm="1">
        <f t="array" aca="1" ref="A322" ca="1">INDEX('SAP Customer Data'!$A:$AC,MATCH(بيانات_العملاء[[#This Row],[رمز شريك الأعمال]],'SAP Customer Data'!$B:$B,0),CELL("col",Table_Customer_Data[[#Headers],[GroupName]]))</f>
        <v>CS05</v>
      </c>
      <c r="B322" s="35" t="s">
        <v>157</v>
      </c>
      <c r="C322" s="37" t="str" cm="1">
        <f t="array" aca="1" ref="C322" ca="1">INDEX('SAP Customer Data'!$A:$AC,MATCH(بيانات_العملاء[[#This Row],[رمز شريك الأعمال]],'SAP Customer Data'!$B:$B,0),CELL("col",Table_Customer_Data[[#Headers],[CardName]]))</f>
        <v>مؤسسة اسيا محمد ناصر عجيمان التجارية</v>
      </c>
      <c r="D322" s="37" t="str">
        <f ca="1">IF(بيانات_العملاء[[#This Row],[حد الائتمان على SAP]]&gt;0,"آجل","نقدى")</f>
        <v>آجل</v>
      </c>
      <c r="E322" s="37" t="s">
        <v>2044</v>
      </c>
      <c r="F322" s="37" t="s">
        <v>1081</v>
      </c>
      <c r="G322" s="37" t="s">
        <v>854</v>
      </c>
      <c r="H32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22" s="37" t="s">
        <v>854</v>
      </c>
      <c r="J322" s="38">
        <v>44962</v>
      </c>
      <c r="K322" s="37" t="s">
        <v>855</v>
      </c>
      <c r="L322" s="37" t="str">
        <f ca="1">IF(AND(بيانات_العملاء[[#This Row],[السجل التجارى]]="موجود",TODAY()+'Other Data'!$B$23&lt;J322,بيانات_العملاء[[#This Row],[مطابقة اسم العميل بالاسم بالسجل التجارى]]="مطابق"), "سارى", "يجب اعادة طلبه")</f>
        <v>يجب اعادة طلبه</v>
      </c>
      <c r="M322" s="37" t="s">
        <v>854</v>
      </c>
      <c r="N322" s="39" t="str" cm="1">
        <f t="array" aca="1" ref="N322" ca="1">INDEX('SAP Customer Data'!$A:$AC,MATCH(بيانات_العملاء[[#This Row],[رمز شريك الأعمال]],'SAP Customer Data'!$B:$B,0),CELL("col",Table_Customer_Data[[#Headers],[LicTradNum]]))</f>
        <v>310665306600003</v>
      </c>
      <c r="O32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22" s="37" t="s">
        <v>854</v>
      </c>
      <c r="Q322" s="38">
        <v>44897</v>
      </c>
      <c r="R32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2" s="37" t="s">
        <v>854</v>
      </c>
      <c r="T322" s="40">
        <v>20000</v>
      </c>
      <c r="U322" s="41"/>
      <c r="V32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322" s="37" cm="1">
        <f t="array" aca="1" ref="X322" ca="1">INDEX('SAP Customer Data'!$A:$AC,MATCH(بيانات_العملاء[[#This Row],[رمز شريك الأعمال]],'SAP Customer Data'!$B:$B,0),CELL("col",Table_Customer_Data[[#Headers],[CreditLine]]))</f>
        <v>16000</v>
      </c>
      <c r="Y32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2" s="37" t="s">
        <v>855</v>
      </c>
      <c r="AA32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22" s="37" t="s">
        <v>856</v>
      </c>
      <c r="AC322" s="44"/>
      <c r="AD32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2" s="37" t="s">
        <v>856</v>
      </c>
      <c r="AF322" s="37"/>
      <c r="AG32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2" s="37" t="s">
        <v>856</v>
      </c>
      <c r="AI322" s="37"/>
      <c r="AJ32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2" s="37" t="s">
        <v>856</v>
      </c>
      <c r="AL322" s="38"/>
      <c r="AM32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2" s="37" t="s">
        <v>856</v>
      </c>
      <c r="AO322" s="41"/>
      <c r="AP32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2" s="37" t="s">
        <v>856</v>
      </c>
      <c r="AR322" s="37"/>
      <c r="AS32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2" s="41" cm="1">
        <f t="array" aca="1" ref="AT322" ca="1">INDEX('SAP Customer Data'!A:Z,MATCH(بيانات_العملاء[[#This Row],[رمز شريك الأعمال]],'SAP Customer Data'!B:B,0),CELL("col",Table_Customer_Data[[#Headers],[CreateDate]]))</f>
        <v>44643</v>
      </c>
      <c r="AU322" s="37"/>
      <c r="AV322" s="41"/>
      <c r="AW322" s="37" t="s">
        <v>2097</v>
      </c>
      <c r="AX322" s="37"/>
    </row>
    <row r="323" spans="1:50" x14ac:dyDescent="0.25">
      <c r="A323" s="36" t="str" cm="1">
        <f t="array" aca="1" ref="A323" ca="1">INDEX('SAP Customer Data'!$A:$AC,MATCH(بيانات_العملاء[[#This Row],[رمز شريك الأعمال]],'SAP Customer Data'!$B:$B,0),CELL("col",Table_Customer_Data[[#Headers],[GroupName]]))</f>
        <v>CS05</v>
      </c>
      <c r="B323" s="35" t="s">
        <v>153</v>
      </c>
      <c r="C323" s="37" t="str" cm="1">
        <f t="array" aca="1" ref="C323" ca="1">INDEX('SAP Customer Data'!$A:$AC,MATCH(بيانات_العملاء[[#This Row],[رمز شريك الأعمال]],'SAP Customer Data'!$B:$B,0),CELL("col",Table_Customer_Data[[#Headers],[CardName]]))</f>
        <v>مؤسسة ديم ستور التجارية -نقدي</v>
      </c>
      <c r="D323" s="37" t="str">
        <f ca="1">IF(بيانات_العملاء[[#This Row],[حد الائتمان على SAP]]&gt;0,"آجل","نقدى")</f>
        <v>نقدى</v>
      </c>
      <c r="E323" s="37" t="s">
        <v>2238</v>
      </c>
      <c r="F323" s="37" t="s">
        <v>1081</v>
      </c>
      <c r="G323" s="37" t="s">
        <v>856</v>
      </c>
      <c r="H32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23" s="37" t="s">
        <v>854</v>
      </c>
      <c r="J323" s="38">
        <v>44883</v>
      </c>
      <c r="K323" s="37" t="s">
        <v>855</v>
      </c>
      <c r="L323" s="37" t="str">
        <f ca="1">IF(AND(بيانات_العملاء[[#This Row],[السجل التجارى]]="موجود",TODAY()+'Other Data'!$B$23&lt;J323,بيانات_العملاء[[#This Row],[مطابقة اسم العميل بالاسم بالسجل التجارى]]="مطابق"), "سارى", "يجب اعادة طلبه")</f>
        <v>يجب اعادة طلبه</v>
      </c>
      <c r="M323" s="37" t="s">
        <v>856</v>
      </c>
      <c r="N323" s="39" t="str" cm="1">
        <f t="array" aca="1" ref="N323" ca="1">INDEX('SAP Customer Data'!$A:$AC,MATCH(بيانات_العملاء[[#This Row],[رمز شريك الأعمال]],'SAP Customer Data'!$B:$B,0),CELL("col",Table_Customer_Data[[#Headers],[LicTradNum]]))</f>
        <v>300830919300003</v>
      </c>
      <c r="O32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23" s="37" t="s">
        <v>856</v>
      </c>
      <c r="Q323" s="38"/>
      <c r="R32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3" s="37" t="s">
        <v>1080</v>
      </c>
      <c r="T323" s="40"/>
      <c r="U323" s="41"/>
      <c r="V32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23" s="37" cm="1">
        <f t="array" aca="1" ref="X323" ca="1">INDEX('SAP Customer Data'!$A:$AC,MATCH(بيانات_العملاء[[#This Row],[رمز شريك الأعمال]],'SAP Customer Data'!$B:$B,0),CELL("col",Table_Customer_Data[[#Headers],[CreditLine]]))</f>
        <v>0</v>
      </c>
      <c r="Y32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3" s="37"/>
      <c r="AA32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23" s="37" t="s">
        <v>856</v>
      </c>
      <c r="AC323" s="37"/>
      <c r="AD32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3" s="37"/>
      <c r="AF323" s="37"/>
      <c r="AG32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3" s="37"/>
      <c r="AI323" s="37"/>
      <c r="AJ32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3" s="37"/>
      <c r="AL323" s="38"/>
      <c r="AM32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3" s="37" t="s">
        <v>856</v>
      </c>
      <c r="AO323" s="41"/>
      <c r="AP32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3" s="37"/>
      <c r="AR323" s="37"/>
      <c r="AS32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3" s="41" cm="1">
        <f t="array" aca="1" ref="AT323" ca="1">INDEX('SAP Customer Data'!A:Z,MATCH(بيانات_العملاء[[#This Row],[رمز شريك الأعمال]],'SAP Customer Data'!B:B,0),CELL("col",Table_Customer_Data[[#Headers],[CreateDate]]))</f>
        <v>44632</v>
      </c>
      <c r="AU323" s="37"/>
      <c r="AV323" s="41"/>
      <c r="AW323" s="37" t="s">
        <v>2097</v>
      </c>
      <c r="AX323" s="37"/>
    </row>
    <row r="324" spans="1:50" x14ac:dyDescent="0.25">
      <c r="A324" s="36" t="str" cm="1">
        <f t="array" aca="1" ref="A324" ca="1">INDEX('SAP Customer Data'!$A:$AC,MATCH(بيانات_العملاء[[#This Row],[رمز شريك الأعمال]],'SAP Customer Data'!$B:$B,0),CELL("col",Table_Customer_Data[[#Headers],[GroupName]]))</f>
        <v>CS05</v>
      </c>
      <c r="B324" s="35" t="s">
        <v>58</v>
      </c>
      <c r="C324" s="37" t="str" cm="1">
        <f t="array" aca="1" ref="C324" ca="1">INDEX('SAP Customer Data'!$A:$AC,MATCH(بيانات_العملاء[[#This Row],[رمز شريك الأعمال]],'SAP Customer Data'!$B:$B,0),CELL("col",Table_Customer_Data[[#Headers],[CardName]]))</f>
        <v>مؤسسة فكرة ضوء التجارية- نقدي</v>
      </c>
      <c r="D324" s="37" t="str">
        <f ca="1">IF(بيانات_العملاء[[#This Row],[حد الائتمان على SAP]]&gt;0,"آجل","نقدى")</f>
        <v>نقدى</v>
      </c>
      <c r="E324" s="37"/>
      <c r="F324" s="37" t="s">
        <v>1082</v>
      </c>
      <c r="G324" s="37" t="s">
        <v>854</v>
      </c>
      <c r="H32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24" s="37" t="s">
        <v>856</v>
      </c>
      <c r="J324" s="38"/>
      <c r="K324" s="37"/>
      <c r="L324" s="37" t="str">
        <f ca="1">IF(AND(بيانات_العملاء[[#This Row],[السجل التجارى]]="موجود",TODAY()+'Other Data'!$B$23&lt;J324,بيانات_العملاء[[#This Row],[مطابقة اسم العميل بالاسم بالسجل التجارى]]="مطابق"), "سارى", "يجب اعادة طلبه")</f>
        <v>يجب اعادة طلبه</v>
      </c>
      <c r="M324" s="37" t="s">
        <v>856</v>
      </c>
      <c r="N324" s="39" t="str" cm="1">
        <f t="array" aca="1" ref="N324" ca="1">INDEX('SAP Customer Data'!$A:$AC,MATCH(بيانات_العملاء[[#This Row],[رمز شريك الأعمال]],'SAP Customer Data'!$B:$B,0),CELL("col",Table_Customer_Data[[#Headers],[LicTradNum]]))</f>
        <v>310695414900003</v>
      </c>
      <c r="O32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24" s="37" t="s">
        <v>856</v>
      </c>
      <c r="Q324" s="38"/>
      <c r="R32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4" s="37" t="s">
        <v>1080</v>
      </c>
      <c r="T324" s="40"/>
      <c r="U324" s="41"/>
      <c r="V32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24" s="37" cm="1">
        <f t="array" aca="1" ref="X324" ca="1">INDEX('SAP Customer Data'!$A:$AC,MATCH(بيانات_العملاء[[#This Row],[رمز شريك الأعمال]],'SAP Customer Data'!$B:$B,0),CELL("col",Table_Customer_Data[[#Headers],[CreditLine]]))</f>
        <v>0</v>
      </c>
      <c r="Y32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4" s="37"/>
      <c r="AA32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24" s="37" t="s">
        <v>856</v>
      </c>
      <c r="AC324" s="44"/>
      <c r="AD32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4" s="37" t="s">
        <v>856</v>
      </c>
      <c r="AF324" s="37"/>
      <c r="AG32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4" s="37" t="s">
        <v>856</v>
      </c>
      <c r="AI324" s="37"/>
      <c r="AJ32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4" s="37" t="s">
        <v>856</v>
      </c>
      <c r="AL324" s="38"/>
      <c r="AM32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4" s="37" t="s">
        <v>856</v>
      </c>
      <c r="AO324" s="41"/>
      <c r="AP32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4" s="37" t="s">
        <v>856</v>
      </c>
      <c r="AR324" s="37"/>
      <c r="AS32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4" s="41" cm="1">
        <f t="array" aca="1" ref="AT324" ca="1">INDEX('SAP Customer Data'!A:Z,MATCH(بيانات_العملاء[[#This Row],[رمز شريك الأعمال]],'SAP Customer Data'!B:B,0),CELL("col",Table_Customer_Data[[#Headers],[CreateDate]]))</f>
        <v>44424</v>
      </c>
      <c r="AU324" s="37"/>
      <c r="AV324" s="41"/>
      <c r="AW324" s="37" t="s">
        <v>2097</v>
      </c>
      <c r="AX324" s="37"/>
    </row>
    <row r="325" spans="1:50" x14ac:dyDescent="0.25">
      <c r="A325" s="36" t="str" cm="1">
        <f t="array" aca="1" ref="A325" ca="1">INDEX('SAP Customer Data'!$A:$AC,MATCH(بيانات_العملاء[[#This Row],[رمز شريك الأعمال]],'SAP Customer Data'!$B:$B,0),CELL("col",Table_Customer_Data[[#Headers],[GroupName]]))</f>
        <v>CS05</v>
      </c>
      <c r="B325" s="35" t="s">
        <v>161</v>
      </c>
      <c r="C325" s="37" t="str" cm="1">
        <f t="array" aca="1" ref="C325" ca="1">INDEX('SAP Customer Data'!$A:$AC,MATCH(بيانات_العملاء[[#This Row],[رمز شريك الأعمال]],'SAP Customer Data'!$B:$B,0),CELL("col",Table_Customer_Data[[#Headers],[CardName]]))</f>
        <v>مؤسسة عبدالعزيز توفيق سليمان العودة التجارية</v>
      </c>
      <c r="D325" s="37" t="str">
        <f ca="1">IF(بيانات_العملاء[[#This Row],[حد الائتمان على SAP]]&gt;0,"آجل","نقدى")</f>
        <v>آجل</v>
      </c>
      <c r="E325" s="37" t="s">
        <v>2069</v>
      </c>
      <c r="F325" s="37" t="s">
        <v>1081</v>
      </c>
      <c r="G325" s="37" t="s">
        <v>854</v>
      </c>
      <c r="H32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25" s="37" t="s">
        <v>854</v>
      </c>
      <c r="J325" s="38">
        <v>44882</v>
      </c>
      <c r="K325" s="37" t="s">
        <v>855</v>
      </c>
      <c r="L325" s="37" t="s">
        <v>1009</v>
      </c>
      <c r="M325" s="37" t="s">
        <v>854</v>
      </c>
      <c r="N325" s="39" t="str" cm="1">
        <f t="array" aca="1" ref="N325" ca="1">INDEX('SAP Customer Data'!$A:$AC,MATCH(بيانات_العملاء[[#This Row],[رمز شريك الأعمال]],'SAP Customer Data'!$B:$B,0),CELL("col",Table_Customer_Data[[#Headers],[LicTradNum]]))</f>
        <v>310795330800003</v>
      </c>
      <c r="O325" s="37" t="s">
        <v>1008</v>
      </c>
      <c r="P325" s="37" t="s">
        <v>856</v>
      </c>
      <c r="Q325" s="38"/>
      <c r="R325" s="37" t="s">
        <v>1009</v>
      </c>
      <c r="S325" s="37" t="s">
        <v>854</v>
      </c>
      <c r="T325" s="40">
        <v>20000</v>
      </c>
      <c r="U325" s="41"/>
      <c r="V32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325" s="37" cm="1">
        <f t="array" aca="1" ref="X325" ca="1">INDEX('SAP Customer Data'!$A:$AC,MATCH(بيانات_العملاء[[#This Row],[رمز شريك الأعمال]],'SAP Customer Data'!$B:$B,0),CELL("col",Table_Customer_Data[[#Headers],[CreditLine]]))</f>
        <v>16000</v>
      </c>
      <c r="Y32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5" s="37" t="s">
        <v>855</v>
      </c>
      <c r="AA32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25" s="37" t="s">
        <v>854</v>
      </c>
      <c r="AC325" s="44">
        <v>45783</v>
      </c>
      <c r="AD325" s="37" t="s">
        <v>1008</v>
      </c>
      <c r="AE325" s="37" t="s">
        <v>856</v>
      </c>
      <c r="AF325" s="37"/>
      <c r="AG325" s="37" t="s">
        <v>1009</v>
      </c>
      <c r="AH325" s="37" t="s">
        <v>856</v>
      </c>
      <c r="AI325" s="37"/>
      <c r="AJ325" s="37" t="s">
        <v>1009</v>
      </c>
      <c r="AK325" s="37" t="s">
        <v>856</v>
      </c>
      <c r="AL325" s="38"/>
      <c r="AM325" s="37" t="s">
        <v>1009</v>
      </c>
      <c r="AN325" s="37" t="s">
        <v>854</v>
      </c>
      <c r="AO325" s="41">
        <v>44795</v>
      </c>
      <c r="AP325" s="37" t="s">
        <v>1009</v>
      </c>
      <c r="AQ325" s="37" t="s">
        <v>856</v>
      </c>
      <c r="AR325" s="37"/>
      <c r="AS32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5" s="41" cm="1">
        <f t="array" aca="1" ref="AT325" ca="1">INDEX('SAP Customer Data'!A:Z,MATCH(بيانات_العملاء[[#This Row],[رمز شريك الأعمال]],'SAP Customer Data'!B:B,0),CELL("col",Table_Customer_Data[[#Headers],[CreateDate]]))</f>
        <v>44710</v>
      </c>
      <c r="AU325" s="37"/>
      <c r="AV325" s="41"/>
      <c r="AW325" s="37" t="s">
        <v>2097</v>
      </c>
      <c r="AX325" s="37"/>
    </row>
    <row r="326" spans="1:50" x14ac:dyDescent="0.25">
      <c r="A326" s="36" t="str" cm="1">
        <f t="array" aca="1" ref="A326" ca="1">INDEX('SAP Customer Data'!$A:$AC,MATCH(بيانات_العملاء[[#This Row],[رمز شريك الأعمال]],'SAP Customer Data'!$B:$B,0),CELL("col",Table_Customer_Data[[#Headers],[GroupName]]))</f>
        <v>CS05</v>
      </c>
      <c r="B326" s="35" t="s">
        <v>181</v>
      </c>
      <c r="C326" s="37" t="str" cm="1">
        <f t="array" aca="1" ref="C326" ca="1">INDEX('SAP Customer Data'!$A:$AC,MATCH(بيانات_العملاء[[#This Row],[رمز شريك الأعمال]],'SAP Customer Data'!$B:$B,0),CELL("col",Table_Customer_Data[[#Headers],[CardName]]))</f>
        <v>مؤسسة السور الذهبي للتجارة - نقدى</v>
      </c>
      <c r="D326" s="37" t="str">
        <f ca="1">IF(بيانات_العملاء[[#This Row],[حد الائتمان على SAP]]&gt;0,"آجل","نقدى")</f>
        <v>نقدى</v>
      </c>
      <c r="E326" s="37" t="s">
        <v>2057</v>
      </c>
      <c r="F326" s="37" t="s">
        <v>1081</v>
      </c>
      <c r="G326" s="37" t="s">
        <v>854</v>
      </c>
      <c r="H32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26" s="37" t="s">
        <v>854</v>
      </c>
      <c r="J326" s="38">
        <v>45175</v>
      </c>
      <c r="K326" s="37" t="s">
        <v>855</v>
      </c>
      <c r="L326" s="37" t="str">
        <f ca="1">IF(AND(بيانات_العملاء[[#This Row],[السجل التجارى]]="موجود",TODAY()+'Other Data'!$B$23&lt;J326,بيانات_العملاء[[#This Row],[مطابقة اسم العميل بالاسم بالسجل التجارى]]="مطابق"), "سارى", "يجب اعادة طلبه")</f>
        <v>يجب اعادة طلبه</v>
      </c>
      <c r="M326" s="37" t="s">
        <v>854</v>
      </c>
      <c r="N326" s="39" t="str" cm="1">
        <f t="array" aca="1" ref="N326" ca="1">INDEX('SAP Customer Data'!$A:$AC,MATCH(بيانات_العملاء[[#This Row],[رمز شريك الأعمال]],'SAP Customer Data'!$B:$B,0),CELL("col",Table_Customer_Data[[#Headers],[LicTradNum]]))</f>
        <v>310836002700003</v>
      </c>
      <c r="O32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26" s="37" t="s">
        <v>854</v>
      </c>
      <c r="Q326" s="38">
        <v>44830</v>
      </c>
      <c r="R32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6" s="37" t="s">
        <v>1080</v>
      </c>
      <c r="T326" s="40"/>
      <c r="U326" s="41"/>
      <c r="V32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26" s="37" cm="1">
        <f t="array" aca="1" ref="X326" ca="1">INDEX('SAP Customer Data'!$A:$AC,MATCH(بيانات_العملاء[[#This Row],[رمز شريك الأعمال]],'SAP Customer Data'!$B:$B,0),CELL("col",Table_Customer_Data[[#Headers],[CreditLine]]))</f>
        <v>0</v>
      </c>
      <c r="Y32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6" s="37"/>
      <c r="AA32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26" s="37" t="s">
        <v>856</v>
      </c>
      <c r="AC326" s="44"/>
      <c r="AD32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6" s="37" t="s">
        <v>856</v>
      </c>
      <c r="AF326" s="37"/>
      <c r="AG32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6" s="37" t="s">
        <v>856</v>
      </c>
      <c r="AI326" s="37"/>
      <c r="AJ32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6" s="37" t="s">
        <v>856</v>
      </c>
      <c r="AL326" s="38"/>
      <c r="AM32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6" s="37" t="s">
        <v>854</v>
      </c>
      <c r="AO326" s="41">
        <v>44361</v>
      </c>
      <c r="AP32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6" s="37" t="s">
        <v>856</v>
      </c>
      <c r="AR326" s="37"/>
      <c r="AS32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6" s="41" cm="1">
        <f t="array" aca="1" ref="AT326" ca="1">INDEX('SAP Customer Data'!A:Z,MATCH(بيانات_العملاء[[#This Row],[رمز شريك الأعمال]],'SAP Customer Data'!B:B,0),CELL("col",Table_Customer_Data[[#Headers],[CreateDate]]))</f>
        <v>44916</v>
      </c>
      <c r="AU326" s="37"/>
      <c r="AV326" s="41"/>
      <c r="AW326" s="37" t="s">
        <v>2097</v>
      </c>
      <c r="AX326" s="37"/>
    </row>
    <row r="327" spans="1:50" x14ac:dyDescent="0.25">
      <c r="A327" s="22" t="str" cm="1">
        <f t="array" aca="1" ref="A327" ca="1">INDEX('SAP Customer Data'!$A:$AC,MATCH(بيانات_العملاء[[#This Row],[رمز شريك الأعمال]],'SAP Customer Data'!$B:$B,0),CELL("col",Table_Customer_Data[[#Headers],[GroupName]]))</f>
        <v>CS05</v>
      </c>
      <c r="B327" s="23" t="s">
        <v>85</v>
      </c>
      <c r="C327" s="24" t="str" cm="1">
        <f t="array" aca="1" ref="C327" ca="1">INDEX('SAP Customer Data'!$A:$AC,MATCH(بيانات_العملاء[[#This Row],[رمز شريك الأعمال]],'SAP Customer Data'!$B:$B,0),CELL("col",Table_Customer_Data[[#Headers],[CardName]]))</f>
        <v>مؤسسة نور الشمس الشرق الاوسط التجارية</v>
      </c>
      <c r="D327" s="24" t="str">
        <f ca="1">IF(بيانات_العملاء[[#This Row],[حد الائتمان على SAP]]&gt;0,"آجل","نقدى")</f>
        <v>آجل</v>
      </c>
      <c r="E327" s="24"/>
      <c r="F327" s="24" t="s">
        <v>1082</v>
      </c>
      <c r="G327" s="24" t="s">
        <v>854</v>
      </c>
      <c r="H327" s="24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27" s="24" t="s">
        <v>856</v>
      </c>
      <c r="J327" s="25"/>
      <c r="K327" s="24"/>
      <c r="L327" s="24" t="str">
        <f ca="1">IF(AND(بيانات_العملاء[[#This Row],[السجل التجارى]]="موجود",TODAY()+'Other Data'!$B$23&lt;J327,بيانات_العملاء[[#This Row],[مطابقة اسم العميل بالاسم بالسجل التجارى]]="مطابق"), "سارى", "يجب اعادة طلبه")</f>
        <v>يجب اعادة طلبه</v>
      </c>
      <c r="M327" s="24" t="s">
        <v>856</v>
      </c>
      <c r="N327" s="2" t="str" cm="1">
        <f t="array" aca="1" ref="N327" ca="1">INDEX('SAP Customer Data'!$A:$AC,MATCH(بيانات_العملاء[[#This Row],[رمز شريك الأعمال]],'SAP Customer Data'!$B:$B,0),CELL("col",Table_Customer_Data[[#Headers],[LicTradNum]]))</f>
        <v>310861261500003</v>
      </c>
      <c r="O327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27" s="24" t="s">
        <v>856</v>
      </c>
      <c r="Q327" s="25"/>
      <c r="R327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7" s="24" t="s">
        <v>854</v>
      </c>
      <c r="T327" s="27">
        <v>20000</v>
      </c>
      <c r="U327" s="11"/>
      <c r="V327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327" s="24" cm="1">
        <f t="array" aca="1" ref="X327" ca="1">INDEX('SAP Customer Data'!$A:$AC,MATCH(بيانات_العملاء[[#This Row],[رمز شريك الأعمال]],'SAP Customer Data'!$B:$B,0),CELL("col",Table_Customer_Data[[#Headers],[CreditLine]]))</f>
        <v>18000</v>
      </c>
      <c r="Y32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327" s="24" t="s">
        <v>859</v>
      </c>
      <c r="AA32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27" s="24" t="s">
        <v>856</v>
      </c>
      <c r="AC327" s="28"/>
      <c r="AD327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7" s="24" t="s">
        <v>856</v>
      </c>
      <c r="AF327" s="24"/>
      <c r="AG327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7" s="24" t="s">
        <v>856</v>
      </c>
      <c r="AI327" s="24"/>
      <c r="AJ327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7" s="24" t="s">
        <v>856</v>
      </c>
      <c r="AL327" s="25"/>
      <c r="AM327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7" s="24" t="s">
        <v>856</v>
      </c>
      <c r="AO327" s="11"/>
      <c r="AP327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7" s="24" t="s">
        <v>856</v>
      </c>
      <c r="AR327" s="24"/>
      <c r="AS327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7" s="11" cm="1">
        <f t="array" aca="1" ref="AT327" ca="1">INDEX('SAP Customer Data'!A:Z,MATCH(بيانات_العملاء[[#This Row],[رمز شريك الأعمال]],'SAP Customer Data'!B:B,0),CELL("col",Table_Customer_Data[[#Headers],[CreateDate]]))</f>
        <v>44504</v>
      </c>
      <c r="AU327" s="24"/>
      <c r="AV327" s="8" t="s">
        <v>2046</v>
      </c>
      <c r="AW327" s="24" t="s">
        <v>2097</v>
      </c>
      <c r="AX327" s="24"/>
    </row>
    <row r="328" spans="1:50" x14ac:dyDescent="0.25">
      <c r="A328" s="36" t="str" cm="1">
        <f t="array" aca="1" ref="A328" ca="1">INDEX('SAP Customer Data'!$A:$AC,MATCH(بيانات_العملاء[[#This Row],[رمز شريك الأعمال]],'SAP Customer Data'!$B:$B,0),CELL("col",Table_Customer_Data[[#Headers],[GroupName]]))</f>
        <v>CS05</v>
      </c>
      <c r="B328" s="42" t="s">
        <v>89</v>
      </c>
      <c r="C328" s="37" t="str" cm="1">
        <f t="array" aca="1" ref="C328" ca="1">INDEX('SAP Customer Data'!$A:$AC,MATCH(بيانات_العملاء[[#This Row],[رمز شريك الأعمال]],'SAP Customer Data'!$B:$B,0),CELL("col",Table_Customer_Data[[#Headers],[CardName]]))</f>
        <v>مؤسسة أصول الاضاءة التجارية - نقدي</v>
      </c>
      <c r="D328" s="37" t="str">
        <f ca="1">IF(بيانات_العملاء[[#This Row],[حد الائتمان على SAP]]&gt;0,"آجل","نقدى")</f>
        <v>نقدى</v>
      </c>
      <c r="E328" s="37"/>
      <c r="F328" s="37" t="s">
        <v>1082</v>
      </c>
      <c r="G328" s="37"/>
      <c r="H32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28" s="37" t="s">
        <v>856</v>
      </c>
      <c r="J328" s="38"/>
      <c r="K328" s="37"/>
      <c r="L328" s="37" t="str">
        <f ca="1">IF(AND(بيانات_العملاء[[#This Row],[السجل التجارى]]="موجود",TODAY()+'Other Data'!$B$23&lt;J328,بيانات_العملاء[[#This Row],[مطابقة اسم العميل بالاسم بالسجل التجارى]]="مطابق"), "سارى", "يجب اعادة طلبه")</f>
        <v>يجب اعادة طلبه</v>
      </c>
      <c r="M328" s="37" t="s">
        <v>854</v>
      </c>
      <c r="N328" s="39" t="str" cm="1">
        <f t="array" aca="1" ref="N328" ca="1">INDEX('SAP Customer Data'!$A:$AC,MATCH(بيانات_العملاء[[#This Row],[رمز شريك الأعمال]],'SAP Customer Data'!$B:$B,0),CELL("col",Table_Customer_Data[[#Headers],[LicTradNum]]))</f>
        <v>302170129500003</v>
      </c>
      <c r="O32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28" s="37"/>
      <c r="Q328" s="38"/>
      <c r="R32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8" s="37" t="s">
        <v>1080</v>
      </c>
      <c r="T328" s="40"/>
      <c r="U328" s="41"/>
      <c r="V32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28" s="37" cm="1">
        <f t="array" aca="1" ref="X328" ca="1">INDEX('SAP Customer Data'!$A:$AC,MATCH(بيانات_العملاء[[#This Row],[رمز شريك الأعمال]],'SAP Customer Data'!$B:$B,0),CELL("col",Table_Customer_Data[[#Headers],[CreditLine]]))</f>
        <v>0</v>
      </c>
      <c r="Y32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8" s="37"/>
      <c r="AA32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28" s="37"/>
      <c r="AC328" s="37"/>
      <c r="AD32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8" s="37"/>
      <c r="AF328" s="37"/>
      <c r="AG32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8" s="37"/>
      <c r="AI328" s="37"/>
      <c r="AJ32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8" s="37"/>
      <c r="AL328" s="38"/>
      <c r="AM32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8" s="37"/>
      <c r="AO328" s="41"/>
      <c r="AP32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8" s="37"/>
      <c r="AR328" s="37"/>
      <c r="AS32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8" s="41" cm="1">
        <f t="array" aca="1" ref="AT328" ca="1">INDEX('SAP Customer Data'!A:Z,MATCH(بيانات_العملاء[[#This Row],[رمز شريك الأعمال]],'SAP Customer Data'!B:B,0),CELL("col",Table_Customer_Data[[#Headers],[CreateDate]]))</f>
        <v>44514</v>
      </c>
      <c r="AU328" s="37"/>
      <c r="AV328" s="41"/>
      <c r="AW328" s="37" t="s">
        <v>2097</v>
      </c>
      <c r="AX328" s="37"/>
    </row>
    <row r="329" spans="1:50" x14ac:dyDescent="0.25">
      <c r="A329" s="36" t="str" cm="1">
        <f t="array" aca="1" ref="A329" ca="1">INDEX('SAP Customer Data'!$A:$AC,MATCH(بيانات_العملاء[[#This Row],[رمز شريك الأعمال]],'SAP Customer Data'!$B:$B,0),CELL("col",Table_Customer_Data[[#Headers],[GroupName]]))</f>
        <v>CS05</v>
      </c>
      <c r="B329" s="42" t="s">
        <v>107</v>
      </c>
      <c r="C329" s="37" t="str" cm="1">
        <f t="array" aca="1" ref="C329" ca="1">INDEX('SAP Customer Data'!$A:$AC,MATCH(بيانات_العملاء[[#This Row],[رمز شريك الأعمال]],'SAP Customer Data'!$B:$B,0),CELL("col",Table_Customer_Data[[#Headers],[CardName]]))</f>
        <v>مؤسسة تلال العزيزية التجارية - نقدي</v>
      </c>
      <c r="D329" s="37" t="str">
        <f ca="1">IF(بيانات_العملاء[[#This Row],[حد الائتمان على SAP]]&gt;0,"آجل","نقدى")</f>
        <v>نقدى</v>
      </c>
      <c r="E329" s="37"/>
      <c r="F329" s="37" t="s">
        <v>1082</v>
      </c>
      <c r="G329" s="37"/>
      <c r="H32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29" s="37" t="s">
        <v>856</v>
      </c>
      <c r="J329" s="38"/>
      <c r="K329" s="37"/>
      <c r="L329" s="37" t="str">
        <f ca="1">IF(AND(بيانات_العملاء[[#This Row],[السجل التجارى]]="موجود",TODAY()+'Other Data'!$B$23&lt;J329,بيانات_العملاء[[#This Row],[مطابقة اسم العميل بالاسم بالسجل التجارى]]="مطابق"), "سارى", "يجب اعادة طلبه")</f>
        <v>يجب اعادة طلبه</v>
      </c>
      <c r="M329" s="37" t="s">
        <v>854</v>
      </c>
      <c r="N329" s="39" t="str" cm="1">
        <f t="array" aca="1" ref="N329" ca="1">INDEX('SAP Customer Data'!$A:$AC,MATCH(بيانات_العملاء[[#This Row],[رمز شريك الأعمال]],'SAP Customer Data'!$B:$B,0),CELL("col",Table_Customer_Data[[#Headers],[LicTradNum]]))</f>
        <v>302176800900003</v>
      </c>
      <c r="O32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29" s="37"/>
      <c r="Q329" s="38"/>
      <c r="R32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29" s="37" t="s">
        <v>1080</v>
      </c>
      <c r="T329" s="40"/>
      <c r="U329" s="41"/>
      <c r="V32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2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29" s="37" cm="1">
        <f t="array" aca="1" ref="X329" ca="1">INDEX('SAP Customer Data'!$A:$AC,MATCH(بيانات_العملاء[[#This Row],[رمز شريك الأعمال]],'SAP Customer Data'!$B:$B,0),CELL("col",Table_Customer_Data[[#Headers],[CreditLine]]))</f>
        <v>0</v>
      </c>
      <c r="Y32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29" s="37"/>
      <c r="AA32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29" s="37"/>
      <c r="AC329" s="37"/>
      <c r="AD32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29" s="37"/>
      <c r="AF329" s="37"/>
      <c r="AG32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29" s="37"/>
      <c r="AI329" s="37"/>
      <c r="AJ32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29" s="37"/>
      <c r="AL329" s="38"/>
      <c r="AM32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29" s="37"/>
      <c r="AO329" s="41"/>
      <c r="AP32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29" s="37"/>
      <c r="AR329" s="37"/>
      <c r="AS32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29" s="41" cm="1">
        <f t="array" aca="1" ref="AT329" ca="1">INDEX('SAP Customer Data'!A:Z,MATCH(بيانات_العملاء[[#This Row],[رمز شريك الأعمال]],'SAP Customer Data'!B:B,0),CELL("col",Table_Customer_Data[[#Headers],[CreateDate]]))</f>
        <v>44546</v>
      </c>
      <c r="AU329" s="37"/>
      <c r="AV329" s="41"/>
      <c r="AW329" s="37" t="s">
        <v>2097</v>
      </c>
      <c r="AX329" s="37"/>
    </row>
    <row r="330" spans="1:50" x14ac:dyDescent="0.25">
      <c r="A330" s="36" t="str" cm="1">
        <f t="array" aca="1" ref="A330" ca="1">INDEX('SAP Customer Data'!$A:$AC,MATCH(بيانات_العملاء[[#This Row],[رمز شريك الأعمال]],'SAP Customer Data'!$B:$B,0),CELL("col",Table_Customer_Data[[#Headers],[GroupName]]))</f>
        <v>CS05</v>
      </c>
      <c r="B330" s="35" t="s">
        <v>166</v>
      </c>
      <c r="C330" s="37" t="str" cm="1">
        <f t="array" aca="1" ref="C330" ca="1">INDEX('SAP Customer Data'!$A:$AC,MATCH(بيانات_العملاء[[#This Row],[رمز شريك الأعمال]],'SAP Customer Data'!$B:$B,0),CELL("col",Table_Customer_Data[[#Headers],[CardName]]))</f>
        <v>شركة نورسين التجارية - نقدي</v>
      </c>
      <c r="D330" s="37" t="str">
        <f ca="1">IF(بيانات_العملاء[[#This Row],[حد الائتمان على SAP]]&gt;0,"آجل","نقدى")</f>
        <v>نقدى</v>
      </c>
      <c r="E330" s="37"/>
      <c r="F330" s="37" t="s">
        <v>908</v>
      </c>
      <c r="G330" s="37" t="s">
        <v>856</v>
      </c>
      <c r="H33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30" s="37" t="s">
        <v>854</v>
      </c>
      <c r="J330" s="38">
        <v>44916</v>
      </c>
      <c r="K330" s="37" t="s">
        <v>855</v>
      </c>
      <c r="L330" s="37" t="str">
        <f ca="1">IF(AND(بيانات_العملاء[[#This Row],[السجل التجارى]]="موجود",TODAY()+'Other Data'!$B$23&lt;J330,بيانات_العملاء[[#This Row],[مطابقة اسم العميل بالاسم بالسجل التجارى]]="مطابق"), "سارى", "يجب اعادة طلبه")</f>
        <v>يجب اعادة طلبه</v>
      </c>
      <c r="M330" s="37" t="s">
        <v>854</v>
      </c>
      <c r="N330" s="39" t="str" cm="1">
        <f t="array" aca="1" ref="N330" ca="1">INDEX('SAP Customer Data'!$A:$AC,MATCH(بيانات_العملاء[[#This Row],[رمز شريك الأعمال]],'SAP Customer Data'!$B:$B,0),CELL("col",Table_Customer_Data[[#Headers],[LicTradNum]]))</f>
        <v>310866377200003</v>
      </c>
      <c r="O33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0" s="37" t="s">
        <v>856</v>
      </c>
      <c r="Q330" s="38"/>
      <c r="R33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0" s="37" t="s">
        <v>1080</v>
      </c>
      <c r="T330" s="40"/>
      <c r="U330" s="41"/>
      <c r="V33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30" s="37" cm="1">
        <f t="array" aca="1" ref="X330" ca="1">INDEX('SAP Customer Data'!$A:$AC,MATCH(بيانات_العملاء[[#This Row],[رمز شريك الأعمال]],'SAP Customer Data'!$B:$B,0),CELL("col",Table_Customer_Data[[#Headers],[CreditLine]]))</f>
        <v>0</v>
      </c>
      <c r="Y33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0" s="37"/>
      <c r="AA33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30" s="37" t="s">
        <v>856</v>
      </c>
      <c r="AC330" s="44"/>
      <c r="AD33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0" s="37" t="s">
        <v>856</v>
      </c>
      <c r="AF330" s="37"/>
      <c r="AG33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0" s="37" t="s">
        <v>856</v>
      </c>
      <c r="AI330" s="37"/>
      <c r="AJ33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0" s="37" t="s">
        <v>856</v>
      </c>
      <c r="AL330" s="38"/>
      <c r="AM33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0" s="37" t="s">
        <v>856</v>
      </c>
      <c r="AO330" s="41"/>
      <c r="AP33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0" s="37" t="s">
        <v>856</v>
      </c>
      <c r="AR330" s="37"/>
      <c r="AS33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0" s="41" cm="1">
        <f t="array" aca="1" ref="AT330" ca="1">INDEX('SAP Customer Data'!A:Z,MATCH(بيانات_العملاء[[#This Row],[رمز شريك الأعمال]],'SAP Customer Data'!B:B,0),CELL("col",Table_Customer_Data[[#Headers],[CreateDate]]))</f>
        <v>44724</v>
      </c>
      <c r="AU330" s="37"/>
      <c r="AV330" s="41"/>
      <c r="AW330" s="37" t="s">
        <v>2097</v>
      </c>
      <c r="AX330" s="37"/>
    </row>
    <row r="331" spans="1:50" x14ac:dyDescent="0.25">
      <c r="A331" s="36" t="str" cm="1">
        <f t="array" aca="1" ref="A331" ca="1">INDEX('SAP Customer Data'!$A:$AC,MATCH(بيانات_العملاء[[#This Row],[رمز شريك الأعمال]],'SAP Customer Data'!$B:$B,0),CELL("col",Table_Customer_Data[[#Headers],[GroupName]]))</f>
        <v>CS05</v>
      </c>
      <c r="B331" s="35" t="s">
        <v>100</v>
      </c>
      <c r="C331" s="37" t="str" cm="1">
        <f t="array" aca="1" ref="C331" ca="1">INDEX('SAP Customer Data'!$A:$AC,MATCH(بيانات_العملاء[[#This Row],[رمز شريك الأعمال]],'SAP Customer Data'!$B:$B,0),CELL("col",Table_Customer_Data[[#Headers],[CardName]]))</f>
        <v>مؤسسة انارة و اكثر للتجارة  - نقدي</v>
      </c>
      <c r="D331" s="37" t="str">
        <f ca="1">IF(بيانات_العملاء[[#This Row],[حد الائتمان على SAP]]&gt;0,"آجل","نقدى")</f>
        <v>نقدى</v>
      </c>
      <c r="E331" s="37" t="s">
        <v>2045</v>
      </c>
      <c r="F331" s="37" t="s">
        <v>1081</v>
      </c>
      <c r="G331" s="37" t="s">
        <v>854</v>
      </c>
      <c r="H33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31" s="37" t="s">
        <v>854</v>
      </c>
      <c r="J331" s="38">
        <v>45168</v>
      </c>
      <c r="K331" s="37" t="s">
        <v>855</v>
      </c>
      <c r="L331" s="37" t="str">
        <f ca="1">IF(AND(بيانات_العملاء[[#This Row],[السجل التجارى]]="موجود",TODAY()+'Other Data'!$B$23&lt;J331,بيانات_العملاء[[#This Row],[مطابقة اسم العميل بالاسم بالسجل التجارى]]="مطابق"), "سارى", "يجب اعادة طلبه")</f>
        <v>يجب اعادة طلبه</v>
      </c>
      <c r="M331" s="37" t="s">
        <v>854</v>
      </c>
      <c r="N331" s="39" t="str" cm="1">
        <f t="array" aca="1" ref="N331" ca="1">INDEX('SAP Customer Data'!$A:$AC,MATCH(بيانات_العملاء[[#This Row],[رمز شريك الأعمال]],'SAP Customer Data'!$B:$B,0),CELL("col",Table_Customer_Data[[#Headers],[LicTradNum]]))</f>
        <v>310964490900003</v>
      </c>
      <c r="O33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1" s="37" t="s">
        <v>854</v>
      </c>
      <c r="Q331" s="38">
        <v>45209</v>
      </c>
      <c r="R33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1" s="37" t="s">
        <v>1080</v>
      </c>
      <c r="T331" s="40"/>
      <c r="U331" s="41"/>
      <c r="V33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31" s="37" cm="1">
        <f t="array" aca="1" ref="X331" ca="1">INDEX('SAP Customer Data'!$A:$AC,MATCH(بيانات_العملاء[[#This Row],[رمز شريك الأعمال]],'SAP Customer Data'!$B:$B,0),CELL("col",Table_Customer_Data[[#Headers],[CreditLine]]))</f>
        <v>0</v>
      </c>
      <c r="Y33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1" s="37"/>
      <c r="AA33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31" s="37" t="s">
        <v>856</v>
      </c>
      <c r="AC331" s="44"/>
      <c r="AD33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1" s="37" t="s">
        <v>856</v>
      </c>
      <c r="AF331" s="37"/>
      <c r="AG33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1" s="37" t="s">
        <v>856</v>
      </c>
      <c r="AI331" s="37"/>
      <c r="AJ33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1" s="37" t="s">
        <v>856</v>
      </c>
      <c r="AL331" s="38"/>
      <c r="AM33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1" s="37" t="s">
        <v>856</v>
      </c>
      <c r="AO331" s="41"/>
      <c r="AP33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1" s="37" t="s">
        <v>856</v>
      </c>
      <c r="AR331" s="37"/>
      <c r="AS33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1" s="41" cm="1">
        <f t="array" aca="1" ref="AT331" ca="1">INDEX('SAP Customer Data'!A:Z,MATCH(بيانات_العملاء[[#This Row],[رمز شريك الأعمال]],'SAP Customer Data'!B:B,0),CELL("col",Table_Customer_Data[[#Headers],[CreateDate]]))</f>
        <v>44534</v>
      </c>
      <c r="AU331" s="37"/>
      <c r="AV331" s="41"/>
      <c r="AW331" s="37" t="s">
        <v>2097</v>
      </c>
      <c r="AX331" s="37"/>
    </row>
    <row r="332" spans="1:50" x14ac:dyDescent="0.25">
      <c r="A332" s="36" t="str" cm="1">
        <f t="array" aca="1" ref="A332" ca="1">INDEX('SAP Customer Data'!$A:$AC,MATCH(بيانات_العملاء[[#This Row],[رمز شريك الأعمال]],'SAP Customer Data'!$B:$B,0),CELL("col",Table_Customer_Data[[#Headers],[GroupName]]))</f>
        <v>CS05</v>
      </c>
      <c r="B332" s="35" t="s">
        <v>171</v>
      </c>
      <c r="C332" s="37" t="str" cm="1">
        <f t="array" aca="1" ref="C332" ca="1">INDEX('SAP Customer Data'!$A:$AC,MATCH(بيانات_العملاء[[#This Row],[رمز شريك الأعمال]],'SAP Customer Data'!$B:$B,0),CELL("col",Table_Customer_Data[[#Headers],[CardName]]))</f>
        <v>مؤسسة الإتجاه الحديث التجارية</v>
      </c>
      <c r="D332" s="37" t="str">
        <f ca="1">IF(بيانات_العملاء[[#This Row],[حد الائتمان على SAP]]&gt;0,"آجل","نقدى")</f>
        <v>آجل</v>
      </c>
      <c r="E332" s="37" t="s">
        <v>2073</v>
      </c>
      <c r="F332" s="37" t="s">
        <v>1081</v>
      </c>
      <c r="G332" s="37" t="s">
        <v>856</v>
      </c>
      <c r="H33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32" s="37" t="s">
        <v>854</v>
      </c>
      <c r="J332" s="38">
        <v>45453</v>
      </c>
      <c r="K332" s="37" t="s">
        <v>855</v>
      </c>
      <c r="L332" s="37" t="str">
        <f ca="1">IF(AND(بيانات_العملاء[[#This Row],[السجل التجارى]]="موجود",TODAY()+'Other Data'!$B$23&lt;J332,بيانات_العملاء[[#This Row],[مطابقة اسم العميل بالاسم بالسجل التجارى]]="مطابق"), "سارى", "يجب اعادة طلبه")</f>
        <v>سارى</v>
      </c>
      <c r="M332" s="37" t="s">
        <v>854</v>
      </c>
      <c r="N332" s="39" t="str" cm="1">
        <f t="array" aca="1" ref="N332" ca="1">INDEX('SAP Customer Data'!$A:$AC,MATCH(بيانات_العملاء[[#This Row],[رمز شريك الأعمال]],'SAP Customer Data'!$B:$B,0),CELL("col",Table_Customer_Data[[#Headers],[LicTradNum]]))</f>
        <v>310979672100003</v>
      </c>
      <c r="O33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2" s="37" t="s">
        <v>856</v>
      </c>
      <c r="Q332" s="38"/>
      <c r="R33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2" s="37" t="s">
        <v>854</v>
      </c>
      <c r="T332" s="40">
        <v>5000</v>
      </c>
      <c r="U332" s="41"/>
      <c r="V33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</v>
      </c>
      <c r="X332" s="37" cm="1">
        <f t="array" aca="1" ref="X332" ca="1">INDEX('SAP Customer Data'!$A:$AC,MATCH(بيانات_العملاء[[#This Row],[رمز شريك الأعمال]],'SAP Customer Data'!$B:$B,0),CELL("col",Table_Customer_Data[[#Headers],[CreditLine]]))</f>
        <v>4000</v>
      </c>
      <c r="Y33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2" s="37" t="s">
        <v>855</v>
      </c>
      <c r="AA33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32" s="37" t="s">
        <v>856</v>
      </c>
      <c r="AC332" s="44"/>
      <c r="AD33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2" s="37" t="s">
        <v>856</v>
      </c>
      <c r="AF332" s="37"/>
      <c r="AG33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2" s="37" t="s">
        <v>856</v>
      </c>
      <c r="AI332" s="37"/>
      <c r="AJ33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2" s="37" t="s">
        <v>856</v>
      </c>
      <c r="AL332" s="38"/>
      <c r="AM33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2" s="37" t="s">
        <v>856</v>
      </c>
      <c r="AO332" s="41"/>
      <c r="AP33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2" s="37" t="s">
        <v>856</v>
      </c>
      <c r="AR332" s="37"/>
      <c r="AS33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2" s="41" cm="1">
        <f t="array" aca="1" ref="AT332" ca="1">INDEX('SAP Customer Data'!A:Z,MATCH(بيانات_العملاء[[#This Row],[رمز شريك الأعمال]],'SAP Customer Data'!B:B,0),CELL("col",Table_Customer_Data[[#Headers],[CreateDate]]))</f>
        <v>44770</v>
      </c>
      <c r="AU332" s="37"/>
      <c r="AV332" s="41"/>
      <c r="AW332" s="37" t="s">
        <v>2097</v>
      </c>
      <c r="AX332" s="37"/>
    </row>
    <row r="333" spans="1:50" x14ac:dyDescent="0.25">
      <c r="A333" s="36" t="str" cm="1">
        <f t="array" aca="1" ref="A333" ca="1">INDEX('SAP Customer Data'!$A:$AC,MATCH(بيانات_العملاء[[#This Row],[رمز شريك الأعمال]],'SAP Customer Data'!$B:$B,0),CELL("col",Table_Customer_Data[[#Headers],[GroupName]]))</f>
        <v>CS05</v>
      </c>
      <c r="B333" s="35" t="s">
        <v>183</v>
      </c>
      <c r="C333" s="37" t="str" cm="1">
        <f t="array" aca="1" ref="C333" ca="1">INDEX('SAP Customer Data'!$A:$AC,MATCH(بيانات_العملاء[[#This Row],[رمز شريك الأعمال]],'SAP Customer Data'!$B:$B,0),CELL("col",Table_Customer_Data[[#Headers],[CardName]]))</f>
        <v>شركة ايما الذكية التجارية - نقدى</v>
      </c>
      <c r="D333" s="37" t="str">
        <f ca="1">IF(بيانات_العملاء[[#This Row],[حد الائتمان على SAP]]&gt;0,"آجل","نقدى")</f>
        <v>نقدى</v>
      </c>
      <c r="E333" s="37"/>
      <c r="F333" s="37" t="s">
        <v>997</v>
      </c>
      <c r="G333" s="37" t="s">
        <v>856</v>
      </c>
      <c r="H33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33" s="37" t="s">
        <v>854</v>
      </c>
      <c r="J333" s="38">
        <v>44940</v>
      </c>
      <c r="K333" s="37" t="s">
        <v>855</v>
      </c>
      <c r="L333" s="37" t="str">
        <f ca="1">IF(AND(بيانات_العملاء[[#This Row],[السجل التجارى]]="موجود",TODAY()+'Other Data'!$B$23&lt;J333,بيانات_العملاء[[#This Row],[مطابقة اسم العميل بالاسم بالسجل التجارى]]="مطابق"), "سارى", "يجب اعادة طلبه")</f>
        <v>يجب اعادة طلبه</v>
      </c>
      <c r="M333" s="37" t="s">
        <v>854</v>
      </c>
      <c r="N333" s="39" t="str" cm="1">
        <f t="array" aca="1" ref="N333" ca="1">INDEX('SAP Customer Data'!$A:$AC,MATCH(بيانات_العملاء[[#This Row],[رمز شريك الأعمال]],'SAP Customer Data'!$B:$B,0),CELL("col",Table_Customer_Data[[#Headers],[LicTradNum]]))</f>
        <v>311163652100003</v>
      </c>
      <c r="O33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3" s="37" t="s">
        <v>856</v>
      </c>
      <c r="Q333" s="38"/>
      <c r="R33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3" s="37" t="s">
        <v>1080</v>
      </c>
      <c r="T333" s="40"/>
      <c r="U333" s="41"/>
      <c r="V33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33" s="37" cm="1">
        <f t="array" aca="1" ref="X333" ca="1">INDEX('SAP Customer Data'!$A:$AC,MATCH(بيانات_العملاء[[#This Row],[رمز شريك الأعمال]],'SAP Customer Data'!$B:$B,0),CELL("col",Table_Customer_Data[[#Headers],[CreditLine]]))</f>
        <v>0</v>
      </c>
      <c r="Y33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3" s="37"/>
      <c r="AA33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33" s="37" t="s">
        <v>856</v>
      </c>
      <c r="AC333" s="44"/>
      <c r="AD33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3" s="37" t="s">
        <v>856</v>
      </c>
      <c r="AF333" s="37"/>
      <c r="AG33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3" s="37" t="s">
        <v>856</v>
      </c>
      <c r="AI333" s="37"/>
      <c r="AJ33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3" s="37"/>
      <c r="AL333" s="38"/>
      <c r="AM33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3" s="37" t="s">
        <v>856</v>
      </c>
      <c r="AO333" s="41"/>
      <c r="AP33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3" s="37" t="s">
        <v>856</v>
      </c>
      <c r="AR333" s="37"/>
      <c r="AS33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3" s="41" cm="1">
        <f t="array" aca="1" ref="AT333" ca="1">INDEX('SAP Customer Data'!A:Z,MATCH(بيانات_العملاء[[#This Row],[رمز شريك الأعمال]],'SAP Customer Data'!B:B,0),CELL("col",Table_Customer_Data[[#Headers],[CreateDate]]))</f>
        <v>44930</v>
      </c>
      <c r="AU333" s="37"/>
      <c r="AV333" s="41"/>
      <c r="AW333" s="37" t="s">
        <v>2097</v>
      </c>
      <c r="AX333" s="37"/>
    </row>
    <row r="334" spans="1:50" x14ac:dyDescent="0.25">
      <c r="A334" s="36" t="str" cm="1">
        <f t="array" aca="1" ref="A334" ca="1">INDEX('SAP Customer Data'!$A:$AC,MATCH(بيانات_العملاء[[#This Row],[رمز شريك الأعمال]],'SAP Customer Data'!$B:$B,0),CELL("col",Table_Customer_Data[[#Headers],[GroupName]]))</f>
        <v>CS05</v>
      </c>
      <c r="B334" s="35" t="s">
        <v>115</v>
      </c>
      <c r="C334" s="37" t="str" cm="1">
        <f t="array" aca="1" ref="C334" ca="1">INDEX('SAP Customer Data'!$A:$AC,MATCH(بيانات_العملاء[[#This Row],[رمز شريك الأعمال]],'SAP Customer Data'!$B:$B,0),CELL("col",Table_Customer_Data[[#Headers],[CardName]]))</f>
        <v>شركة مسار التعمير التجارية شركة شخص واحد - نقدى</v>
      </c>
      <c r="D334" s="37" t="str">
        <f ca="1">IF(بيانات_العملاء[[#This Row],[حد الائتمان على SAP]]&gt;0,"آجل","نقدى")</f>
        <v>نقدى</v>
      </c>
      <c r="E334" s="37"/>
      <c r="F334" s="37" t="s">
        <v>996</v>
      </c>
      <c r="G334" s="37" t="s">
        <v>856</v>
      </c>
      <c r="H33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34" s="37" t="s">
        <v>854</v>
      </c>
      <c r="J334" s="38">
        <v>45317</v>
      </c>
      <c r="K334" s="37" t="s">
        <v>855</v>
      </c>
      <c r="L334" s="37" t="str">
        <f ca="1">IF(AND(بيانات_العملاء[[#This Row],[السجل التجارى]]="موجود",TODAY()+'Other Data'!$B$23&lt;J334,بيانات_العملاء[[#This Row],[مطابقة اسم العميل بالاسم بالسجل التجارى]]="مطابق"), "سارى", "يجب اعادة طلبه")</f>
        <v>سارى</v>
      </c>
      <c r="M334" s="37" t="s">
        <v>854</v>
      </c>
      <c r="N334" s="39" t="str" cm="1">
        <f t="array" aca="1" ref="N334" ca="1">INDEX('SAP Customer Data'!$A:$AC,MATCH(بيانات_العملاء[[#This Row],[رمز شريك الأعمال]],'SAP Customer Data'!$B:$B,0),CELL("col",Table_Customer_Data[[#Headers],[LicTradNum]]))</f>
        <v>311215435200003</v>
      </c>
      <c r="O33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4" s="37" t="s">
        <v>856</v>
      </c>
      <c r="Q334" s="38"/>
      <c r="R33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4" s="37" t="s">
        <v>1080</v>
      </c>
      <c r="T334" s="40"/>
      <c r="U334" s="41"/>
      <c r="V33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34" s="37" cm="1">
        <f t="array" aca="1" ref="X334" ca="1">INDEX('SAP Customer Data'!$A:$AC,MATCH(بيانات_العملاء[[#This Row],[رمز شريك الأعمال]],'SAP Customer Data'!$B:$B,0),CELL("col",Table_Customer_Data[[#Headers],[CreditLine]]))</f>
        <v>0</v>
      </c>
      <c r="Y33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4" s="37"/>
      <c r="AA33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34" s="37" t="s">
        <v>856</v>
      </c>
      <c r="AC334" s="44"/>
      <c r="AD33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4" s="37" t="s">
        <v>856</v>
      </c>
      <c r="AF334" s="37"/>
      <c r="AG33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4" s="37" t="s">
        <v>856</v>
      </c>
      <c r="AI334" s="37"/>
      <c r="AJ33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4" s="37" t="s">
        <v>856</v>
      </c>
      <c r="AL334" s="38"/>
      <c r="AM33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4" s="37" t="s">
        <v>856</v>
      </c>
      <c r="AO334" s="41"/>
      <c r="AP33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4" s="37" t="s">
        <v>856</v>
      </c>
      <c r="AR334" s="37"/>
      <c r="AS33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4" s="41" cm="1">
        <f t="array" aca="1" ref="AT334" ca="1">INDEX('SAP Customer Data'!A:Z,MATCH(بيانات_العملاء[[#This Row],[رمز شريك الأعمال]],'SAP Customer Data'!B:B,0),CELL("col",Table_Customer_Data[[#Headers],[CreateDate]]))</f>
        <v>44549</v>
      </c>
      <c r="AU334" s="37"/>
      <c r="AV334" s="41"/>
      <c r="AW334" s="37" t="s">
        <v>2097</v>
      </c>
      <c r="AX334" s="37"/>
    </row>
    <row r="335" spans="1:50" x14ac:dyDescent="0.25">
      <c r="A335" s="36" t="str" cm="1">
        <f t="array" aca="1" ref="A335" ca="1">INDEX('SAP Customer Data'!$A:$AC,MATCH(بيانات_العملاء[[#This Row],[رمز شريك الأعمال]],'SAP Customer Data'!$B:$B,0),CELL("col",Table_Customer_Data[[#Headers],[GroupName]]))</f>
        <v>CS05</v>
      </c>
      <c r="B335" s="35" t="s">
        <v>1029</v>
      </c>
      <c r="C335" s="37" t="str" cm="1">
        <f t="array" aca="1" ref="C335" ca="1">INDEX('SAP Customer Data'!$A:$AC,MATCH(بيانات_العملاء[[#This Row],[رمز شريك الأعمال]],'SAP Customer Data'!$B:$B,0),CELL("col",Table_Customer_Data[[#Headers],[CardName]]))</f>
        <v>مؤسسة روائع التوريد لمواد البناء - نقدي</v>
      </c>
      <c r="D335" s="37" t="str">
        <f ca="1">IF(بيانات_العملاء[[#This Row],[حد الائتمان على SAP]]&gt;0,"آجل","نقدى")</f>
        <v>نقدى</v>
      </c>
      <c r="E335" s="37" t="s">
        <v>1031</v>
      </c>
      <c r="F335" s="37" t="s">
        <v>1081</v>
      </c>
      <c r="G335" s="37" t="s">
        <v>856</v>
      </c>
      <c r="H33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35" s="37" t="s">
        <v>854</v>
      </c>
      <c r="J335" s="38">
        <v>45050</v>
      </c>
      <c r="K335" s="41" t="s">
        <v>855</v>
      </c>
      <c r="L335" s="37" t="str">
        <f ca="1">IF(AND(بيانات_العملاء[[#This Row],[السجل التجارى]]="موجود",TODAY()+'Other Data'!$B$23&lt;J335,بيانات_العملاء[[#This Row],[مطابقة اسم العميل بالاسم بالسجل التجارى]]="مطابق"), "سارى", "يجب اعادة طلبه")</f>
        <v>يجب اعادة طلبه</v>
      </c>
      <c r="M335" s="37" t="s">
        <v>854</v>
      </c>
      <c r="N335" s="39" t="str" cm="1">
        <f t="array" aca="1" ref="N335" ca="1">INDEX('SAP Customer Data'!$A:$AC,MATCH(بيانات_العملاء[[#This Row],[رمز شريك الأعمال]],'SAP Customer Data'!$B:$B,0),CELL("col",Table_Customer_Data[[#Headers],[LicTradNum]]))</f>
        <v>311286171700003</v>
      </c>
      <c r="O33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5" s="37" t="s">
        <v>854</v>
      </c>
      <c r="Q335" s="38">
        <v>45241</v>
      </c>
      <c r="R335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335" s="37" t="s">
        <v>1080</v>
      </c>
      <c r="T335" s="40"/>
      <c r="U335" s="41"/>
      <c r="V33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35" s="37" cm="1">
        <f t="array" aca="1" ref="X335" ca="1">INDEX('SAP Customer Data'!$A:$AC,MATCH(بيانات_العملاء[[#This Row],[رمز شريك الأعمال]],'SAP Customer Data'!$B:$B,0),CELL("col",Table_Customer_Data[[#Headers],[CreditLine]]))</f>
        <v>0</v>
      </c>
      <c r="Y33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5" s="37"/>
      <c r="AA33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35" s="37" t="s">
        <v>854</v>
      </c>
      <c r="AC335" s="44">
        <v>45367</v>
      </c>
      <c r="AD335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335" s="37" t="s">
        <v>856</v>
      </c>
      <c r="AF335" s="37"/>
      <c r="AG33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335" s="37" t="s">
        <v>856</v>
      </c>
      <c r="AI335" s="37"/>
      <c r="AJ33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335" s="37"/>
      <c r="AL335" s="38"/>
      <c r="AM33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5" s="37" t="s">
        <v>854</v>
      </c>
      <c r="AO335" s="41">
        <v>45094</v>
      </c>
      <c r="AP33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5" s="37" t="s">
        <v>856</v>
      </c>
      <c r="AR335" s="37"/>
      <c r="AS33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335" s="41" cm="1">
        <f t="array" aca="1" ref="AT335" ca="1">INDEX('SAP Customer Data'!A:Z,MATCH(بيانات_العملاء[[#This Row],[رمز شريك الأعمال]],'SAP Customer Data'!B:B,0),CELL("col",Table_Customer_Data[[#Headers],[CreateDate]]))</f>
        <v>45015</v>
      </c>
      <c r="AU335" s="37"/>
      <c r="AV335" s="41"/>
      <c r="AW335" s="37" t="s">
        <v>2097</v>
      </c>
      <c r="AX335" s="37"/>
    </row>
    <row r="336" spans="1:50" x14ac:dyDescent="0.25">
      <c r="A336" s="36" t="str" cm="1">
        <f t="array" aca="1" ref="A336" ca="1">INDEX('SAP Customer Data'!$A:$AC,MATCH(بيانات_العملاء[[#This Row],[رمز شريك الأعمال]],'SAP Customer Data'!$B:$B,0),CELL("col",Table_Customer_Data[[#Headers],[GroupName]]))</f>
        <v>CS05</v>
      </c>
      <c r="B336" s="35" t="s">
        <v>17</v>
      </c>
      <c r="C336" s="37" t="str" cm="1">
        <f t="array" aca="1" ref="C336" ca="1">INDEX('SAP Customer Data'!$A:$AC,MATCH(بيانات_العملاء[[#This Row],[رمز شريك الأعمال]],'SAP Customer Data'!$B:$B,0),CELL("col",Table_Customer_Data[[#Headers],[CardName]]))</f>
        <v>شركة الاضاءة المتقدمة للكهرباء شركة شخص واحد</v>
      </c>
      <c r="D336" s="37" t="str">
        <f ca="1">IF(بيانات_العملاء[[#This Row],[حد الائتمان على SAP]]&gt;0,"آجل","نقدى")</f>
        <v>آجل</v>
      </c>
      <c r="E336" s="37"/>
      <c r="F336" s="37" t="s">
        <v>996</v>
      </c>
      <c r="G336" s="37" t="s">
        <v>854</v>
      </c>
      <c r="H33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36" s="37" t="s">
        <v>854</v>
      </c>
      <c r="J336" s="38">
        <v>45026</v>
      </c>
      <c r="K336" s="37" t="s">
        <v>855</v>
      </c>
      <c r="L336" s="37" t="str">
        <f ca="1">IF(AND(بيانات_العملاء[[#This Row],[السجل التجارى]]="موجود",TODAY()+'Other Data'!$B$23&lt;J336,بيانات_العملاء[[#This Row],[مطابقة اسم العميل بالاسم بالسجل التجارى]]="مطابق"), "سارى", "يجب اعادة طلبه")</f>
        <v>يجب اعادة طلبه</v>
      </c>
      <c r="M336" s="37" t="s">
        <v>854</v>
      </c>
      <c r="N336" s="39" t="str" cm="1">
        <f t="array" aca="1" ref="N336" ca="1">INDEX('SAP Customer Data'!$A:$AC,MATCH(بيانات_العملاء[[#This Row],[رمز شريك الأعمال]],'SAP Customer Data'!$B:$B,0),CELL("col",Table_Customer_Data[[#Headers],[LicTradNum]]))</f>
        <v>311286333400003</v>
      </c>
      <c r="O33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6" s="37" t="s">
        <v>856</v>
      </c>
      <c r="Q336" s="38"/>
      <c r="R33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6" s="37" t="s">
        <v>854</v>
      </c>
      <c r="T336" s="40">
        <v>100000</v>
      </c>
      <c r="U336" s="41"/>
      <c r="V33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336" s="37" cm="1">
        <f t="array" aca="1" ref="X336" ca="1">INDEX('SAP Customer Data'!$A:$AC,MATCH(بيانات_العملاء[[#This Row],[رمز شريك الأعمال]],'SAP Customer Data'!$B:$B,0),CELL("col",Table_Customer_Data[[#Headers],[CreditLine]]))</f>
        <v>80000</v>
      </c>
      <c r="Y33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6" s="37" t="s">
        <v>855</v>
      </c>
      <c r="AA33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36" s="37" t="s">
        <v>856</v>
      </c>
      <c r="AC336" s="44"/>
      <c r="AD33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6" s="37" t="s">
        <v>856</v>
      </c>
      <c r="AF336" s="37"/>
      <c r="AG33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6" s="37" t="s">
        <v>856</v>
      </c>
      <c r="AI336" s="37"/>
      <c r="AJ33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6" s="37" t="s">
        <v>856</v>
      </c>
      <c r="AL336" s="38"/>
      <c r="AM33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6" s="37" t="s">
        <v>854</v>
      </c>
      <c r="AO336" s="41">
        <v>44925</v>
      </c>
      <c r="AP33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6" s="37" t="s">
        <v>856</v>
      </c>
      <c r="AR336" s="37"/>
      <c r="AS33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6" s="41" cm="1">
        <f t="array" aca="1" ref="AT336" ca="1">INDEX('SAP Customer Data'!A:Z,MATCH(بيانات_العملاء[[#This Row],[رمز شريك الأعمال]],'SAP Customer Data'!B:B,0),CELL("col",Table_Customer_Data[[#Headers],[CreateDate]]))</f>
        <v>44241</v>
      </c>
      <c r="AU336" s="37"/>
      <c r="AV336" s="41"/>
      <c r="AW336" s="37" t="s">
        <v>2097</v>
      </c>
      <c r="AX336" s="37"/>
    </row>
    <row r="337" spans="1:50" x14ac:dyDescent="0.25">
      <c r="A337" s="36" t="str" cm="1">
        <f t="array" aca="1" ref="A337" ca="1">INDEX('SAP Customer Data'!$A:$AC,MATCH(بيانات_العملاء[[#This Row],[رمز شريك الأعمال]],'SAP Customer Data'!$B:$B,0),CELL("col",Table_Customer_Data[[#Headers],[GroupName]]))</f>
        <v>CS05</v>
      </c>
      <c r="B337" s="35" t="s">
        <v>19</v>
      </c>
      <c r="C337" s="37" t="str" cm="1">
        <f t="array" aca="1" ref="C337" ca="1">INDEX('SAP Customer Data'!$A:$AC,MATCH(بيانات_العملاء[[#This Row],[رمز شريك الأعمال]],'SAP Customer Data'!$B:$B,0),CELL("col",Table_Customer_Data[[#Headers],[CardName]]))</f>
        <v>شركة دوحة الانارة التجارية (ش الملك عبدالعزيز ) - نقدي</v>
      </c>
      <c r="D337" s="37" t="str">
        <f ca="1">IF(بيانات_العملاء[[#This Row],[حد الائتمان على SAP]]&gt;0,"آجل","نقدى")</f>
        <v>نقدى</v>
      </c>
      <c r="E337" s="37"/>
      <c r="F337" s="37" t="s">
        <v>1082</v>
      </c>
      <c r="G337" s="37" t="s">
        <v>856</v>
      </c>
      <c r="H33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37" s="37" t="s">
        <v>856</v>
      </c>
      <c r="J337" s="38"/>
      <c r="K337" s="37"/>
      <c r="L337" s="37" t="str">
        <f ca="1">IF(AND(بيانات_العملاء[[#This Row],[السجل التجارى]]="موجود",TODAY()+'Other Data'!$B$23&lt;J337,بيانات_العملاء[[#This Row],[مطابقة اسم العميل بالاسم بالسجل التجارى]]="مطابق"), "سارى", "يجب اعادة طلبه")</f>
        <v>يجب اعادة طلبه</v>
      </c>
      <c r="M337" s="37" t="s">
        <v>854</v>
      </c>
      <c r="N337" s="39" t="str" cm="1">
        <f t="array" aca="1" ref="N337" ca="1">INDEX('SAP Customer Data'!$A:$AC,MATCH(بيانات_العملاء[[#This Row],[رمز شريك الأعمال]],'SAP Customer Data'!$B:$B,0),CELL("col",Table_Customer_Data[[#Headers],[LicTradNum]]))</f>
        <v>311306214100003</v>
      </c>
      <c r="O33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7" s="37" t="s">
        <v>856</v>
      </c>
      <c r="Q337" s="38"/>
      <c r="R33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7" s="37" t="s">
        <v>1080</v>
      </c>
      <c r="T337" s="40"/>
      <c r="U337" s="41"/>
      <c r="V33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37" s="37" cm="1">
        <f t="array" aca="1" ref="X337" ca="1">INDEX('SAP Customer Data'!$A:$AC,MATCH(بيانات_العملاء[[#This Row],[رمز شريك الأعمال]],'SAP Customer Data'!$B:$B,0),CELL("col",Table_Customer_Data[[#Headers],[CreditLine]]))</f>
        <v>0</v>
      </c>
      <c r="Y33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7" s="37"/>
      <c r="AA33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37" s="37" t="s">
        <v>856</v>
      </c>
      <c r="AC337" s="44"/>
      <c r="AD33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7" s="37" t="s">
        <v>856</v>
      </c>
      <c r="AF337" s="37"/>
      <c r="AG33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7" s="37" t="s">
        <v>856</v>
      </c>
      <c r="AI337" s="37"/>
      <c r="AJ33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7" s="37" t="s">
        <v>856</v>
      </c>
      <c r="AL337" s="38"/>
      <c r="AM33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7" s="37" t="s">
        <v>856</v>
      </c>
      <c r="AO337" s="41"/>
      <c r="AP33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7" s="37" t="s">
        <v>856</v>
      </c>
      <c r="AR337" s="37"/>
      <c r="AS33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7" s="41" cm="1">
        <f t="array" aca="1" ref="AT337" ca="1">INDEX('SAP Customer Data'!A:Z,MATCH(بيانات_العملاء[[#This Row],[رمز شريك الأعمال]],'SAP Customer Data'!B:B,0),CELL("col",Table_Customer_Data[[#Headers],[CreateDate]]))</f>
        <v>44242</v>
      </c>
      <c r="AU337" s="37"/>
      <c r="AV337" s="41"/>
      <c r="AW337" s="37" t="s">
        <v>2097</v>
      </c>
      <c r="AX337" s="37"/>
    </row>
    <row r="338" spans="1:50" x14ac:dyDescent="0.25">
      <c r="A338" s="36" t="str" cm="1">
        <f t="array" aca="1" ref="A338" ca="1">INDEX('SAP Customer Data'!$A:$AC,MATCH(بيانات_العملاء[[#This Row],[رمز شريك الأعمال]],'SAP Customer Data'!$B:$B,0),CELL("col",Table_Customer_Data[[#Headers],[GroupName]]))</f>
        <v>CS05</v>
      </c>
      <c r="B338" s="35" t="s">
        <v>1032</v>
      </c>
      <c r="C338" s="37" t="str" cm="1">
        <f t="array" aca="1" ref="C338" ca="1">INDEX('SAP Customer Data'!$A:$AC,MATCH(بيانات_العملاء[[#This Row],[رمز شريك الأعمال]],'SAP Customer Data'!$B:$B,0),CELL("col",Table_Customer_Data[[#Headers],[CardName]]))</f>
        <v>مؤسسة المساكن الذكية للتشغيل و الصيانة - نقدى</v>
      </c>
      <c r="D338" s="37" t="str">
        <f ca="1">IF(بيانات_العملاء[[#This Row],[حد الائتمان على SAP]]&gt;0,"آجل","نقدى")</f>
        <v>نقدى</v>
      </c>
      <c r="E338" s="37" t="s">
        <v>1034</v>
      </c>
      <c r="F338" s="37" t="s">
        <v>1081</v>
      </c>
      <c r="G338" s="37" t="s">
        <v>856</v>
      </c>
      <c r="H33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38" s="37" t="s">
        <v>854</v>
      </c>
      <c r="J338" s="38">
        <v>45129</v>
      </c>
      <c r="K338" s="41" t="s">
        <v>855</v>
      </c>
      <c r="L338" s="37" t="str">
        <f ca="1">IF(AND(بيانات_العملاء[[#This Row],[السجل التجارى]]="موجود",TODAY()+'Other Data'!$B$23&lt;J338,بيانات_العملاء[[#This Row],[مطابقة اسم العميل بالاسم بالسجل التجارى]]="مطابق"), "سارى", "يجب اعادة طلبه")</f>
        <v>يجب اعادة طلبه</v>
      </c>
      <c r="M338" s="37" t="s">
        <v>854</v>
      </c>
      <c r="N338" s="39" t="str" cm="1">
        <f t="array" aca="1" ref="N338" ca="1">INDEX('SAP Customer Data'!$A:$AC,MATCH(بيانات_العملاء[[#This Row],[رمز شريك الأعمال]],'SAP Customer Data'!$B:$B,0),CELL("col",Table_Customer_Data[[#Headers],[LicTradNum]]))</f>
        <v>311364202600003</v>
      </c>
      <c r="O33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8" s="37" t="s">
        <v>854</v>
      </c>
      <c r="Q338" s="38">
        <v>45352</v>
      </c>
      <c r="R338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338" s="37" t="s">
        <v>1080</v>
      </c>
      <c r="T338" s="40"/>
      <c r="U338" s="41"/>
      <c r="V33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38" s="37" cm="1">
        <f t="array" aca="1" ref="X338" ca="1">INDEX('SAP Customer Data'!$A:$AC,MATCH(بيانات_العملاء[[#This Row],[رمز شريك الأعمال]],'SAP Customer Data'!$B:$B,0),CELL("col",Table_Customer_Data[[#Headers],[CreditLine]]))</f>
        <v>0</v>
      </c>
      <c r="Y33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8" s="37"/>
      <c r="AA33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38" s="37" t="s">
        <v>856</v>
      </c>
      <c r="AC338" s="44"/>
      <c r="AD338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8" s="37" t="s">
        <v>856</v>
      </c>
      <c r="AF338" s="37"/>
      <c r="AG33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338" s="37" t="s">
        <v>856</v>
      </c>
      <c r="AI338" s="37"/>
      <c r="AJ33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338" s="37"/>
      <c r="AL338" s="38"/>
      <c r="AM33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8" s="37" t="s">
        <v>856</v>
      </c>
      <c r="AO338" s="41"/>
      <c r="AP33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8" s="37" t="s">
        <v>856</v>
      </c>
      <c r="AR338" s="37"/>
      <c r="AS33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338" s="41" cm="1">
        <f t="array" aca="1" ref="AT338" ca="1">INDEX('SAP Customer Data'!A:Z,MATCH(بيانات_العملاء[[#This Row],[رمز شريك الأعمال]],'SAP Customer Data'!B:B,0),CELL("col",Table_Customer_Data[[#Headers],[CreateDate]]))</f>
        <v>45034</v>
      </c>
      <c r="AU338" s="37" t="s">
        <v>1035</v>
      </c>
      <c r="AV338" s="41"/>
      <c r="AW338" s="37" t="s">
        <v>2097</v>
      </c>
      <c r="AX338" s="37"/>
    </row>
    <row r="339" spans="1:50" x14ac:dyDescent="0.25">
      <c r="A339" s="36" t="str" cm="1">
        <f t="array" aca="1" ref="A339" ca="1">INDEX('SAP Customer Data'!$A:$AC,MATCH(بيانات_العملاء[[#This Row],[رمز شريك الأعمال]],'SAP Customer Data'!$B:$B,0),CELL("col",Table_Customer_Data[[#Headers],[GroupName]]))</f>
        <v>CS05</v>
      </c>
      <c r="B339" s="42" t="s">
        <v>111</v>
      </c>
      <c r="C339" s="37" t="str" cm="1">
        <f t="array" aca="1" ref="C339" ca="1">INDEX('SAP Customer Data'!$A:$AC,MATCH(بيانات_العملاء[[#This Row],[رمز شريك الأعمال]],'SAP Customer Data'!$B:$B,0),CELL("col",Table_Customer_Data[[#Headers],[CardName]]))</f>
        <v>مؤسسة الساحل الشرقي لمواد البناء  - نقدي</v>
      </c>
      <c r="D339" s="37" t="str">
        <f ca="1">IF(بيانات_العملاء[[#This Row],[حد الائتمان على SAP]]&gt;0,"آجل","نقدى")</f>
        <v>نقدى</v>
      </c>
      <c r="E339" s="37"/>
      <c r="F339" s="37" t="s">
        <v>1082</v>
      </c>
      <c r="G339" s="37"/>
      <c r="H33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39" s="37" t="s">
        <v>856</v>
      </c>
      <c r="J339" s="38"/>
      <c r="K339" s="37"/>
      <c r="L339" s="37" t="str">
        <f ca="1">IF(AND(بيانات_العملاء[[#This Row],[السجل التجارى]]="موجود",TODAY()+'Other Data'!$B$23&lt;J339,بيانات_العملاء[[#This Row],[مطابقة اسم العميل بالاسم بالسجل التجارى]]="مطابق"), "سارى", "يجب اعادة طلبه")</f>
        <v>يجب اعادة طلبه</v>
      </c>
      <c r="M339" s="37" t="s">
        <v>854</v>
      </c>
      <c r="N339" s="39" t="str" cm="1">
        <f t="array" aca="1" ref="N339" ca="1">INDEX('SAP Customer Data'!$A:$AC,MATCH(بيانات_العملاء[[#This Row],[رمز شريك الأعمال]],'SAP Customer Data'!$B:$B,0),CELL("col",Table_Customer_Data[[#Headers],[LicTradNum]]))</f>
        <v>302284416400003</v>
      </c>
      <c r="O33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39" s="37"/>
      <c r="Q339" s="38"/>
      <c r="R33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39" s="37" t="s">
        <v>1080</v>
      </c>
      <c r="T339" s="40"/>
      <c r="U339" s="41"/>
      <c r="V33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3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39" s="37" cm="1">
        <f t="array" aca="1" ref="X339" ca="1">INDEX('SAP Customer Data'!$A:$AC,MATCH(بيانات_العملاء[[#This Row],[رمز شريك الأعمال]],'SAP Customer Data'!$B:$B,0),CELL("col",Table_Customer_Data[[#Headers],[CreditLine]]))</f>
        <v>0</v>
      </c>
      <c r="Y33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39" s="37"/>
      <c r="AA33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39" s="37"/>
      <c r="AC339" s="37"/>
      <c r="AD33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39" s="37"/>
      <c r="AF339" s="37"/>
      <c r="AG33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39" s="37"/>
      <c r="AI339" s="37"/>
      <c r="AJ33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39" s="37"/>
      <c r="AL339" s="38"/>
      <c r="AM33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39" s="37"/>
      <c r="AO339" s="41"/>
      <c r="AP33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39" s="37"/>
      <c r="AR339" s="37"/>
      <c r="AS33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39" s="41" cm="1">
        <f t="array" aca="1" ref="AT339" ca="1">INDEX('SAP Customer Data'!A:Z,MATCH(بيانات_العملاء[[#This Row],[رمز شريك الأعمال]],'SAP Customer Data'!B:B,0),CELL("col",Table_Customer_Data[[#Headers],[CreateDate]]))</f>
        <v>44546</v>
      </c>
      <c r="AU339" s="37"/>
      <c r="AV339" s="41"/>
      <c r="AW339" s="37" t="s">
        <v>2097</v>
      </c>
      <c r="AX339" s="37"/>
    </row>
    <row r="340" spans="1:50" x14ac:dyDescent="0.25">
      <c r="A340" s="36" t="str" cm="1">
        <f t="array" aca="1" ref="A340" ca="1">INDEX('SAP Customer Data'!$A:$AC,MATCH(بيانات_العملاء[[#This Row],[رمز شريك الأعمال]],'SAP Customer Data'!$B:$B,0),CELL("col",Table_Customer_Data[[#Headers],[GroupName]]))</f>
        <v>CS05</v>
      </c>
      <c r="B340" s="35" t="s">
        <v>149</v>
      </c>
      <c r="C340" s="37" t="str" cm="1">
        <f t="array" aca="1" ref="C340" ca="1">INDEX('SAP Customer Data'!$A:$AC,MATCH(بيانات_العملاء[[#This Row],[رمز شريك الأعمال]],'SAP Customer Data'!$B:$B,0),CELL("col",Table_Customer_Data[[#Headers],[CardName]]))</f>
        <v>محل نهر الانارة للتجارة - نقدي</v>
      </c>
      <c r="D340" s="37" t="str">
        <f ca="1">IF(بيانات_العملاء[[#This Row],[حد الائتمان على SAP]]&gt;0,"آجل","نقدى")</f>
        <v>نقدى</v>
      </c>
      <c r="E340" s="37" t="s">
        <v>2208</v>
      </c>
      <c r="F340" s="37" t="s">
        <v>1081</v>
      </c>
      <c r="G340" s="37" t="s">
        <v>856</v>
      </c>
      <c r="H34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0" s="37" t="s">
        <v>854</v>
      </c>
      <c r="J340" s="38">
        <v>45060</v>
      </c>
      <c r="K340" s="41" t="s">
        <v>855</v>
      </c>
      <c r="L340" s="37" t="str">
        <f ca="1">IF(AND(بيانات_العملاء[[#This Row],[السجل التجارى]]="موجود",TODAY()+'Other Data'!$B$23&lt;J340,بيانات_العملاء[[#This Row],[مطابقة اسم العميل بالاسم بالسجل التجارى]]="مطابق"), "سارى", "يجب اعادة طلبه")</f>
        <v>يجب اعادة طلبه</v>
      </c>
      <c r="M340" s="37" t="s">
        <v>854</v>
      </c>
      <c r="N340" s="39" t="str" cm="1">
        <f t="array" aca="1" ref="N340" ca="1">INDEX('SAP Customer Data'!$A:$AC,MATCH(بيانات_العملاء[[#This Row],[رمز شريك الأعمال]],'SAP Customer Data'!$B:$B,0),CELL("col",Table_Customer_Data[[#Headers],[LicTradNum]]))</f>
        <v>311484851400003</v>
      </c>
      <c r="O34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40" s="37" t="s">
        <v>854</v>
      </c>
      <c r="Q340" s="38">
        <v>45553</v>
      </c>
      <c r="R340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340" s="37" t="s">
        <v>1080</v>
      </c>
      <c r="T340" s="40"/>
      <c r="U340" s="41"/>
      <c r="V34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0" s="37" cm="1">
        <f t="array" aca="1" ref="X340" ca="1">INDEX('SAP Customer Data'!$A:$AC,MATCH(بيانات_العملاء[[#This Row],[رمز شريك الأعمال]],'SAP Customer Data'!$B:$B,0),CELL("col",Table_Customer_Data[[#Headers],[CreditLine]]))</f>
        <v>0</v>
      </c>
      <c r="Y34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0" s="37"/>
      <c r="AA34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0" s="37" t="s">
        <v>856</v>
      </c>
      <c r="AC340" s="37"/>
      <c r="AD340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0" s="37" t="s">
        <v>856</v>
      </c>
      <c r="AF340" s="37"/>
      <c r="AG34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340" s="37" t="s">
        <v>856</v>
      </c>
      <c r="AI340" s="37"/>
      <c r="AJ34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340" s="37" t="s">
        <v>856</v>
      </c>
      <c r="AL340" s="38"/>
      <c r="AM34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0" s="37" t="s">
        <v>854</v>
      </c>
      <c r="AO340" s="41">
        <v>45228</v>
      </c>
      <c r="AP34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سارى</v>
      </c>
      <c r="AQ340" s="37" t="s">
        <v>856</v>
      </c>
      <c r="AR340" s="37"/>
      <c r="AS34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340" s="41" cm="1">
        <f t="array" aca="1" ref="AT340" ca="1">INDEX('SAP Customer Data'!A:Z,MATCH(بيانات_العملاء[[#This Row],[رمز شريك الأعمال]],'SAP Customer Data'!B:B,0),CELL("col",Table_Customer_Data[[#Headers],[CreateDate]]))</f>
        <v>44619</v>
      </c>
      <c r="AU340" s="41"/>
      <c r="AV340" s="41"/>
      <c r="AW340" s="37"/>
      <c r="AX340" s="37"/>
    </row>
    <row r="341" spans="1:50" x14ac:dyDescent="0.25">
      <c r="A341" s="36" t="str" cm="1">
        <f t="array" aca="1" ref="A341" ca="1">INDEX('SAP Customer Data'!$A:$AC,MATCH(بيانات_العملاء[[#This Row],[رمز شريك الأعمال]],'SAP Customer Data'!$B:$B,0),CELL("col",Table_Customer_Data[[#Headers],[GroupName]]))</f>
        <v>CS05</v>
      </c>
      <c r="B341" s="35" t="s">
        <v>1514</v>
      </c>
      <c r="C341" s="37" t="str" cm="1">
        <f t="array" aca="1" ref="C341" ca="1">INDEX('SAP Customer Data'!$A:$AC,MATCH(بيانات_العملاء[[#This Row],[رمز شريك الأعمال]],'SAP Customer Data'!$B:$B,0),CELL("col",Table_Customer_Data[[#Headers],[CardName]]))</f>
        <v>عميل بضمان المندوب CS05</v>
      </c>
      <c r="D341" s="37" t="str">
        <f ca="1">IF(بيانات_العملاء[[#This Row],[حد الائتمان على SAP]]&gt;0,"آجل","نقدى")</f>
        <v>نقدى</v>
      </c>
      <c r="E341" s="37"/>
      <c r="F341" s="37"/>
      <c r="G341" s="37"/>
      <c r="H34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1" s="37"/>
      <c r="J341" s="38"/>
      <c r="K341" s="41" t="str">
        <f>IF(بيانات_العملاء[[#This Row],[السجل التجارى]]="غير موجود", "غير مطابق", "")</f>
        <v/>
      </c>
      <c r="L341" s="37" t="str">
        <f ca="1">IF(AND(بيانات_العملاء[[#This Row],[السجل التجارى]]="موجود",TODAY()+'Other Data'!$B$23&lt;J341,بيانات_العملاء[[#This Row],[مطابقة اسم العميل بالاسم بالسجل التجارى]]="مطابق"), "سارى", "يجب اعادة طلبه")</f>
        <v>يجب اعادة طلبه</v>
      </c>
      <c r="M341" s="37"/>
      <c r="N341" s="39" t="str" cm="1">
        <f t="array" aca="1" ref="N341" ca="1">INDEX('SAP Customer Data'!$A:$AC,MATCH(بيانات_العملاء[[#This Row],[رمز شريك الأعمال]],'SAP Customer Data'!$B:$B,0),CELL("col",Table_Customer_Data[[#Headers],[LicTradNum]]))</f>
        <v>محمود يوسف</v>
      </c>
      <c r="O34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41" s="37"/>
      <c r="Q341" s="38"/>
      <c r="R341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341" s="37" t="s">
        <v>1080</v>
      </c>
      <c r="T341" s="40"/>
      <c r="U341" s="41"/>
      <c r="V34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1" s="37" cm="1">
        <f t="array" aca="1" ref="X341" ca="1">INDEX('SAP Customer Data'!$A:$AC,MATCH(بيانات_العملاء[[#This Row],[رمز شريك الأعمال]],'SAP Customer Data'!$B:$B,0),CELL("col",Table_Customer_Data[[#Headers],[CreditLine]]))</f>
        <v>0</v>
      </c>
      <c r="Y34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1" s="37"/>
      <c r="AA34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1" s="37"/>
      <c r="AC341" s="44"/>
      <c r="AD341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1" s="37"/>
      <c r="AF341" s="37"/>
      <c r="AG34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341" s="37"/>
      <c r="AI341" s="37"/>
      <c r="AJ34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341" s="37" t="s">
        <v>856</v>
      </c>
      <c r="AL341" s="38"/>
      <c r="AM34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1" s="37"/>
      <c r="AO341" s="41"/>
      <c r="AP34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1" s="37"/>
      <c r="AR341" s="37"/>
      <c r="AS34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341" s="41" cm="1">
        <f t="array" aca="1" ref="AT341" ca="1">INDEX('SAP Customer Data'!A:Z,MATCH(بيانات_العملاء[[#This Row],[رمز شريك الأعمال]],'SAP Customer Data'!B:B,0),CELL("col",Table_Customer_Data[[#Headers],[CreateDate]]))</f>
        <v>44031</v>
      </c>
      <c r="AU341" s="41"/>
      <c r="AV341" s="41"/>
      <c r="AW341" s="37" t="s">
        <v>2097</v>
      </c>
      <c r="AX341" s="37"/>
    </row>
    <row r="342" spans="1:50" x14ac:dyDescent="0.25">
      <c r="A342" s="36" t="str" cm="1">
        <f t="array" aca="1" ref="A342" ca="1">INDEX('SAP Customer Data'!$A:$AC,MATCH(بيانات_العملاء[[#This Row],[رمز شريك الأعمال]],'SAP Customer Data'!$B:$B,0),CELL("col",Table_Customer_Data[[#Headers],[GroupName]]))</f>
        <v>CS05</v>
      </c>
      <c r="B342" s="35" t="s">
        <v>147</v>
      </c>
      <c r="C342" s="37" t="str" cm="1">
        <f t="array" aca="1" ref="C342" ca="1">INDEX('SAP Customer Data'!$A:$AC,MATCH(بيانات_العملاء[[#This Row],[رمز شريك الأعمال]],'SAP Customer Data'!$B:$B,0),CELL("col",Table_Customer_Data[[#Headers],[CardName]]))</f>
        <v>مؤسسة منصور ابراهيم الحلال التجارية -نقدي</v>
      </c>
      <c r="D342" s="37" t="str">
        <f ca="1">IF(بيانات_العملاء[[#This Row],[حد الائتمان على SAP]]&gt;0,"آجل","نقدى")</f>
        <v>نقدى</v>
      </c>
      <c r="E342" s="37" t="s">
        <v>2239</v>
      </c>
      <c r="F342" s="37" t="s">
        <v>1081</v>
      </c>
      <c r="G342" s="37" t="s">
        <v>856</v>
      </c>
      <c r="H34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2" s="37" t="s">
        <v>854</v>
      </c>
      <c r="J342" s="38">
        <v>43888</v>
      </c>
      <c r="K342" s="37" t="s">
        <v>855</v>
      </c>
      <c r="L342" s="37" t="str">
        <f ca="1">IF(AND(بيانات_العملاء[[#This Row],[السجل التجارى]]="موجود",TODAY()+'Other Data'!$B$23&lt;J342,بيانات_العملاء[[#This Row],[مطابقة اسم العميل بالاسم بالسجل التجارى]]="مطابق"), "سارى", "يجب اعادة طلبه")</f>
        <v>يجب اعادة طلبه</v>
      </c>
      <c r="M342" s="37" t="s">
        <v>856</v>
      </c>
      <c r="N342" s="39" t="str" cm="1">
        <f t="array" aca="1" ref="N342" ca="1">INDEX('SAP Customer Data'!$A:$AC,MATCH(بيانات_العملاء[[#This Row],[رمز شريك الأعمال]],'SAP Customer Data'!$B:$B,0),CELL("col",Table_Customer_Data[[#Headers],[LicTradNum]]))</f>
        <v>302077618300003</v>
      </c>
      <c r="O34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42" s="37" t="s">
        <v>856</v>
      </c>
      <c r="Q342" s="38"/>
      <c r="R34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2" s="37" t="s">
        <v>1080</v>
      </c>
      <c r="T342" s="40"/>
      <c r="U342" s="41"/>
      <c r="V34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2" s="37" cm="1">
        <f t="array" aca="1" ref="X342" ca="1">INDEX('SAP Customer Data'!$A:$AC,MATCH(بيانات_العملاء[[#This Row],[رمز شريك الأعمال]],'SAP Customer Data'!$B:$B,0),CELL("col",Table_Customer_Data[[#Headers],[CreditLine]]))</f>
        <v>0</v>
      </c>
      <c r="Y34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2" s="37"/>
      <c r="AA34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2" s="37" t="s">
        <v>856</v>
      </c>
      <c r="AC342" s="37"/>
      <c r="AD34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2" s="37"/>
      <c r="AF342" s="37"/>
      <c r="AG34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2" s="37"/>
      <c r="AI342" s="37"/>
      <c r="AJ34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2" s="37"/>
      <c r="AL342" s="38"/>
      <c r="AM34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2" s="37" t="s">
        <v>856</v>
      </c>
      <c r="AO342" s="41"/>
      <c r="AP34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2" s="37"/>
      <c r="AR342" s="37"/>
      <c r="AS34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2" s="41" cm="1">
        <f t="array" aca="1" ref="AT342" ca="1">INDEX('SAP Customer Data'!A:Z,MATCH(بيانات_العملاء[[#This Row],[رمز شريك الأعمال]],'SAP Customer Data'!B:B,0),CELL("col",Table_Customer_Data[[#Headers],[CreateDate]]))</f>
        <v>44609</v>
      </c>
      <c r="AU342" s="37"/>
      <c r="AV342" s="41"/>
      <c r="AW342" s="37" t="s">
        <v>2097</v>
      </c>
      <c r="AX342" s="37"/>
    </row>
    <row r="343" spans="1:50" x14ac:dyDescent="0.25">
      <c r="A343" s="36" t="str" cm="1">
        <f t="array" aca="1" ref="A343" ca="1">INDEX('SAP Customer Data'!$A:$AC,MATCH(بيانات_العملاء[[#This Row],[رمز شريك الأعمال]],'SAP Customer Data'!$B:$B,0),CELL("col",Table_Customer_Data[[#Headers],[GroupName]]))</f>
        <v>CS05</v>
      </c>
      <c r="B343" s="35" t="s">
        <v>139</v>
      </c>
      <c r="C343" s="37" t="str" cm="1">
        <f t="array" aca="1" ref="C343" ca="1">INDEX('SAP Customer Data'!$A:$AC,MATCH(بيانات_العملاء[[#This Row],[رمز شريك الأعمال]],'SAP Customer Data'!$B:$B,0),CELL("col",Table_Customer_Data[[#Headers],[CardName]]))</f>
        <v>شركة مدي الشرقية للتطوير العقاري-نقدي</v>
      </c>
      <c r="D343" s="37" t="str">
        <f ca="1">IF(بيانات_العملاء[[#This Row],[حد الائتمان على SAP]]&gt;0,"آجل","نقدى")</f>
        <v>نقدى</v>
      </c>
      <c r="E343" s="37"/>
      <c r="F343" s="37" t="s">
        <v>1044</v>
      </c>
      <c r="G343" s="37" t="s">
        <v>856</v>
      </c>
      <c r="H34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3" s="37" t="s">
        <v>854</v>
      </c>
      <c r="J343" s="38">
        <v>44700</v>
      </c>
      <c r="K343" s="37" t="s">
        <v>855</v>
      </c>
      <c r="L343" s="37" t="str">
        <f ca="1">IF(AND(بيانات_العملاء[[#This Row],[السجل التجارى]]="موجود",TODAY()+'Other Data'!$B$23&lt;J343,بيانات_العملاء[[#This Row],[مطابقة اسم العميل بالاسم بالسجل التجارى]]="مطابق"), "سارى", "يجب اعادة طلبه")</f>
        <v>يجب اعادة طلبه</v>
      </c>
      <c r="M343" s="37" t="s">
        <v>854</v>
      </c>
      <c r="N343" s="39" t="str" cm="1">
        <f t="array" aca="1" ref="N343" ca="1">INDEX('SAP Customer Data'!$A:$AC,MATCH(بيانات_العملاء[[#This Row],[رمز شريك الأعمال]],'SAP Customer Data'!$B:$B,0),CELL("col",Table_Customer_Data[[#Headers],[LicTradNum]]))</f>
        <v>300391907500003</v>
      </c>
      <c r="O34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43" s="37" t="s">
        <v>856</v>
      </c>
      <c r="Q343" s="38"/>
      <c r="R34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3" s="37" t="s">
        <v>1080</v>
      </c>
      <c r="T343" s="40"/>
      <c r="U343" s="41"/>
      <c r="V34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3" s="37" cm="1">
        <f t="array" aca="1" ref="X343" ca="1">INDEX('SAP Customer Data'!$A:$AC,MATCH(بيانات_العملاء[[#This Row],[رمز شريك الأعمال]],'SAP Customer Data'!$B:$B,0),CELL("col",Table_Customer_Data[[#Headers],[CreditLine]]))</f>
        <v>0</v>
      </c>
      <c r="Y34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3" s="37"/>
      <c r="AA34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3" s="37" t="s">
        <v>856</v>
      </c>
      <c r="AC343" s="37"/>
      <c r="AD34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3" s="37"/>
      <c r="AF343" s="37"/>
      <c r="AG34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3" s="37"/>
      <c r="AI343" s="37"/>
      <c r="AJ34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3" s="37"/>
      <c r="AL343" s="38"/>
      <c r="AM34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3" s="37" t="s">
        <v>854</v>
      </c>
      <c r="AO343" s="41">
        <v>43889</v>
      </c>
      <c r="AP34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3" s="37"/>
      <c r="AR343" s="37"/>
      <c r="AS34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3" s="41" cm="1">
        <f t="array" aca="1" ref="AT343" ca="1">INDEX('SAP Customer Data'!A:Z,MATCH(بيانات_العملاء[[#This Row],[رمز شريك الأعمال]],'SAP Customer Data'!B:B,0),CELL("col",Table_Customer_Data[[#Headers],[CreateDate]]))</f>
        <v>44595</v>
      </c>
      <c r="AU343" s="37"/>
      <c r="AV343" s="41"/>
      <c r="AW343" s="37" t="s">
        <v>2097</v>
      </c>
      <c r="AX343" s="37"/>
    </row>
    <row r="344" spans="1:50" x14ac:dyDescent="0.25">
      <c r="A344" s="36" t="str" cm="1">
        <f t="array" aca="1" ref="A344" ca="1">INDEX('SAP Customer Data'!$A:$AC,MATCH(بيانات_العملاء[[#This Row],[رمز شريك الأعمال]],'SAP Customer Data'!$B:$B,0),CELL("col",Table_Customer_Data[[#Headers],[GroupName]]))</f>
        <v>CS05</v>
      </c>
      <c r="B344" s="42" t="s">
        <v>121</v>
      </c>
      <c r="C344" s="37" t="str" cm="1">
        <f t="array" aca="1" ref="C344" ca="1">INDEX('SAP Customer Data'!$A:$AC,MATCH(بيانات_العملاء[[#This Row],[رمز شريك الأعمال]],'SAP Customer Data'!$B:$B,0),CELL("col",Table_Customer_Data[[#Headers],[CardName]]))</f>
        <v>مؤسسة مزيال التجارية-نقدي</v>
      </c>
      <c r="D344" s="37" t="str">
        <f ca="1">IF(بيانات_العملاء[[#This Row],[حد الائتمان على SAP]]&gt;0,"آجل","نقدى")</f>
        <v>نقدى</v>
      </c>
      <c r="E344" s="37"/>
      <c r="F344" s="37" t="s">
        <v>1082</v>
      </c>
      <c r="G344" s="37"/>
      <c r="H34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4" s="37" t="s">
        <v>856</v>
      </c>
      <c r="J344" s="38"/>
      <c r="K344" s="37"/>
      <c r="L344" s="37" t="str">
        <f ca="1">IF(AND(بيانات_العملاء[[#This Row],[السجل التجارى]]="موجود",TODAY()+'Other Data'!$B$23&lt;J344,بيانات_العملاء[[#This Row],[مطابقة اسم العميل بالاسم بالسجل التجارى]]="مطابق"), "سارى", "يجب اعادة طلبه")</f>
        <v>يجب اعادة طلبه</v>
      </c>
      <c r="M344" s="37" t="s">
        <v>854</v>
      </c>
      <c r="N344" s="39" t="str" cm="1">
        <f t="array" aca="1" ref="N344" ca="1">INDEX('SAP Customer Data'!$A:$AC,MATCH(بيانات_العملاء[[#This Row],[رمز شريك الأعمال]],'SAP Customer Data'!$B:$B,0),CELL("col",Table_Customer_Data[[#Headers],[LicTradNum]]))</f>
        <v>310070220500003</v>
      </c>
      <c r="O34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44" s="37"/>
      <c r="Q344" s="38"/>
      <c r="R34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4" s="37" t="s">
        <v>1080</v>
      </c>
      <c r="T344" s="40"/>
      <c r="U344" s="41"/>
      <c r="V34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4" s="37" cm="1">
        <f t="array" aca="1" ref="X344" ca="1">INDEX('SAP Customer Data'!$A:$AC,MATCH(بيانات_العملاء[[#This Row],[رمز شريك الأعمال]],'SAP Customer Data'!$B:$B,0),CELL("col",Table_Customer_Data[[#Headers],[CreditLine]]))</f>
        <v>0</v>
      </c>
      <c r="Y34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4" s="37"/>
      <c r="AA34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4" s="37"/>
      <c r="AC344" s="37"/>
      <c r="AD34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4" s="37"/>
      <c r="AF344" s="37"/>
      <c r="AG34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4" s="37"/>
      <c r="AI344" s="37"/>
      <c r="AJ34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4" s="37"/>
      <c r="AL344" s="38"/>
      <c r="AM34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4" s="37"/>
      <c r="AO344" s="41"/>
      <c r="AP34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4" s="37"/>
      <c r="AR344" s="37"/>
      <c r="AS34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4" s="41" cm="1">
        <f t="array" aca="1" ref="AT344" ca="1">INDEX('SAP Customer Data'!A:Z,MATCH(بيانات_العملاء[[#This Row],[رمز شريك الأعمال]],'SAP Customer Data'!B:B,0),CELL("col",Table_Customer_Data[[#Headers],[CreateDate]]))</f>
        <v>44555</v>
      </c>
      <c r="AU344" s="37"/>
      <c r="AV344" s="41"/>
      <c r="AW344" s="37" t="s">
        <v>2097</v>
      </c>
      <c r="AX344" s="37"/>
    </row>
    <row r="345" spans="1:50" x14ac:dyDescent="0.25">
      <c r="A345" s="36" t="str" cm="1">
        <f t="array" aca="1" ref="A345" ca="1">INDEX('SAP Customer Data'!$A:$AC,MATCH(بيانات_العملاء[[#This Row],[رمز شريك الأعمال]],'SAP Customer Data'!$B:$B,0),CELL("col",Table_Customer_Data[[#Headers],[GroupName]]))</f>
        <v>CS05</v>
      </c>
      <c r="B345" s="35" t="s">
        <v>143</v>
      </c>
      <c r="C345" s="37" t="str" cm="1">
        <f t="array" aca="1" ref="C345" ca="1">INDEX('SAP Customer Data'!$A:$AC,MATCH(بيانات_العملاء[[#This Row],[رمز شريك الأعمال]],'SAP Customer Data'!$B:$B,0),CELL("col",Table_Customer_Data[[#Headers],[CardName]]))</f>
        <v>بنشر ركن الصدارة لخدمات السيارات-نقدي</v>
      </c>
      <c r="D345" s="37" t="str">
        <f ca="1">IF(بيانات_العملاء[[#This Row],[حد الائتمان على SAP]]&gt;0,"آجل","نقدى")</f>
        <v>نقدى</v>
      </c>
      <c r="E345" s="37" t="s">
        <v>2240</v>
      </c>
      <c r="F345" s="37" t="s">
        <v>1081</v>
      </c>
      <c r="G345" s="37" t="s">
        <v>856</v>
      </c>
      <c r="H34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5" s="37" t="s">
        <v>854</v>
      </c>
      <c r="J345" s="38">
        <v>45241</v>
      </c>
      <c r="K345" s="37" t="s">
        <v>855</v>
      </c>
      <c r="L345" s="37" t="str">
        <f ca="1">IF(AND(بيانات_العملاء[[#This Row],[السجل التجارى]]="موجود",TODAY()+'Other Data'!$B$23&lt;J345,بيانات_العملاء[[#This Row],[مطابقة اسم العميل بالاسم بالسجل التجارى]]="مطابق"), "سارى", "يجب اعادة طلبه")</f>
        <v>سارى</v>
      </c>
      <c r="M345" s="37" t="s">
        <v>856</v>
      </c>
      <c r="N345" s="39" t="str" cm="1">
        <f t="array" aca="1" ref="N345" ca="1">INDEX('SAP Customer Data'!$A:$AC,MATCH(بيانات_العملاء[[#This Row],[رمز شريك الأعمال]],'SAP Customer Data'!$B:$B,0),CELL("col",Table_Customer_Data[[#Headers],[LicTradNum]]))</f>
        <v>311006292200003</v>
      </c>
      <c r="O34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45" s="37" t="s">
        <v>856</v>
      </c>
      <c r="Q345" s="38"/>
      <c r="R34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5" s="37" t="s">
        <v>1080</v>
      </c>
      <c r="T345" s="40"/>
      <c r="U345" s="41"/>
      <c r="V34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5" s="37" cm="1">
        <f t="array" aca="1" ref="X345" ca="1">INDEX('SAP Customer Data'!$A:$AC,MATCH(بيانات_العملاء[[#This Row],[رمز شريك الأعمال]],'SAP Customer Data'!$B:$B,0),CELL("col",Table_Customer_Data[[#Headers],[CreditLine]]))</f>
        <v>0</v>
      </c>
      <c r="Y34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5" s="37"/>
      <c r="AA34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5" s="37" t="s">
        <v>856</v>
      </c>
      <c r="AC345" s="37"/>
      <c r="AD34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5" s="37"/>
      <c r="AF345" s="37"/>
      <c r="AG34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5" s="37"/>
      <c r="AI345" s="37"/>
      <c r="AJ34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5" s="37"/>
      <c r="AL345" s="38"/>
      <c r="AM34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5" s="37" t="s">
        <v>856</v>
      </c>
      <c r="AO345" s="41"/>
      <c r="AP34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5" s="37"/>
      <c r="AR345" s="37"/>
      <c r="AS34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5" s="41" cm="1">
        <f t="array" aca="1" ref="AT345" ca="1">INDEX('SAP Customer Data'!A:Z,MATCH(بيانات_العملاء[[#This Row],[رمز شريك الأعمال]],'SAP Customer Data'!B:B,0),CELL("col",Table_Customer_Data[[#Headers],[CreateDate]]))</f>
        <v>44595</v>
      </c>
      <c r="AU345" s="37"/>
      <c r="AV345" s="41"/>
      <c r="AW345" s="37" t="s">
        <v>2097</v>
      </c>
      <c r="AX345" s="37"/>
    </row>
    <row r="346" spans="1:50" s="71" customFormat="1" x14ac:dyDescent="0.25">
      <c r="A346" s="36" t="str" cm="1">
        <f t="array" aca="1" ref="A346" ca="1">INDEX('SAP Customer Data'!$A:$AC,MATCH(بيانات_العملاء[[#This Row],[رمز شريك الأعمال]],'SAP Customer Data'!$B:$B,0),CELL("col",Table_Customer_Data[[#Headers],[GroupName]]))</f>
        <v>CS05</v>
      </c>
      <c r="B346" s="35" t="s">
        <v>135</v>
      </c>
      <c r="C346" s="37" t="str" cm="1">
        <f t="array" aca="1" ref="C346" ca="1">INDEX('SAP Customer Data'!$A:$AC,MATCH(بيانات_العملاء[[#This Row],[رمز شريك الأعمال]],'SAP Customer Data'!$B:$B,0),CELL("col",Table_Customer_Data[[#Headers],[CardName]]))</f>
        <v>مؤسسة القوة التعاونية</v>
      </c>
      <c r="D346" s="37" t="str">
        <f ca="1">IF(بيانات_العملاء[[#This Row],[حد الائتمان على SAP]]&gt;0,"آجل","نقدى")</f>
        <v>آجل</v>
      </c>
      <c r="E346" s="37" t="s">
        <v>2413</v>
      </c>
      <c r="F346" s="37" t="s">
        <v>1081</v>
      </c>
      <c r="G346" s="37" t="s">
        <v>854</v>
      </c>
      <c r="H34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46" s="37" t="s">
        <v>854</v>
      </c>
      <c r="J346" s="38">
        <v>43644</v>
      </c>
      <c r="K346" s="37" t="s">
        <v>855</v>
      </c>
      <c r="L346" s="37" t="str">
        <f ca="1">IF(AND(بيانات_العملاء[[#This Row],[السجل التجارى]]="موجود",TODAY()+'Other Data'!$B$23&lt;J346,بيانات_العملاء[[#This Row],[مطابقة اسم العميل بالاسم بالسجل التجارى]]="مطابق"), "سارى", "يجب اعادة طلبه")</f>
        <v>يجب اعادة طلبه</v>
      </c>
      <c r="M346" s="37" t="s">
        <v>854</v>
      </c>
      <c r="N346" s="39" t="str" cm="1">
        <f t="array" aca="1" ref="N346" ca="1">INDEX('SAP Customer Data'!$A:$AC,MATCH(بيانات_العملاء[[#This Row],[رمز شريك الأعمال]],'SAP Customer Data'!$B:$B,0),CELL("col",Table_Customer_Data[[#Headers],[LicTradNum]]))</f>
        <v>300645489500003</v>
      </c>
      <c r="O34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46" s="37" t="s">
        <v>856</v>
      </c>
      <c r="Q346" s="38"/>
      <c r="R34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6" s="37" t="s">
        <v>854</v>
      </c>
      <c r="T346" s="40">
        <v>30000</v>
      </c>
      <c r="U346" s="41"/>
      <c r="V34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346" s="37" cm="1">
        <f t="array" aca="1" ref="X346" ca="1">INDEX('SAP Customer Data'!$A:$AC,MATCH(بيانات_العملاء[[#This Row],[رمز شريك الأعمال]],'SAP Customer Data'!$B:$B,0),CELL("col",Table_Customer_Data[[#Headers],[CreditLine]]))</f>
        <v>24000</v>
      </c>
      <c r="Y34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6" s="37" t="s">
        <v>855</v>
      </c>
      <c r="AA34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46" s="37" t="s">
        <v>854</v>
      </c>
      <c r="AC346" s="41">
        <v>48346</v>
      </c>
      <c r="AD34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346" s="37" t="s">
        <v>856</v>
      </c>
      <c r="AF346" s="37"/>
      <c r="AG34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6" s="37" t="s">
        <v>856</v>
      </c>
      <c r="AI346" s="37"/>
      <c r="AJ34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6" s="37" t="s">
        <v>854</v>
      </c>
      <c r="AL346" s="38">
        <v>44011</v>
      </c>
      <c r="AM34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6" s="37" t="s">
        <v>856</v>
      </c>
      <c r="AO346" s="41"/>
      <c r="AP34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6" s="37" t="s">
        <v>856</v>
      </c>
      <c r="AR346" s="37"/>
      <c r="AS34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6" s="41" cm="1">
        <f t="array" aca="1" ref="AT346" ca="1">INDEX('SAP Customer Data'!A:Z,MATCH(بيانات_العملاء[[#This Row],[رمز شريك الأعمال]],'SAP Customer Data'!B:B,0),CELL("col",Table_Customer_Data[[#Headers],[CreateDate]]))</f>
        <v>44577</v>
      </c>
      <c r="AU346" s="83" t="s">
        <v>2414</v>
      </c>
      <c r="AV346" s="41" t="s">
        <v>920</v>
      </c>
      <c r="AW346" s="37" t="s">
        <v>2097</v>
      </c>
      <c r="AX346" s="37"/>
    </row>
    <row r="347" spans="1:50" x14ac:dyDescent="0.25">
      <c r="A347" s="36" t="str" cm="1">
        <f t="array" aca="1" ref="A347" ca="1">INDEX('SAP Customer Data'!$A:$AC,MATCH(بيانات_العملاء[[#This Row],[رمز شريك الأعمال]],'SAP Customer Data'!$B:$B,0),CELL("col",Table_Customer_Data[[#Headers],[GroupName]]))</f>
        <v>CS05</v>
      </c>
      <c r="B347" s="35" t="s">
        <v>133</v>
      </c>
      <c r="C347" s="37" t="str" cm="1">
        <f t="array" aca="1" ref="C347" ca="1">INDEX('SAP Customer Data'!$A:$AC,MATCH(بيانات_العملاء[[#This Row],[رمز شريك الأعمال]],'SAP Customer Data'!$B:$B,0),CELL("col",Table_Customer_Data[[#Headers],[CardName]]))</f>
        <v>مؤسسة نماء الابداع التجارية -نقدي</v>
      </c>
      <c r="D347" s="37" t="str">
        <f ca="1">IF(بيانات_العملاء[[#This Row],[حد الائتمان على SAP]]&gt;0,"آجل","نقدى")</f>
        <v>نقدى</v>
      </c>
      <c r="E347" s="37" t="s">
        <v>2241</v>
      </c>
      <c r="F347" s="37" t="s">
        <v>1081</v>
      </c>
      <c r="G347" s="37" t="s">
        <v>856</v>
      </c>
      <c r="H34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7" s="37" t="s">
        <v>854</v>
      </c>
      <c r="J347" s="38">
        <v>44616</v>
      </c>
      <c r="K347" s="37" t="s">
        <v>855</v>
      </c>
      <c r="L347" s="37" t="str">
        <f ca="1">IF(AND(بيانات_العملاء[[#This Row],[السجل التجارى]]="موجود",TODAY()+'Other Data'!$B$23&lt;J347,بيانات_العملاء[[#This Row],[مطابقة اسم العميل بالاسم بالسجل التجارى]]="مطابق"), "سارى", "يجب اعادة طلبه")</f>
        <v>يجب اعادة طلبه</v>
      </c>
      <c r="M347" s="37" t="s">
        <v>854</v>
      </c>
      <c r="N347" s="39" t="str" cm="1">
        <f t="array" aca="1" ref="N347" ca="1">INDEX('SAP Customer Data'!$A:$AC,MATCH(بيانات_العملاء[[#This Row],[رمز شريك الأعمال]],'SAP Customer Data'!$B:$B,0),CELL("col",Table_Customer_Data[[#Headers],[LicTradNum]]))</f>
        <v>310885936700003</v>
      </c>
      <c r="O34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47" s="37" t="s">
        <v>856</v>
      </c>
      <c r="Q347" s="38"/>
      <c r="R34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7" s="37" t="s">
        <v>1080</v>
      </c>
      <c r="T347" s="40"/>
      <c r="U347" s="41"/>
      <c r="V34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7" s="37" cm="1">
        <f t="array" aca="1" ref="X347" ca="1">INDEX('SAP Customer Data'!$A:$AC,MATCH(بيانات_العملاء[[#This Row],[رمز شريك الأعمال]],'SAP Customer Data'!$B:$B,0),CELL("col",Table_Customer_Data[[#Headers],[CreditLine]]))</f>
        <v>0</v>
      </c>
      <c r="Y34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7" s="37"/>
      <c r="AA34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7" s="37" t="s">
        <v>856</v>
      </c>
      <c r="AC347" s="37"/>
      <c r="AD34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7" s="37"/>
      <c r="AF347" s="37"/>
      <c r="AG34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7" s="37"/>
      <c r="AI347" s="37"/>
      <c r="AJ34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7" s="37"/>
      <c r="AL347" s="38"/>
      <c r="AM34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7" s="37" t="s">
        <v>854</v>
      </c>
      <c r="AO347" s="41">
        <v>44616</v>
      </c>
      <c r="AP34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7" s="37"/>
      <c r="AR347" s="37"/>
      <c r="AS34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7" s="41" cm="1">
        <f t="array" aca="1" ref="AT347" ca="1">INDEX('SAP Customer Data'!A:Z,MATCH(بيانات_العملاء[[#This Row],[رمز شريك الأعمال]],'SAP Customer Data'!B:B,0),CELL("col",Table_Customer_Data[[#Headers],[CreateDate]]))</f>
        <v>44572</v>
      </c>
      <c r="AU347" s="37"/>
      <c r="AV347" s="41"/>
      <c r="AW347" s="37" t="s">
        <v>2097</v>
      </c>
      <c r="AX347" s="37"/>
    </row>
    <row r="348" spans="1:50" x14ac:dyDescent="0.25">
      <c r="A348" s="36" t="str" cm="1">
        <f t="array" aca="1" ref="A348" ca="1">INDEX('SAP Customer Data'!$A:$AC,MATCH(بيانات_العملاء[[#This Row],[رمز شريك الأعمال]],'SAP Customer Data'!$B:$B,0),CELL("col",Table_Customer_Data[[#Headers],[GroupName]]))</f>
        <v>CS05</v>
      </c>
      <c r="B348" s="42" t="s">
        <v>640</v>
      </c>
      <c r="C348" s="37" t="str" cm="1">
        <f t="array" aca="1" ref="C348" ca="1">INDEX('SAP Customer Data'!$A:$AC,MATCH(بيانات_العملاء[[#This Row],[رمز شريك الأعمال]],'SAP Customer Data'!$B:$B,0),CELL("col",Table_Customer_Data[[#Headers],[CardName]]))</f>
        <v>شركة رضاكم المتحدة للتجارة - نقدي</v>
      </c>
      <c r="D348" s="37" t="str">
        <f ca="1">IF(بيانات_العملاء[[#This Row],[حد الائتمان على SAP]]&gt;0,"آجل","نقدى")</f>
        <v>نقدى</v>
      </c>
      <c r="E348" s="37"/>
      <c r="F348" s="37" t="s">
        <v>1082</v>
      </c>
      <c r="G348" s="37"/>
      <c r="H34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8" s="37" t="s">
        <v>856</v>
      </c>
      <c r="J348" s="38"/>
      <c r="K348" s="37"/>
      <c r="L348" s="37" t="str">
        <f ca="1">IF(AND(بيانات_العملاء[[#This Row],[السجل التجارى]]="موجود",TODAY()+'Other Data'!$B$23&lt;J348,بيانات_العملاء[[#This Row],[مطابقة اسم العميل بالاسم بالسجل التجارى]]="مطابق"), "سارى", "يجب اعادة طلبه")</f>
        <v>يجب اعادة طلبه</v>
      </c>
      <c r="M348" s="37" t="s">
        <v>854</v>
      </c>
      <c r="N348" s="39" t="str" cm="1">
        <f t="array" aca="1" ref="N348" ca="1">INDEX('SAP Customer Data'!$A:$AC,MATCH(بيانات_العملاء[[#This Row],[رمز شريك الأعمال]],'SAP Customer Data'!$B:$B,0),CELL("col",Table_Customer_Data[[#Headers],[LicTradNum]]))</f>
        <v>310216483600003</v>
      </c>
      <c r="O34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48" s="37"/>
      <c r="Q348" s="38"/>
      <c r="R34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8" s="37" t="s">
        <v>1080</v>
      </c>
      <c r="T348" s="40"/>
      <c r="U348" s="41"/>
      <c r="V34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8" s="37" cm="1">
        <f t="array" aca="1" ref="X348" ca="1">INDEX('SAP Customer Data'!$A:$AC,MATCH(بيانات_العملاء[[#This Row],[رمز شريك الأعمال]],'SAP Customer Data'!$B:$B,0),CELL("col",Table_Customer_Data[[#Headers],[CreditLine]]))</f>
        <v>0</v>
      </c>
      <c r="Y34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8" s="37"/>
      <c r="AA34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8" s="37"/>
      <c r="AC348" s="37"/>
      <c r="AD34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8" s="37"/>
      <c r="AF348" s="37"/>
      <c r="AG34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8" s="37"/>
      <c r="AI348" s="37"/>
      <c r="AJ34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8" s="37"/>
      <c r="AL348" s="38"/>
      <c r="AM34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8" s="37"/>
      <c r="AO348" s="41"/>
      <c r="AP34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8" s="37"/>
      <c r="AR348" s="37"/>
      <c r="AS34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8" s="41" cm="1">
        <f t="array" aca="1" ref="AT348" ca="1">INDEX('SAP Customer Data'!A:Z,MATCH(بيانات_العملاء[[#This Row],[رمز شريك الأعمال]],'SAP Customer Data'!B:B,0),CELL("col",Table_Customer_Data[[#Headers],[CreateDate]]))</f>
        <v>44387</v>
      </c>
      <c r="AU348" s="37"/>
      <c r="AV348" s="41"/>
      <c r="AW348" s="37" t="s">
        <v>2097</v>
      </c>
      <c r="AX348" s="37"/>
    </row>
    <row r="349" spans="1:50" x14ac:dyDescent="0.25">
      <c r="A349" s="36" t="str" cm="1">
        <f t="array" aca="1" ref="A349" ca="1">INDEX('SAP Customer Data'!$A:$AC,MATCH(بيانات_العملاء[[#This Row],[رمز شريك الأعمال]],'SAP Customer Data'!$B:$B,0),CELL("col",Table_Customer_Data[[#Headers],[GroupName]]))</f>
        <v>CS05</v>
      </c>
      <c r="B349" s="35" t="s">
        <v>127</v>
      </c>
      <c r="C349" s="37" t="str" cm="1">
        <f t="array" aca="1" ref="C349" ca="1">INDEX('SAP Customer Data'!$A:$AC,MATCH(بيانات_العملاء[[#This Row],[رمز شريك الأعمال]],'SAP Customer Data'!$B:$B,0),CELL("col",Table_Customer_Data[[#Headers],[CardName]]))</f>
        <v>مؤسسة البيت المتكامل التجارية -نقدي</v>
      </c>
      <c r="D349" s="37" t="str">
        <f ca="1">IF(بيانات_العملاء[[#This Row],[حد الائتمان على SAP]]&gt;0,"آجل","نقدى")</f>
        <v>نقدى</v>
      </c>
      <c r="E349" s="37" t="s">
        <v>2242</v>
      </c>
      <c r="F349" s="37" t="s">
        <v>1081</v>
      </c>
      <c r="G349" s="37" t="s">
        <v>856</v>
      </c>
      <c r="H34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49" s="37" t="s">
        <v>854</v>
      </c>
      <c r="J349" s="38">
        <v>44538</v>
      </c>
      <c r="K349" s="37" t="s">
        <v>855</v>
      </c>
      <c r="L349" s="37" t="str">
        <f ca="1">IF(AND(بيانات_العملاء[[#This Row],[السجل التجارى]]="موجود",TODAY()+'Other Data'!$B$23&lt;J349,بيانات_العملاء[[#This Row],[مطابقة اسم العميل بالاسم بالسجل التجارى]]="مطابق"), "سارى", "يجب اعادة طلبه")</f>
        <v>يجب اعادة طلبه</v>
      </c>
      <c r="M349" s="37" t="s">
        <v>854</v>
      </c>
      <c r="N349" s="39" t="str" cm="1">
        <f t="array" aca="1" ref="N349" ca="1">INDEX('SAP Customer Data'!$A:$AC,MATCH(بيانات_العملاء[[#This Row],[رمز شريك الأعمال]],'SAP Customer Data'!$B:$B,0),CELL("col",Table_Customer_Data[[#Headers],[LicTradNum]]))</f>
        <v>302095091900003</v>
      </c>
      <c r="O34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49" s="37" t="s">
        <v>856</v>
      </c>
      <c r="Q349" s="38"/>
      <c r="R34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49" s="37" t="s">
        <v>1080</v>
      </c>
      <c r="T349" s="40"/>
      <c r="U349" s="41"/>
      <c r="V34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4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49" s="37" cm="1">
        <f t="array" aca="1" ref="X349" ca="1">INDEX('SAP Customer Data'!$A:$AC,MATCH(بيانات_العملاء[[#This Row],[رمز شريك الأعمال]],'SAP Customer Data'!$B:$B,0),CELL("col",Table_Customer_Data[[#Headers],[CreditLine]]))</f>
        <v>0</v>
      </c>
      <c r="Y34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49" s="37"/>
      <c r="AA34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49" s="37" t="s">
        <v>856</v>
      </c>
      <c r="AC349" s="37"/>
      <c r="AD34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49" s="37"/>
      <c r="AF349" s="37"/>
      <c r="AG34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49" s="37"/>
      <c r="AI349" s="37"/>
      <c r="AJ34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49" s="37"/>
      <c r="AL349" s="38"/>
      <c r="AM34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49" s="37" t="s">
        <v>856</v>
      </c>
      <c r="AO349" s="41"/>
      <c r="AP34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49" s="37"/>
      <c r="AR349" s="37"/>
      <c r="AS34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49" s="41" cm="1">
        <f t="array" aca="1" ref="AT349" ca="1">INDEX('SAP Customer Data'!A:Z,MATCH(بيانات_العملاء[[#This Row],[رمز شريك الأعمال]],'SAP Customer Data'!B:B,0),CELL("col",Table_Customer_Data[[#Headers],[CreateDate]]))</f>
        <v>44567</v>
      </c>
      <c r="AU349" s="37"/>
      <c r="AV349" s="41"/>
      <c r="AW349" s="37" t="s">
        <v>2097</v>
      </c>
      <c r="AX349" s="37"/>
    </row>
    <row r="350" spans="1:50" x14ac:dyDescent="0.25">
      <c r="A350" s="36" t="str" cm="1">
        <f t="array" aca="1" ref="A350" ca="1">INDEX('SAP Customer Data'!$A:$AC,MATCH(بيانات_العملاء[[#This Row],[رمز شريك الأعمال]],'SAP Customer Data'!$B:$B,0),CELL("col",Table_Customer_Data[[#Headers],[GroupName]]))</f>
        <v>CS05</v>
      </c>
      <c r="B350" s="35" t="s">
        <v>125</v>
      </c>
      <c r="C350" s="37" t="str" cm="1">
        <f t="array" aca="1" ref="C350" ca="1">INDEX('SAP Customer Data'!$A:$AC,MATCH(بيانات_العملاء[[#This Row],[رمز شريك الأعمال]],'SAP Customer Data'!$B:$B,0),CELL("col",Table_Customer_Data[[#Headers],[CardName]]))</f>
        <v>شركة عبدالله سليمان الشارخ للتجارة والمقاولات-نقدي</v>
      </c>
      <c r="D350" s="37" t="str">
        <f ca="1">IF(بيانات_العملاء[[#This Row],[حد الائتمان على SAP]]&gt;0,"آجل","نقدى")</f>
        <v>نقدى</v>
      </c>
      <c r="E350" s="37"/>
      <c r="F350" s="37" t="s">
        <v>997</v>
      </c>
      <c r="G350" s="37" t="s">
        <v>856</v>
      </c>
      <c r="H35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0" s="37" t="s">
        <v>854</v>
      </c>
      <c r="J350" s="38">
        <v>44834</v>
      </c>
      <c r="K350" s="37" t="s">
        <v>855</v>
      </c>
      <c r="L350" s="37" t="str">
        <f ca="1">IF(AND(بيانات_العملاء[[#This Row],[السجل التجارى]]="موجود",TODAY()+'Other Data'!$B$23&lt;J350,بيانات_العملاء[[#This Row],[مطابقة اسم العميل بالاسم بالسجل التجارى]]="مطابق"), "سارى", "يجب اعادة طلبه")</f>
        <v>يجب اعادة طلبه</v>
      </c>
      <c r="M350" s="37" t="s">
        <v>854</v>
      </c>
      <c r="N350" s="39" t="str" cm="1">
        <f t="array" aca="1" ref="N350" ca="1">INDEX('SAP Customer Data'!$A:$AC,MATCH(بيانات_العملاء[[#This Row],[رمز شريك الأعمال]],'SAP Customer Data'!$B:$B,0),CELL("col",Table_Customer_Data[[#Headers],[LicTradNum]]))</f>
        <v>300733572600003</v>
      </c>
      <c r="O35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0" s="37" t="s">
        <v>856</v>
      </c>
      <c r="Q350" s="38"/>
      <c r="R35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0" s="37" t="s">
        <v>1080</v>
      </c>
      <c r="T350" s="40"/>
      <c r="U350" s="41"/>
      <c r="V35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0" s="37" cm="1">
        <f t="array" aca="1" ref="X350" ca="1">INDEX('SAP Customer Data'!$A:$AC,MATCH(بيانات_العملاء[[#This Row],[رمز شريك الأعمال]],'SAP Customer Data'!$B:$B,0),CELL("col",Table_Customer_Data[[#Headers],[CreditLine]]))</f>
        <v>0</v>
      </c>
      <c r="Y35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0" s="37"/>
      <c r="AA35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0" s="37" t="s">
        <v>856</v>
      </c>
      <c r="AC350" s="37"/>
      <c r="AD35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0" s="37"/>
      <c r="AF350" s="37"/>
      <c r="AG35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0" s="37"/>
      <c r="AI350" s="37"/>
      <c r="AJ35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0" s="37"/>
      <c r="AL350" s="38"/>
      <c r="AM35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0" s="37" t="s">
        <v>856</v>
      </c>
      <c r="AO350" s="41"/>
      <c r="AP35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0" s="37"/>
      <c r="AR350" s="37"/>
      <c r="AS35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0" s="41" cm="1">
        <f t="array" aca="1" ref="AT350" ca="1">INDEX('SAP Customer Data'!A:Z,MATCH(بيانات_العملاء[[#This Row],[رمز شريك الأعمال]],'SAP Customer Data'!B:B,0),CELL("col",Table_Customer_Data[[#Headers],[CreateDate]]))</f>
        <v>44565</v>
      </c>
      <c r="AU350" s="37"/>
      <c r="AV350" s="41"/>
      <c r="AW350" s="37" t="s">
        <v>2097</v>
      </c>
      <c r="AX350" s="37"/>
    </row>
    <row r="351" spans="1:50" x14ac:dyDescent="0.25">
      <c r="A351" s="36" t="str" cm="1">
        <f t="array" aca="1" ref="A351" ca="1">INDEX('SAP Customer Data'!$A:$AC,MATCH(بيانات_العملاء[[#This Row],[رمز شريك الأعمال]],'SAP Customer Data'!$B:$B,0),CELL("col",Table_Customer_Data[[#Headers],[GroupName]]))</f>
        <v>CS05</v>
      </c>
      <c r="B351" s="42" t="s">
        <v>145</v>
      </c>
      <c r="C351" s="37" t="str" cm="1">
        <f t="array" aca="1" ref="C351" ca="1">INDEX('SAP Customer Data'!$A:$AC,MATCH(بيانات_العملاء[[#This Row],[رمز شريك الأعمال]],'SAP Customer Data'!$B:$B,0),CELL("col",Table_Customer_Data[[#Headers],[CardName]]))</f>
        <v>مؤسسة تفاصيل الاضاءة للتجارة -نقدي</v>
      </c>
      <c r="D351" s="37" t="str">
        <f ca="1">IF(بيانات_العملاء[[#This Row],[حد الائتمان على SAP]]&gt;0,"آجل","نقدى")</f>
        <v>نقدى</v>
      </c>
      <c r="E351" s="37"/>
      <c r="F351" s="37" t="s">
        <v>1082</v>
      </c>
      <c r="G351" s="37"/>
      <c r="H35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1" s="37" t="s">
        <v>856</v>
      </c>
      <c r="J351" s="38"/>
      <c r="K351" s="37"/>
      <c r="L351" s="37" t="str">
        <f ca="1">IF(AND(بيانات_العملاء[[#This Row],[السجل التجارى]]="موجود",TODAY()+'Other Data'!$B$23&lt;J351,بيانات_العملاء[[#This Row],[مطابقة اسم العميل بالاسم بالسجل التجارى]]="مطابق"), "سارى", "يجب اعادة طلبه")</f>
        <v>يجب اعادة طلبه</v>
      </c>
      <c r="M351" s="37" t="s">
        <v>854</v>
      </c>
      <c r="N351" s="39" t="str" cm="1">
        <f t="array" aca="1" ref="N351" ca="1">INDEX('SAP Customer Data'!$A:$AC,MATCH(بيانات_العملاء[[#This Row],[رمز شريك الأعمال]],'SAP Customer Data'!$B:$B,0),CELL("col",Table_Customer_Data[[#Headers],[LicTradNum]]))</f>
        <v>310376468100003</v>
      </c>
      <c r="O35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1" s="37"/>
      <c r="Q351" s="38"/>
      <c r="R35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1" s="37" t="s">
        <v>1080</v>
      </c>
      <c r="T351" s="40"/>
      <c r="U351" s="41"/>
      <c r="V35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1" s="37" cm="1">
        <f t="array" aca="1" ref="X351" ca="1">INDEX('SAP Customer Data'!$A:$AC,MATCH(بيانات_العملاء[[#This Row],[رمز شريك الأعمال]],'SAP Customer Data'!$B:$B,0),CELL("col",Table_Customer_Data[[#Headers],[CreditLine]]))</f>
        <v>0</v>
      </c>
      <c r="Y35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1" s="37"/>
      <c r="AA35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1" s="37"/>
      <c r="AC351" s="37"/>
      <c r="AD35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1" s="37"/>
      <c r="AF351" s="37"/>
      <c r="AG35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1" s="37"/>
      <c r="AI351" s="37"/>
      <c r="AJ35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1" s="37"/>
      <c r="AL351" s="38"/>
      <c r="AM35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1" s="37"/>
      <c r="AO351" s="41"/>
      <c r="AP35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1" s="37"/>
      <c r="AR351" s="37"/>
      <c r="AS35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1" s="41" cm="1">
        <f t="array" aca="1" ref="AT351" ca="1">INDEX('SAP Customer Data'!A:Z,MATCH(بيانات_العملاء[[#This Row],[رمز شريك الأعمال]],'SAP Customer Data'!B:B,0),CELL("col",Table_Customer_Data[[#Headers],[CreateDate]]))</f>
        <v>44601</v>
      </c>
      <c r="AU351" s="37"/>
      <c r="AV351" s="41"/>
      <c r="AW351" s="37" t="s">
        <v>2097</v>
      </c>
      <c r="AX351" s="37"/>
    </row>
    <row r="352" spans="1:50" x14ac:dyDescent="0.25">
      <c r="A352" s="36" t="str" cm="1">
        <f t="array" aca="1" ref="A352" ca="1">INDEX('SAP Customer Data'!$A:$AC,MATCH(بيانات_العملاء[[#This Row],[رمز شريك الأعمال]],'SAP Customer Data'!$B:$B,0),CELL("col",Table_Customer_Data[[#Headers],[GroupName]]))</f>
        <v>CS05</v>
      </c>
      <c r="B352" s="42" t="s">
        <v>81</v>
      </c>
      <c r="C352" s="37" t="str" cm="1">
        <f t="array" aca="1" ref="C352" ca="1">INDEX('SAP Customer Data'!$A:$AC,MATCH(بيانات_العملاء[[#This Row],[رمز شريك الأعمال]],'SAP Customer Data'!$B:$B,0),CELL("col",Table_Customer_Data[[#Headers],[CardName]]))</f>
        <v>مؤسسة مشكاة الشرقية - نقدي</v>
      </c>
      <c r="D352" s="37" t="str">
        <f ca="1">IF(بيانات_العملاء[[#This Row],[حد الائتمان على SAP]]&gt;0,"آجل","نقدى")</f>
        <v>نقدى</v>
      </c>
      <c r="E352" s="37"/>
      <c r="F352" s="37" t="s">
        <v>1082</v>
      </c>
      <c r="G352" s="37"/>
      <c r="H35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2" s="37" t="s">
        <v>856</v>
      </c>
      <c r="J352" s="38"/>
      <c r="K352" s="37"/>
      <c r="L352" s="37" t="str">
        <f ca="1">IF(AND(بيانات_العملاء[[#This Row],[السجل التجارى]]="موجود",TODAY()+'Other Data'!$B$23&lt;J352,بيانات_العملاء[[#This Row],[مطابقة اسم العميل بالاسم بالسجل التجارى]]="مطابق"), "سارى", "يجب اعادة طلبه")</f>
        <v>يجب اعادة طلبه</v>
      </c>
      <c r="M352" s="37" t="s">
        <v>854</v>
      </c>
      <c r="N352" s="39" t="str" cm="1">
        <f t="array" aca="1" ref="N352" ca="1">INDEX('SAP Customer Data'!$A:$AC,MATCH(بيانات_العملاء[[#This Row],[رمز شريك الأعمال]],'SAP Customer Data'!$B:$B,0),CELL("col",Table_Customer_Data[[#Headers],[LicTradNum]]))</f>
        <v>310414467700003</v>
      </c>
      <c r="O35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2" s="37"/>
      <c r="Q352" s="38"/>
      <c r="R35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2" s="37" t="s">
        <v>1080</v>
      </c>
      <c r="T352" s="40"/>
      <c r="U352" s="41"/>
      <c r="V35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2" s="37" cm="1">
        <f t="array" aca="1" ref="X352" ca="1">INDEX('SAP Customer Data'!$A:$AC,MATCH(بيانات_العملاء[[#This Row],[رمز شريك الأعمال]],'SAP Customer Data'!$B:$B,0),CELL("col",Table_Customer_Data[[#Headers],[CreditLine]]))</f>
        <v>0</v>
      </c>
      <c r="Y35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2" s="37"/>
      <c r="AA35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2" s="37"/>
      <c r="AC352" s="37"/>
      <c r="AD35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2" s="37"/>
      <c r="AF352" s="37"/>
      <c r="AG35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2" s="37"/>
      <c r="AI352" s="37"/>
      <c r="AJ35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2" s="37"/>
      <c r="AL352" s="38"/>
      <c r="AM35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2" s="37"/>
      <c r="AO352" s="41"/>
      <c r="AP35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2" s="37"/>
      <c r="AR352" s="37"/>
      <c r="AS35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2" s="41" cm="1">
        <f t="array" aca="1" ref="AT352" ca="1">INDEX('SAP Customer Data'!A:Z,MATCH(بيانات_العملاء[[#This Row],[رمز شريك الأعمال]],'SAP Customer Data'!B:B,0),CELL("col",Table_Customer_Data[[#Headers],[CreateDate]]))</f>
        <v>44497</v>
      </c>
      <c r="AU352" s="37"/>
      <c r="AV352" s="41"/>
      <c r="AW352" s="37" t="s">
        <v>2097</v>
      </c>
      <c r="AX352" s="37"/>
    </row>
    <row r="353" spans="1:50" x14ac:dyDescent="0.25">
      <c r="A353" s="36" t="str" cm="1">
        <f t="array" aca="1" ref="A353" ca="1">INDEX('SAP Customer Data'!$A:$AC,MATCH(بيانات_العملاء[[#This Row],[رمز شريك الأعمال]],'SAP Customer Data'!$B:$B,0),CELL("col",Table_Customer_Data[[#Headers],[GroupName]]))</f>
        <v>CS05</v>
      </c>
      <c r="B353" s="42" t="s">
        <v>66</v>
      </c>
      <c r="C353" s="37" t="str" cm="1">
        <f t="array" aca="1" ref="C353" ca="1">INDEX('SAP Customer Data'!$A:$AC,MATCH(بيانات_العملاء[[#This Row],[رمز شريك الأعمال]],'SAP Customer Data'!$B:$B,0),CELL("col",Table_Customer_Data[[#Headers],[CardName]]))</f>
        <v>مؤسسة الاتجاهات الشرقية للتجارة- نقدي</v>
      </c>
      <c r="D353" s="37" t="str">
        <f ca="1">IF(بيانات_العملاء[[#This Row],[حد الائتمان على SAP]]&gt;0,"آجل","نقدى")</f>
        <v>نقدى</v>
      </c>
      <c r="E353" s="37"/>
      <c r="F353" s="37" t="s">
        <v>1082</v>
      </c>
      <c r="G353" s="37"/>
      <c r="H35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3" s="37" t="s">
        <v>856</v>
      </c>
      <c r="J353" s="38"/>
      <c r="K353" s="37"/>
      <c r="L353" s="37" t="str">
        <f ca="1">IF(AND(بيانات_العملاء[[#This Row],[السجل التجارى]]="موجود",TODAY()+'Other Data'!$B$23&lt;J353,بيانات_العملاء[[#This Row],[مطابقة اسم العميل بالاسم بالسجل التجارى]]="مطابق"), "سارى", "يجب اعادة طلبه")</f>
        <v>يجب اعادة طلبه</v>
      </c>
      <c r="M353" s="37" t="s">
        <v>854</v>
      </c>
      <c r="N353" s="39" t="str" cm="1">
        <f t="array" aca="1" ref="N353" ca="1">INDEX('SAP Customer Data'!$A:$AC,MATCH(بيانات_العملاء[[#This Row],[رمز شريك الأعمال]],'SAP Customer Data'!$B:$B,0),CELL("col",Table_Customer_Data[[#Headers],[LicTradNum]]))</f>
        <v>310414622100003</v>
      </c>
      <c r="O35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3" s="37"/>
      <c r="Q353" s="38"/>
      <c r="R35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3" s="37" t="s">
        <v>1080</v>
      </c>
      <c r="T353" s="40"/>
      <c r="U353" s="41"/>
      <c r="V35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3" s="37" cm="1">
        <f t="array" aca="1" ref="X353" ca="1">INDEX('SAP Customer Data'!$A:$AC,MATCH(بيانات_العملاء[[#This Row],[رمز شريك الأعمال]],'SAP Customer Data'!$B:$B,0),CELL("col",Table_Customer_Data[[#Headers],[CreditLine]]))</f>
        <v>0</v>
      </c>
      <c r="Y35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3" s="37"/>
      <c r="AA35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3" s="37"/>
      <c r="AC353" s="37"/>
      <c r="AD35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3" s="37"/>
      <c r="AF353" s="37"/>
      <c r="AG35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3" s="37"/>
      <c r="AI353" s="37"/>
      <c r="AJ35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3" s="37"/>
      <c r="AL353" s="38"/>
      <c r="AM35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3" s="37"/>
      <c r="AO353" s="41"/>
      <c r="AP35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3" s="37"/>
      <c r="AR353" s="37"/>
      <c r="AS35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3" s="41" cm="1">
        <f t="array" aca="1" ref="AT353" ca="1">INDEX('SAP Customer Data'!A:Z,MATCH(بيانات_العملاء[[#This Row],[رمز شريك الأعمال]],'SAP Customer Data'!B:B,0),CELL("col",Table_Customer_Data[[#Headers],[CreateDate]]))</f>
        <v>44455</v>
      </c>
      <c r="AU353" s="37"/>
      <c r="AV353" s="41"/>
      <c r="AW353" s="37" t="s">
        <v>2097</v>
      </c>
      <c r="AX353" s="37"/>
    </row>
    <row r="354" spans="1:50" x14ac:dyDescent="0.25">
      <c r="A354" s="36" t="str" cm="1">
        <f t="array" aca="1" ref="A354" ca="1">INDEX('SAP Customer Data'!$A:$AC,MATCH(بيانات_العملاء[[#This Row],[رمز شريك الأعمال]],'SAP Customer Data'!$B:$B,0),CELL("col",Table_Customer_Data[[#Headers],[GroupName]]))</f>
        <v>CS05</v>
      </c>
      <c r="B354" s="42" t="s">
        <v>116</v>
      </c>
      <c r="C354" s="37" t="str" cm="1">
        <f t="array" aca="1" ref="C354" ca="1">INDEX('SAP Customer Data'!$A:$AC,MATCH(بيانات_العملاء[[#This Row],[رمز شريك الأعمال]],'SAP Customer Data'!$B:$B,0),CELL("col",Table_Customer_Data[[#Headers],[CardName]]))</f>
        <v>مؤسسة نقطة الانارة التجارية  - نقدي</v>
      </c>
      <c r="D354" s="37" t="str">
        <f ca="1">IF(بيانات_العملاء[[#This Row],[حد الائتمان على SAP]]&gt;0,"آجل","نقدى")</f>
        <v>نقدى</v>
      </c>
      <c r="E354" s="37"/>
      <c r="F354" s="37" t="s">
        <v>1082</v>
      </c>
      <c r="G354" s="37"/>
      <c r="H35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4" s="37" t="s">
        <v>856</v>
      </c>
      <c r="J354" s="38"/>
      <c r="K354" s="37"/>
      <c r="L354" s="37" t="str">
        <f ca="1">IF(AND(بيانات_العملاء[[#This Row],[السجل التجارى]]="موجود",TODAY()+'Other Data'!$B$23&lt;J354,بيانات_العملاء[[#This Row],[مطابقة اسم العميل بالاسم بالسجل التجارى]]="مطابق"), "سارى", "يجب اعادة طلبه")</f>
        <v>يجب اعادة طلبه</v>
      </c>
      <c r="M354" s="37" t="s">
        <v>854</v>
      </c>
      <c r="N354" s="39" t="str" cm="1">
        <f t="array" aca="1" ref="N354" ca="1">INDEX('SAP Customer Data'!$A:$AC,MATCH(بيانات_العملاء[[#This Row],[رمز شريك الأعمال]],'SAP Customer Data'!$B:$B,0),CELL("col",Table_Customer_Data[[#Headers],[LicTradNum]]))</f>
        <v>310705169600003</v>
      </c>
      <c r="O35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4" s="37"/>
      <c r="Q354" s="38"/>
      <c r="R35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4" s="37" t="s">
        <v>1080</v>
      </c>
      <c r="T354" s="40"/>
      <c r="U354" s="41"/>
      <c r="V35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4" s="37" cm="1">
        <f t="array" aca="1" ref="X354" ca="1">INDEX('SAP Customer Data'!$A:$AC,MATCH(بيانات_العملاء[[#This Row],[رمز شريك الأعمال]],'SAP Customer Data'!$B:$B,0),CELL("col",Table_Customer_Data[[#Headers],[CreditLine]]))</f>
        <v>0</v>
      </c>
      <c r="Y35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4" s="37"/>
      <c r="AA35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4" s="37"/>
      <c r="AC354" s="37"/>
      <c r="AD35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4" s="37"/>
      <c r="AF354" s="37"/>
      <c r="AG35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4" s="37"/>
      <c r="AI354" s="37"/>
      <c r="AJ35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4" s="37"/>
      <c r="AL354" s="38"/>
      <c r="AM35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4" s="37"/>
      <c r="AO354" s="41"/>
      <c r="AP35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4" s="37"/>
      <c r="AR354" s="37"/>
      <c r="AS35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4" s="41" cm="1">
        <f t="array" aca="1" ref="AT354" ca="1">INDEX('SAP Customer Data'!A:Z,MATCH(بيانات_العملاء[[#This Row],[رمز شريك الأعمال]],'SAP Customer Data'!B:B,0),CELL("col",Table_Customer_Data[[#Headers],[CreateDate]]))</f>
        <v>44550</v>
      </c>
      <c r="AU354" s="37"/>
      <c r="AV354" s="41"/>
      <c r="AW354" s="37" t="s">
        <v>2097</v>
      </c>
      <c r="AX354" s="37"/>
    </row>
    <row r="355" spans="1:50" x14ac:dyDescent="0.25">
      <c r="A355" s="36" t="str" cm="1">
        <f t="array" aca="1" ref="A355" ca="1">INDEX('SAP Customer Data'!$A:$AC,MATCH(بيانات_العملاء[[#This Row],[رمز شريك الأعمال]],'SAP Customer Data'!$B:$B,0),CELL("col",Table_Customer_Data[[#Headers],[GroupName]]))</f>
        <v>CS05</v>
      </c>
      <c r="B355" s="42" t="s">
        <v>42</v>
      </c>
      <c r="C355" s="37" t="str" cm="1">
        <f t="array" aca="1" ref="C355" ca="1">INDEX('SAP Customer Data'!$A:$AC,MATCH(بيانات_العملاء[[#This Row],[رمز شريك الأعمال]],'SAP Customer Data'!$B:$B,0),CELL("col",Table_Customer_Data[[#Headers],[CardName]]))</f>
        <v>شركة الخبير العربي التجارية  - نقدي</v>
      </c>
      <c r="D355" s="37" t="str">
        <f ca="1">IF(بيانات_العملاء[[#This Row],[حد الائتمان على SAP]]&gt;0,"آجل","نقدى")</f>
        <v>نقدى</v>
      </c>
      <c r="E355" s="37"/>
      <c r="F355" s="37" t="s">
        <v>1082</v>
      </c>
      <c r="G355" s="37"/>
      <c r="H35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5" s="37" t="s">
        <v>856</v>
      </c>
      <c r="J355" s="38"/>
      <c r="K355" s="37"/>
      <c r="L355" s="37" t="str">
        <f ca="1">IF(AND(بيانات_العملاء[[#This Row],[السجل التجارى]]="موجود",TODAY()+'Other Data'!$B$23&lt;J355,بيانات_العملاء[[#This Row],[مطابقة اسم العميل بالاسم بالسجل التجارى]]="مطابق"), "سارى", "يجب اعادة طلبه")</f>
        <v>يجب اعادة طلبه</v>
      </c>
      <c r="M355" s="37" t="s">
        <v>854</v>
      </c>
      <c r="N355" s="39" t="str" cm="1">
        <f t="array" aca="1" ref="N355" ca="1">INDEX('SAP Customer Data'!$A:$AC,MATCH(بيانات_العملاء[[#This Row],[رمز شريك الأعمال]],'SAP Customer Data'!$B:$B,0),CELL("col",Table_Customer_Data[[#Headers],[LicTradNum]]))</f>
        <v>310733992500003</v>
      </c>
      <c r="O35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5" s="37"/>
      <c r="Q355" s="38"/>
      <c r="R35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5" s="37" t="s">
        <v>1080</v>
      </c>
      <c r="T355" s="40"/>
      <c r="U355" s="41"/>
      <c r="V35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5" s="37" cm="1">
        <f t="array" aca="1" ref="X355" ca="1">INDEX('SAP Customer Data'!$A:$AC,MATCH(بيانات_العملاء[[#This Row],[رمز شريك الأعمال]],'SAP Customer Data'!$B:$B,0),CELL("col",Table_Customer_Data[[#Headers],[CreditLine]]))</f>
        <v>0</v>
      </c>
      <c r="Y35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5" s="37"/>
      <c r="AA35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5" s="37"/>
      <c r="AC355" s="37"/>
      <c r="AD35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5" s="37"/>
      <c r="AF355" s="37"/>
      <c r="AG35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5" s="37"/>
      <c r="AI355" s="37"/>
      <c r="AJ35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5" s="37"/>
      <c r="AL355" s="38"/>
      <c r="AM35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5" s="37"/>
      <c r="AO355" s="41"/>
      <c r="AP35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5" s="37"/>
      <c r="AR355" s="37"/>
      <c r="AS35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5" s="41" cm="1">
        <f t="array" aca="1" ref="AT355" ca="1">INDEX('SAP Customer Data'!A:Z,MATCH(بيانات_العملاء[[#This Row],[رمز شريك الأعمال]],'SAP Customer Data'!B:B,0),CELL("col",Table_Customer_Data[[#Headers],[CreateDate]]))</f>
        <v>44313</v>
      </c>
      <c r="AU355" s="37"/>
      <c r="AV355" s="41"/>
      <c r="AW355" s="37" t="s">
        <v>2097</v>
      </c>
      <c r="AX355" s="37"/>
    </row>
    <row r="356" spans="1:50" x14ac:dyDescent="0.25">
      <c r="A356" s="36" t="str" cm="1">
        <f t="array" aca="1" ref="A356" ca="1">INDEX('SAP Customer Data'!$A:$AC,MATCH(بيانات_العملاء[[#This Row],[رمز شريك الأعمال]],'SAP Customer Data'!$B:$B,0),CELL("col",Table_Customer_Data[[#Headers],[GroupName]]))</f>
        <v>CS05</v>
      </c>
      <c r="B356" s="42" t="s">
        <v>77</v>
      </c>
      <c r="C356" s="37" t="str" cm="1">
        <f t="array" aca="1" ref="C356" ca="1">INDEX('SAP Customer Data'!$A:$AC,MATCH(بيانات_العملاء[[#This Row],[رمز شريك الأعمال]],'SAP Customer Data'!$B:$B,0),CELL("col",Table_Customer_Data[[#Headers],[CardName]]))</f>
        <v>مؤسسة رمز الاداء للتجارة- نقدي</v>
      </c>
      <c r="D356" s="37" t="str">
        <f ca="1">IF(بيانات_العملاء[[#This Row],[حد الائتمان على SAP]]&gt;0,"آجل","نقدى")</f>
        <v>نقدى</v>
      </c>
      <c r="E356" s="37"/>
      <c r="F356" s="37" t="s">
        <v>1082</v>
      </c>
      <c r="G356" s="37"/>
      <c r="H35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6" s="37" t="s">
        <v>856</v>
      </c>
      <c r="J356" s="38"/>
      <c r="K356" s="37"/>
      <c r="L356" s="37" t="str">
        <f ca="1">IF(AND(بيانات_العملاء[[#This Row],[السجل التجارى]]="موجود",TODAY()+'Other Data'!$B$23&lt;J356,بيانات_العملاء[[#This Row],[مطابقة اسم العميل بالاسم بالسجل التجارى]]="مطابق"), "سارى", "يجب اعادة طلبه")</f>
        <v>يجب اعادة طلبه</v>
      </c>
      <c r="M356" s="37" t="s">
        <v>854</v>
      </c>
      <c r="N356" s="39" t="str" cm="1">
        <f t="array" aca="1" ref="N356" ca="1">INDEX('SAP Customer Data'!$A:$AC,MATCH(بيانات_العملاء[[#This Row],[رمز شريك الأعمال]],'SAP Customer Data'!$B:$B,0),CELL("col",Table_Customer_Data[[#Headers],[LicTradNum]]))</f>
        <v>310875758500003</v>
      </c>
      <c r="O35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6" s="37"/>
      <c r="Q356" s="38"/>
      <c r="R35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6" s="37" t="s">
        <v>1080</v>
      </c>
      <c r="T356" s="40"/>
      <c r="U356" s="41"/>
      <c r="V35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6" s="37" cm="1">
        <f t="array" aca="1" ref="X356" ca="1">INDEX('SAP Customer Data'!$A:$AC,MATCH(بيانات_العملاء[[#This Row],[رمز شريك الأعمال]],'SAP Customer Data'!$B:$B,0),CELL("col",Table_Customer_Data[[#Headers],[CreditLine]]))</f>
        <v>0</v>
      </c>
      <c r="Y35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6" s="37"/>
      <c r="AA35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6" s="37"/>
      <c r="AC356" s="37"/>
      <c r="AD35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6" s="37"/>
      <c r="AF356" s="37"/>
      <c r="AG35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6" s="37"/>
      <c r="AI356" s="37"/>
      <c r="AJ35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6" s="37"/>
      <c r="AL356" s="38"/>
      <c r="AM35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6" s="37"/>
      <c r="AO356" s="41"/>
      <c r="AP35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6" s="37"/>
      <c r="AR356" s="37"/>
      <c r="AS35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6" s="41" cm="1">
        <f t="array" aca="1" ref="AT356" ca="1">INDEX('SAP Customer Data'!A:Z,MATCH(بيانات_العملاء[[#This Row],[رمز شريك الأعمال]],'SAP Customer Data'!B:B,0),CELL("col",Table_Customer_Data[[#Headers],[CreateDate]]))</f>
        <v>44481</v>
      </c>
      <c r="AU356" s="37"/>
      <c r="AV356" s="41"/>
      <c r="AW356" s="37" t="s">
        <v>2097</v>
      </c>
      <c r="AX356" s="37"/>
    </row>
    <row r="357" spans="1:50" x14ac:dyDescent="0.25">
      <c r="A357" s="36" t="str" cm="1">
        <f t="array" aca="1" ref="A357" ca="1">INDEX('SAP Customer Data'!$A:$AC,MATCH(بيانات_العملاء[[#This Row],[رمز شريك الأعمال]],'SAP Customer Data'!$B:$B,0),CELL("col",Table_Customer_Data[[#Headers],[GroupName]]))</f>
        <v>CS05</v>
      </c>
      <c r="B357" s="42" t="s">
        <v>87</v>
      </c>
      <c r="C357" s="37" t="str" cm="1">
        <f t="array" aca="1" ref="C357" ca="1">INDEX('SAP Customer Data'!$A:$AC,MATCH(بيانات_العملاء[[#This Row],[رمز شريك الأعمال]],'SAP Customer Data'!$B:$B,0),CELL("col",Table_Customer_Data[[#Headers],[CardName]]))</f>
        <v>مؤسسة روبي البداية لمواد البناء - نقدي</v>
      </c>
      <c r="D357" s="37" t="str">
        <f ca="1">IF(بيانات_العملاء[[#This Row],[حد الائتمان على SAP]]&gt;0,"آجل","نقدى")</f>
        <v>نقدى</v>
      </c>
      <c r="E357" s="37"/>
      <c r="F357" s="37" t="s">
        <v>1082</v>
      </c>
      <c r="G357" s="37"/>
      <c r="H35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7" s="37" t="s">
        <v>856</v>
      </c>
      <c r="J357" s="38"/>
      <c r="K357" s="37"/>
      <c r="L357" s="37" t="str">
        <f ca="1">IF(AND(بيانات_العملاء[[#This Row],[السجل التجارى]]="موجود",TODAY()+'Other Data'!$B$23&lt;J357,بيانات_العملاء[[#This Row],[مطابقة اسم العميل بالاسم بالسجل التجارى]]="مطابق"), "سارى", "يجب اعادة طلبه")</f>
        <v>يجب اعادة طلبه</v>
      </c>
      <c r="M357" s="37" t="s">
        <v>854</v>
      </c>
      <c r="N357" s="39" t="str" cm="1">
        <f t="array" aca="1" ref="N357" ca="1">INDEX('SAP Customer Data'!$A:$AC,MATCH(بيانات_العملاء[[#This Row],[رمز شريك الأعمال]],'SAP Customer Data'!$B:$B,0),CELL("col",Table_Customer_Data[[#Headers],[LicTradNum]]))</f>
        <v>310988333300003</v>
      </c>
      <c r="O35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7" s="37"/>
      <c r="Q357" s="38"/>
      <c r="R35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7" s="37" t="s">
        <v>1080</v>
      </c>
      <c r="T357" s="40"/>
      <c r="U357" s="41"/>
      <c r="V35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7" s="37" cm="1">
        <f t="array" aca="1" ref="X357" ca="1">INDEX('SAP Customer Data'!$A:$AC,MATCH(بيانات_العملاء[[#This Row],[رمز شريك الأعمال]],'SAP Customer Data'!$B:$B,0),CELL("col",Table_Customer_Data[[#Headers],[CreditLine]]))</f>
        <v>0</v>
      </c>
      <c r="Y35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7" s="37"/>
      <c r="AA35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7" s="37"/>
      <c r="AC357" s="37"/>
      <c r="AD35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7" s="37"/>
      <c r="AF357" s="37"/>
      <c r="AG35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7" s="37"/>
      <c r="AI357" s="37"/>
      <c r="AJ35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7" s="37"/>
      <c r="AL357" s="38"/>
      <c r="AM35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7" s="37"/>
      <c r="AO357" s="41"/>
      <c r="AP35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7" s="37"/>
      <c r="AR357" s="37"/>
      <c r="AS35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7" s="41" cm="1">
        <f t="array" aca="1" ref="AT357" ca="1">INDEX('SAP Customer Data'!A:Z,MATCH(بيانات_العملاء[[#This Row],[رمز شريك الأعمال]],'SAP Customer Data'!B:B,0),CELL("col",Table_Customer_Data[[#Headers],[CreateDate]]))</f>
        <v>44510</v>
      </c>
      <c r="AU357" s="37"/>
      <c r="AV357" s="41"/>
      <c r="AW357" s="37" t="s">
        <v>2097</v>
      </c>
      <c r="AX357" s="37"/>
    </row>
    <row r="358" spans="1:50" x14ac:dyDescent="0.25">
      <c r="A358" s="22" t="str" cm="1">
        <f t="array" aca="1" ref="A358" ca="1">INDEX('SAP Customer Data'!$A:$AC,MATCH(بيانات_العملاء[[#This Row],[رمز شريك الأعمال]],'SAP Customer Data'!$B:$B,0),CELL("col",Table_Customer_Data[[#Headers],[GroupName]]))</f>
        <v>CS06</v>
      </c>
      <c r="B358" s="23" t="s">
        <v>681</v>
      </c>
      <c r="C358" s="24" t="str" cm="1">
        <f t="array" aca="1" ref="C358" ca="1">INDEX('SAP Customer Data'!$A:$AC,MATCH(بيانات_العملاء[[#This Row],[رمز شريك الأعمال]],'SAP Customer Data'!$B:$B,0),CELL("col",Table_Customer_Data[[#Headers],[CardName]]))</f>
        <v>شركة دائرة الشرق للتجارة -جدة</v>
      </c>
      <c r="D358" s="24" t="str">
        <f ca="1">IF(بيانات_العملاء[[#This Row],[حد الائتمان على SAP]]&gt;0,"آجل","نقدى")</f>
        <v>آجل</v>
      </c>
      <c r="E358" s="24"/>
      <c r="F358" s="24" t="s">
        <v>1082</v>
      </c>
      <c r="G358" s="24" t="s">
        <v>856</v>
      </c>
      <c r="H358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8" s="24" t="s">
        <v>856</v>
      </c>
      <c r="J358" s="25"/>
      <c r="K358" s="24"/>
      <c r="L358" s="24" t="str">
        <f ca="1">IF(AND(بيانات_العملاء[[#This Row],[السجل التجارى]]="موجود",TODAY()+'Other Data'!$B$23&lt;J358,بيانات_العملاء[[#This Row],[مطابقة اسم العميل بالاسم بالسجل التجارى]]="مطابق"), "سارى", "يجب اعادة طلبه")</f>
        <v>يجب اعادة طلبه</v>
      </c>
      <c r="M358" s="24" t="s">
        <v>854</v>
      </c>
      <c r="N358" s="26" t="str" cm="1">
        <f t="array" aca="1" ref="N358" ca="1">INDEX('SAP Customer Data'!$A:$AC,MATCH(بيانات_العملاء[[#This Row],[رمز شريك الأعمال]],'SAP Customer Data'!$B:$B,0),CELL("col",Table_Customer_Data[[#Headers],[LicTradNum]]))</f>
        <v>311029809400003</v>
      </c>
      <c r="O358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58" s="15" t="s">
        <v>856</v>
      </c>
      <c r="Q358" s="25"/>
      <c r="R358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8" s="15" t="s">
        <v>856</v>
      </c>
      <c r="T358" s="27"/>
      <c r="U358" s="11"/>
      <c r="V358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8" s="24" cm="1">
        <f t="array" aca="1" ref="X358" ca="1">INDEX('SAP Customer Data'!$A:$AC,MATCH(بيانات_العملاء[[#This Row],[رمز شريك الأعمال]],'SAP Customer Data'!$B:$B,0),CELL("col",Table_Customer_Data[[#Headers],[CreditLine]]))</f>
        <v>80000</v>
      </c>
      <c r="Y35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358" s="37"/>
      <c r="AA35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58" s="15" t="s">
        <v>856</v>
      </c>
      <c r="AC358" s="24"/>
      <c r="AD358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8" s="15" t="s">
        <v>856</v>
      </c>
      <c r="AF358" s="24"/>
      <c r="AG358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8" s="15" t="s">
        <v>856</v>
      </c>
      <c r="AI358" s="24"/>
      <c r="AJ358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8" s="24"/>
      <c r="AL358" s="25"/>
      <c r="AM358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8" s="15" t="s">
        <v>856</v>
      </c>
      <c r="AO358" s="11"/>
      <c r="AP358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8" s="15" t="s">
        <v>856</v>
      </c>
      <c r="AR358" s="24"/>
      <c r="AS358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8" s="11" cm="1">
        <f t="array" aca="1" ref="AT358" ca="1">INDEX('SAP Customer Data'!A:Z,MATCH(بيانات_العملاء[[#This Row],[رمز شريك الأعمال]],'SAP Customer Data'!B:B,0),CELL("col",Table_Customer_Data[[#Headers],[CreateDate]]))</f>
        <v>44553</v>
      </c>
      <c r="AU358" s="24"/>
      <c r="AV358" s="33" t="s">
        <v>920</v>
      </c>
      <c r="AW358" s="24" t="s">
        <v>2096</v>
      </c>
      <c r="AX358" s="24"/>
    </row>
    <row r="359" spans="1:50" x14ac:dyDescent="0.25">
      <c r="A359" s="36" t="str" cm="1">
        <f t="array" aca="1" ref="A359" ca="1">INDEX('SAP Customer Data'!$A:$AC,MATCH(بيانات_العملاء[[#This Row],[رمز شريك الأعمال]],'SAP Customer Data'!$B:$B,0),CELL("col",Table_Customer_Data[[#Headers],[GroupName]]))</f>
        <v>CS06</v>
      </c>
      <c r="B359" s="42" t="s">
        <v>600</v>
      </c>
      <c r="C359" s="37" t="str" cm="1">
        <f t="array" aca="1" ref="C359" ca="1">INDEX('SAP Customer Data'!$A:$AC,MATCH(بيانات_العملاء[[#This Row],[رمز شريك الأعمال]],'SAP Customer Data'!$B:$B,0),CELL("col",Table_Customer_Data[[#Headers],[CardName]]))</f>
        <v>مؤسسة اضاءة الارياف التجارية - نقدي</v>
      </c>
      <c r="D359" s="37" t="str">
        <f ca="1">IF(بيانات_العملاء[[#This Row],[حد الائتمان على SAP]]&gt;0,"آجل","نقدى")</f>
        <v>نقدى</v>
      </c>
      <c r="E359" s="37"/>
      <c r="F359" s="37" t="s">
        <v>1082</v>
      </c>
      <c r="G359" s="37"/>
      <c r="H35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59" s="37" t="s">
        <v>856</v>
      </c>
      <c r="J359" s="38"/>
      <c r="K359" s="37"/>
      <c r="L359" s="37" t="str">
        <f ca="1">IF(AND(بيانات_العملاء[[#This Row],[السجل التجارى]]="موجود",TODAY()+'Other Data'!$B$23&lt;J359,بيانات_العملاء[[#This Row],[مطابقة اسم العميل بالاسم بالسجل التجارى]]="مطابق"), "سارى", "يجب اعادة طلبه")</f>
        <v>يجب اعادة طلبه</v>
      </c>
      <c r="M359" s="37" t="s">
        <v>856</v>
      </c>
      <c r="N359" s="39" t="str" cm="1">
        <f t="array" aca="1" ref="N359" ca="1">INDEX('SAP Customer Data'!$A:$AC,MATCH(بيانات_العملاء[[#This Row],[رمز شريك الأعمال]],'SAP Customer Data'!$B:$B,0),CELL("col",Table_Customer_Data[[#Headers],[LicTradNum]]))</f>
        <v/>
      </c>
      <c r="O35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59" s="37"/>
      <c r="Q359" s="38"/>
      <c r="R35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59" s="37" t="s">
        <v>1080</v>
      </c>
      <c r="T359" s="40"/>
      <c r="U359" s="41"/>
      <c r="V35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5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59" s="37" cm="1">
        <f t="array" aca="1" ref="X359" ca="1">INDEX('SAP Customer Data'!$A:$AC,MATCH(بيانات_العملاء[[#This Row],[رمز شريك الأعمال]],'SAP Customer Data'!$B:$B,0),CELL("col",Table_Customer_Data[[#Headers],[CreditLine]]))</f>
        <v>0</v>
      </c>
      <c r="Y35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59" s="37"/>
      <c r="AA35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59" s="37"/>
      <c r="AC359" s="37"/>
      <c r="AD35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59" s="37"/>
      <c r="AF359" s="37"/>
      <c r="AG35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59" s="37"/>
      <c r="AI359" s="37"/>
      <c r="AJ35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59" s="37"/>
      <c r="AL359" s="38"/>
      <c r="AM35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59" s="37"/>
      <c r="AO359" s="41"/>
      <c r="AP35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59" s="37"/>
      <c r="AR359" s="37"/>
      <c r="AS35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59" s="41" cm="1">
        <f t="array" aca="1" ref="AT359" ca="1">INDEX('SAP Customer Data'!A:Z,MATCH(بيانات_العملاء[[#This Row],[رمز شريك الأعمال]],'SAP Customer Data'!B:B,0),CELL("col",Table_Customer_Data[[#Headers],[CreateDate]]))</f>
        <v>44223</v>
      </c>
      <c r="AU359" s="37"/>
      <c r="AV359" s="41"/>
      <c r="AW359" s="37" t="s">
        <v>2097</v>
      </c>
      <c r="AX359" s="37"/>
    </row>
    <row r="360" spans="1:50" x14ac:dyDescent="0.25">
      <c r="A360" s="36" t="str" cm="1">
        <f t="array" aca="1" ref="A360" ca="1">INDEX('SAP Customer Data'!$A:$AC,MATCH(بيانات_العملاء[[#This Row],[رمز شريك الأعمال]],'SAP Customer Data'!$B:$B,0),CELL("col",Table_Customer_Data[[#Headers],[GroupName]]))</f>
        <v>CS06</v>
      </c>
      <c r="B360" s="35" t="s">
        <v>656</v>
      </c>
      <c r="C360" s="37" t="str" cm="1">
        <f t="array" aca="1" ref="C360" ca="1">INDEX('SAP Customer Data'!$A:$AC,MATCH(بيانات_العملاء[[#This Row],[رمز شريك الأعمال]],'SAP Customer Data'!$B:$B,0),CELL("col",Table_Customer_Data[[#Headers],[CardName]]))</f>
        <v>شركة الاطوار المتعددة للتجارة - نقدي</v>
      </c>
      <c r="D360" s="37" t="str">
        <f ca="1">IF(بيانات_العملاء[[#This Row],[حد الائتمان على SAP]]&gt;0,"آجل","نقدى")</f>
        <v>نقدى</v>
      </c>
      <c r="E360" s="37"/>
      <c r="F360" s="37" t="s">
        <v>997</v>
      </c>
      <c r="G360" s="37" t="s">
        <v>856</v>
      </c>
      <c r="H36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0" s="37" t="s">
        <v>854</v>
      </c>
      <c r="J360" s="38">
        <v>46220</v>
      </c>
      <c r="K360" s="37" t="s">
        <v>855</v>
      </c>
      <c r="L360" s="37" t="str">
        <f ca="1">IF(AND(بيانات_العملاء[[#This Row],[السجل التجارى]]="موجود",TODAY()+'Other Data'!$B$23&lt;J360,بيانات_العملاء[[#This Row],[مطابقة اسم العميل بالاسم بالسجل التجارى]]="مطابق"), "سارى", "يجب اعادة طلبه")</f>
        <v>سارى</v>
      </c>
      <c r="M360" s="37" t="s">
        <v>854</v>
      </c>
      <c r="N360" s="39" t="str" cm="1">
        <f t="array" aca="1" ref="N360" ca="1">INDEX('SAP Customer Data'!$A:$AC,MATCH(بيانات_العملاء[[#This Row],[رمز شريك الأعمال]],'SAP Customer Data'!$B:$B,0),CELL("col",Table_Customer_Data[[#Headers],[LicTradNum]]))</f>
        <v>311104087200003</v>
      </c>
      <c r="O36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0" s="37" t="s">
        <v>856</v>
      </c>
      <c r="Q360" s="38"/>
      <c r="R36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0" s="37" t="s">
        <v>1080</v>
      </c>
      <c r="T360" s="40"/>
      <c r="U360" s="41"/>
      <c r="V36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0" s="37" cm="1">
        <f t="array" aca="1" ref="X360" ca="1">INDEX('SAP Customer Data'!$A:$AC,MATCH(بيانات_العملاء[[#This Row],[رمز شريك الأعمال]],'SAP Customer Data'!$B:$B,0),CELL("col",Table_Customer_Data[[#Headers],[CreditLine]]))</f>
        <v>0</v>
      </c>
      <c r="Y36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0" s="37"/>
      <c r="AA36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0" s="37" t="s">
        <v>856</v>
      </c>
      <c r="AC360" s="37"/>
      <c r="AD36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0" s="37"/>
      <c r="AF360" s="37"/>
      <c r="AG36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0" s="37"/>
      <c r="AI360" s="37"/>
      <c r="AJ36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0" s="37"/>
      <c r="AL360" s="38"/>
      <c r="AM36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0" s="37"/>
      <c r="AO360" s="41"/>
      <c r="AP36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0" s="37"/>
      <c r="AR360" s="37"/>
      <c r="AS36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0" s="41" cm="1">
        <f t="array" aca="1" ref="AT360" ca="1">INDEX('SAP Customer Data'!A:Z,MATCH(بيانات_العملاء[[#This Row],[رمز شريك الأعمال]],'SAP Customer Data'!B:B,0),CELL("col",Table_Customer_Data[[#Headers],[CreateDate]]))</f>
        <v>44425</v>
      </c>
      <c r="AU360" s="37"/>
      <c r="AV360" s="41"/>
      <c r="AW360" s="37" t="s">
        <v>2097</v>
      </c>
      <c r="AX360" s="37"/>
    </row>
    <row r="361" spans="1:50" x14ac:dyDescent="0.25">
      <c r="A361" s="36" t="str" cm="1">
        <f t="array" aca="1" ref="A361" ca="1">INDEX('SAP Customer Data'!$A:$AC,MATCH(بيانات_العملاء[[#This Row],[رمز شريك الأعمال]],'SAP Customer Data'!$B:$B,0),CELL("col",Table_Customer_Data[[#Headers],[GroupName]]))</f>
        <v>CS06</v>
      </c>
      <c r="B361" s="42" t="s">
        <v>593</v>
      </c>
      <c r="C361" s="37" t="str" cm="1">
        <f t="array" aca="1" ref="C361" ca="1">INDEX('SAP Customer Data'!$A:$AC,MATCH(بيانات_العملاء[[#This Row],[رمز شريك الأعمال]],'SAP Customer Data'!$B:$B,0),CELL("col",Table_Customer_Data[[#Headers],[CardName]]))</f>
        <v>شركة المكتب الفني للاعمال الدولية - نقدي</v>
      </c>
      <c r="D361" s="37" t="str">
        <f ca="1">IF(بيانات_العملاء[[#This Row],[حد الائتمان على SAP]]&gt;0,"آجل","نقدى")</f>
        <v>نقدى</v>
      </c>
      <c r="E361" s="37"/>
      <c r="F361" s="37" t="s">
        <v>1082</v>
      </c>
      <c r="G361" s="37"/>
      <c r="H36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1" s="37" t="s">
        <v>856</v>
      </c>
      <c r="J361" s="38"/>
      <c r="K361" s="37"/>
      <c r="L361" s="37" t="str">
        <f ca="1">IF(AND(بيانات_العملاء[[#This Row],[السجل التجارى]]="موجود",TODAY()+'Other Data'!$B$23&lt;J361,بيانات_العملاء[[#This Row],[مطابقة اسم العميل بالاسم بالسجل التجارى]]="مطابق"), "سارى", "يجب اعادة طلبه")</f>
        <v>يجب اعادة طلبه</v>
      </c>
      <c r="M361" s="37" t="s">
        <v>854</v>
      </c>
      <c r="N361" s="39" t="str" cm="1">
        <f t="array" aca="1" ref="N361" ca="1">INDEX('SAP Customer Data'!$A:$AC,MATCH(بيانات_العملاء[[#This Row],[رمز شريك الأعمال]],'SAP Customer Data'!$B:$B,0),CELL("col",Table_Customer_Data[[#Headers],[LicTradNum]]))</f>
        <v>300123587500003</v>
      </c>
      <c r="O36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1" s="37"/>
      <c r="Q361" s="38"/>
      <c r="R36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1" s="37" t="s">
        <v>1080</v>
      </c>
      <c r="T361" s="40"/>
      <c r="U361" s="41"/>
      <c r="V36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1" s="37" cm="1">
        <f t="array" aca="1" ref="X361" ca="1">INDEX('SAP Customer Data'!$A:$AC,MATCH(بيانات_العملاء[[#This Row],[رمز شريك الأعمال]],'SAP Customer Data'!$B:$B,0),CELL("col",Table_Customer_Data[[#Headers],[CreditLine]]))</f>
        <v>0</v>
      </c>
      <c r="Y36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1" s="37"/>
      <c r="AA36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1" s="37"/>
      <c r="AC361" s="37"/>
      <c r="AD36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1" s="37"/>
      <c r="AF361" s="37"/>
      <c r="AG36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1" s="37"/>
      <c r="AI361" s="37"/>
      <c r="AJ36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1" s="37"/>
      <c r="AL361" s="38"/>
      <c r="AM36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1" s="37"/>
      <c r="AO361" s="41"/>
      <c r="AP36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1" s="37"/>
      <c r="AR361" s="37"/>
      <c r="AS36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1" s="41" cm="1">
        <f t="array" aca="1" ref="AT361" ca="1">INDEX('SAP Customer Data'!A:Z,MATCH(بيانات_العملاء[[#This Row],[رمز شريك الأعمال]],'SAP Customer Data'!B:B,0),CELL("col",Table_Customer_Data[[#Headers],[CreateDate]]))</f>
        <v>44221</v>
      </c>
      <c r="AU361" s="37"/>
      <c r="AV361" s="41"/>
      <c r="AW361" s="37" t="s">
        <v>2097</v>
      </c>
      <c r="AX361" s="37"/>
    </row>
    <row r="362" spans="1:50" x14ac:dyDescent="0.25">
      <c r="A362" s="36" t="str" cm="1">
        <f t="array" aca="1" ref="A362" ca="1">INDEX('SAP Customer Data'!$A:$AC,MATCH(بيانات_العملاء[[#This Row],[رمز شريك الأعمال]],'SAP Customer Data'!$B:$B,0),CELL("col",Table_Customer_Data[[#Headers],[GroupName]]))</f>
        <v>CS06</v>
      </c>
      <c r="B362" s="42" t="s">
        <v>615</v>
      </c>
      <c r="C362" s="37" t="str" cm="1">
        <f t="array" aca="1" ref="C362" ca="1">INDEX('SAP Customer Data'!$A:$AC,MATCH(بيانات_العملاء[[#This Row],[رمز شريك الأعمال]],'SAP Customer Data'!$B:$B,0),CELL("col",Table_Customer_Data[[#Headers],[CardName]]))</f>
        <v>مؤسسة طارق خليل التجارية - نقدي</v>
      </c>
      <c r="D362" s="37" t="str">
        <f ca="1">IF(بيانات_العملاء[[#This Row],[حد الائتمان على SAP]]&gt;0,"آجل","نقدى")</f>
        <v>نقدى</v>
      </c>
      <c r="E362" s="37"/>
      <c r="F362" s="37" t="s">
        <v>1082</v>
      </c>
      <c r="G362" s="37"/>
      <c r="H36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2" s="37" t="s">
        <v>856</v>
      </c>
      <c r="J362" s="38"/>
      <c r="K362" s="37"/>
      <c r="L362" s="37" t="str">
        <f ca="1">IF(AND(بيانات_العملاء[[#This Row],[السجل التجارى]]="موجود",TODAY()+'Other Data'!$B$23&lt;J362,بيانات_العملاء[[#This Row],[مطابقة اسم العميل بالاسم بالسجل التجارى]]="مطابق"), "سارى", "يجب اعادة طلبه")</f>
        <v>يجب اعادة طلبه</v>
      </c>
      <c r="M362" s="37" t="s">
        <v>854</v>
      </c>
      <c r="N362" s="39" t="str" cm="1">
        <f t="array" aca="1" ref="N362" ca="1">INDEX('SAP Customer Data'!$A:$AC,MATCH(بيانات_العملاء[[#This Row],[رمز شريك الأعمال]],'SAP Customer Data'!$B:$B,0),CELL("col",Table_Customer_Data[[#Headers],[LicTradNum]]))</f>
        <v>300159167100003</v>
      </c>
      <c r="O36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2" s="37"/>
      <c r="Q362" s="38"/>
      <c r="R36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2" s="37" t="s">
        <v>1080</v>
      </c>
      <c r="T362" s="40"/>
      <c r="U362" s="41"/>
      <c r="V36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2" s="37" cm="1">
        <f t="array" aca="1" ref="X362" ca="1">INDEX('SAP Customer Data'!$A:$AC,MATCH(بيانات_العملاء[[#This Row],[رمز شريك الأعمال]],'SAP Customer Data'!$B:$B,0),CELL("col",Table_Customer_Data[[#Headers],[CreditLine]]))</f>
        <v>0</v>
      </c>
      <c r="Y36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2" s="37"/>
      <c r="AA36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2" s="37"/>
      <c r="AC362" s="37"/>
      <c r="AD36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2" s="37"/>
      <c r="AF362" s="37"/>
      <c r="AG36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2" s="37"/>
      <c r="AI362" s="37"/>
      <c r="AJ36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2" s="37"/>
      <c r="AL362" s="38"/>
      <c r="AM36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2" s="37"/>
      <c r="AO362" s="41"/>
      <c r="AP36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2" s="37"/>
      <c r="AR362" s="37"/>
      <c r="AS36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2" s="41" cm="1">
        <f t="array" aca="1" ref="AT362" ca="1">INDEX('SAP Customer Data'!A:Z,MATCH(بيانات_العملاء[[#This Row],[رمز شريك الأعمال]],'SAP Customer Data'!B:B,0),CELL("col",Table_Customer_Data[[#Headers],[CreateDate]]))</f>
        <v>44229</v>
      </c>
      <c r="AU362" s="37"/>
      <c r="AV362" s="41"/>
      <c r="AW362" s="37" t="s">
        <v>2097</v>
      </c>
      <c r="AX362" s="37"/>
    </row>
    <row r="363" spans="1:50" x14ac:dyDescent="0.25">
      <c r="A363" s="36" t="str" cm="1">
        <f t="array" aca="1" ref="A363" ca="1">INDEX('SAP Customer Data'!$A:$AC,MATCH(بيانات_العملاء[[#This Row],[رمز شريك الأعمال]],'SAP Customer Data'!$B:$B,0),CELL("col",Table_Customer_Data[[#Headers],[GroupName]]))</f>
        <v>CS06</v>
      </c>
      <c r="B363" s="42" t="s">
        <v>630</v>
      </c>
      <c r="C363" s="37" t="str" cm="1">
        <f t="array" aca="1" ref="C363" ca="1">INDEX('SAP Customer Data'!$A:$AC,MATCH(بيانات_العملاء[[#This Row],[رمز شريك الأعمال]],'SAP Customer Data'!$B:$B,0),CELL("col",Table_Customer_Data[[#Headers],[CardName]]))</f>
        <v>مؤسسة انوار الياسمين التجارية- نقدي</v>
      </c>
      <c r="D363" s="37" t="str">
        <f ca="1">IF(بيانات_العملاء[[#This Row],[حد الائتمان على SAP]]&gt;0,"آجل","نقدى")</f>
        <v>نقدى</v>
      </c>
      <c r="E363" s="37"/>
      <c r="F363" s="37" t="s">
        <v>1082</v>
      </c>
      <c r="G363" s="37"/>
      <c r="H36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3" s="37" t="s">
        <v>856</v>
      </c>
      <c r="J363" s="38"/>
      <c r="K363" s="37"/>
      <c r="L363" s="37" t="str">
        <f ca="1">IF(AND(بيانات_العملاء[[#This Row],[السجل التجارى]]="موجود",TODAY()+'Other Data'!$B$23&lt;J363,بيانات_العملاء[[#This Row],[مطابقة اسم العميل بالاسم بالسجل التجارى]]="مطابق"), "سارى", "يجب اعادة طلبه")</f>
        <v>يجب اعادة طلبه</v>
      </c>
      <c r="M363" s="37" t="s">
        <v>854</v>
      </c>
      <c r="N363" s="39" t="str" cm="1">
        <f t="array" aca="1" ref="N363" ca="1">INDEX('SAP Customer Data'!$A:$AC,MATCH(بيانات_العملاء[[#This Row],[رمز شريك الأعمال]],'SAP Customer Data'!$B:$B,0),CELL("col",Table_Customer_Data[[#Headers],[LicTradNum]]))</f>
        <v>300187975300003</v>
      </c>
      <c r="O36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3" s="37"/>
      <c r="Q363" s="38"/>
      <c r="R36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3" s="37" t="s">
        <v>1080</v>
      </c>
      <c r="T363" s="40"/>
      <c r="U363" s="41"/>
      <c r="V36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3" s="37" cm="1">
        <f t="array" aca="1" ref="X363" ca="1">INDEX('SAP Customer Data'!$A:$AC,MATCH(بيانات_العملاء[[#This Row],[رمز شريك الأعمال]],'SAP Customer Data'!$B:$B,0),CELL("col",Table_Customer_Data[[#Headers],[CreditLine]]))</f>
        <v>0</v>
      </c>
      <c r="Y36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3" s="37"/>
      <c r="AA36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3" s="37"/>
      <c r="AC363" s="37"/>
      <c r="AD36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3" s="37"/>
      <c r="AF363" s="37"/>
      <c r="AG36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3" s="37"/>
      <c r="AI363" s="37"/>
      <c r="AJ36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3" s="37"/>
      <c r="AL363" s="38"/>
      <c r="AM36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3" s="37"/>
      <c r="AO363" s="41"/>
      <c r="AP36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3" s="37"/>
      <c r="AR363" s="37"/>
      <c r="AS36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3" s="41" cm="1">
        <f t="array" aca="1" ref="AT363" ca="1">INDEX('SAP Customer Data'!A:Z,MATCH(بيانات_العملاء[[#This Row],[رمز شريك الأعمال]],'SAP Customer Data'!B:B,0),CELL("col",Table_Customer_Data[[#Headers],[CreateDate]]))</f>
        <v>44377</v>
      </c>
      <c r="AU363" s="37"/>
      <c r="AV363" s="41"/>
      <c r="AW363" s="37" t="s">
        <v>2097</v>
      </c>
      <c r="AX363" s="37"/>
    </row>
    <row r="364" spans="1:50" x14ac:dyDescent="0.25">
      <c r="A364" s="36" t="str" cm="1">
        <f t="array" aca="1" ref="A364" ca="1">INDEX('SAP Customer Data'!$A:$AC,MATCH(بيانات_العملاء[[#This Row],[رمز شريك الأعمال]],'SAP Customer Data'!$B:$B,0),CELL("col",Table_Customer_Data[[#Headers],[GroupName]]))</f>
        <v>CS06</v>
      </c>
      <c r="B364" s="42" t="s">
        <v>642</v>
      </c>
      <c r="C364" s="37" t="str" cm="1">
        <f t="array" aca="1" ref="C364" ca="1">INDEX('SAP Customer Data'!$A:$AC,MATCH(بيانات_العملاء[[#This Row],[رمز شريك الأعمال]],'SAP Customer Data'!$B:$B,0),CELL("col",Table_Customer_Data[[#Headers],[CardName]]))</f>
        <v>مؤسسة المناخ للتجارة - نقدي</v>
      </c>
      <c r="D364" s="37" t="str">
        <f ca="1">IF(بيانات_العملاء[[#This Row],[حد الائتمان على SAP]]&gt;0,"آجل","نقدى")</f>
        <v>نقدى</v>
      </c>
      <c r="E364" s="37"/>
      <c r="F364" s="37" t="s">
        <v>1082</v>
      </c>
      <c r="G364" s="37"/>
      <c r="H36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4" s="37" t="s">
        <v>856</v>
      </c>
      <c r="J364" s="38"/>
      <c r="K364" s="37"/>
      <c r="L364" s="37" t="str">
        <f ca="1">IF(AND(بيانات_العملاء[[#This Row],[السجل التجارى]]="موجود",TODAY()+'Other Data'!$B$23&lt;J364,بيانات_العملاء[[#This Row],[مطابقة اسم العميل بالاسم بالسجل التجارى]]="مطابق"), "سارى", "يجب اعادة طلبه")</f>
        <v>يجب اعادة طلبه</v>
      </c>
      <c r="M364" s="37" t="s">
        <v>854</v>
      </c>
      <c r="N364" s="39" t="str" cm="1">
        <f t="array" aca="1" ref="N364" ca="1">INDEX('SAP Customer Data'!$A:$AC,MATCH(بيانات_العملاء[[#This Row],[رمز شريك الأعمال]],'SAP Customer Data'!$B:$B,0),CELL("col",Table_Customer_Data[[#Headers],[LicTradNum]]))</f>
        <v>300348461700003</v>
      </c>
      <c r="O36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4" s="37"/>
      <c r="Q364" s="38"/>
      <c r="R36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4" s="37" t="s">
        <v>1080</v>
      </c>
      <c r="T364" s="40"/>
      <c r="U364" s="41"/>
      <c r="V36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4" s="37" cm="1">
        <f t="array" aca="1" ref="X364" ca="1">INDEX('SAP Customer Data'!$A:$AC,MATCH(بيانات_العملاء[[#This Row],[رمز شريك الأعمال]],'SAP Customer Data'!$B:$B,0),CELL("col",Table_Customer_Data[[#Headers],[CreditLine]]))</f>
        <v>0</v>
      </c>
      <c r="Y36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4" s="37"/>
      <c r="AA36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4" s="37"/>
      <c r="AC364" s="37"/>
      <c r="AD36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4" s="37"/>
      <c r="AF364" s="37"/>
      <c r="AG36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4" s="37"/>
      <c r="AI364" s="37"/>
      <c r="AJ36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4" s="37"/>
      <c r="AL364" s="38"/>
      <c r="AM36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4" s="37"/>
      <c r="AO364" s="41"/>
      <c r="AP36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4" s="37"/>
      <c r="AR364" s="37"/>
      <c r="AS36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4" s="41" cm="1">
        <f t="array" aca="1" ref="AT364" ca="1">INDEX('SAP Customer Data'!A:Z,MATCH(بيانات_العملاء[[#This Row],[رمز شريك الأعمال]],'SAP Customer Data'!B:B,0),CELL("col",Table_Customer_Data[[#Headers],[CreateDate]]))</f>
        <v>44409</v>
      </c>
      <c r="AU364" s="37"/>
      <c r="AV364" s="41"/>
      <c r="AW364" s="37" t="s">
        <v>2097</v>
      </c>
      <c r="AX364" s="37"/>
    </row>
    <row r="365" spans="1:50" x14ac:dyDescent="0.25">
      <c r="A365" s="36" t="str" cm="1">
        <f t="array" aca="1" ref="A365" ca="1">INDEX('SAP Customer Data'!$A:$AC,MATCH(بيانات_العملاء[[#This Row],[رمز شريك الأعمال]],'SAP Customer Data'!$B:$B,0),CELL("col",Table_Customer_Data[[#Headers],[GroupName]]))</f>
        <v>CS06</v>
      </c>
      <c r="B365" s="42" t="s">
        <v>663</v>
      </c>
      <c r="C365" s="37" t="str" cm="1">
        <f t="array" aca="1" ref="C365" ca="1">INDEX('SAP Customer Data'!$A:$AC,MATCH(بيانات_العملاء[[#This Row],[رمز شريك الأعمال]],'SAP Customer Data'!$B:$B,0),CELL("col",Table_Customer_Data[[#Headers],[CardName]]))</f>
        <v>مؤسسة مريم سالم عمر الخنبشي التجارية  - نقدي</v>
      </c>
      <c r="D365" s="37" t="str">
        <f ca="1">IF(بيانات_العملاء[[#This Row],[حد الائتمان على SAP]]&gt;0,"آجل","نقدى")</f>
        <v>نقدى</v>
      </c>
      <c r="E365" s="37"/>
      <c r="F365" s="37" t="s">
        <v>1082</v>
      </c>
      <c r="G365" s="37"/>
      <c r="H36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5" s="37" t="s">
        <v>856</v>
      </c>
      <c r="J365" s="38"/>
      <c r="K365" s="37"/>
      <c r="L365" s="37" t="str">
        <f ca="1">IF(AND(بيانات_العملاء[[#This Row],[السجل التجارى]]="موجود",TODAY()+'Other Data'!$B$23&lt;J365,بيانات_العملاء[[#This Row],[مطابقة اسم العميل بالاسم بالسجل التجارى]]="مطابق"), "سارى", "يجب اعادة طلبه")</f>
        <v>يجب اعادة طلبه</v>
      </c>
      <c r="M365" s="37" t="s">
        <v>854</v>
      </c>
      <c r="N365" s="39" t="str" cm="1">
        <f t="array" aca="1" ref="N365" ca="1">INDEX('SAP Customer Data'!$A:$AC,MATCH(بيانات_العملاء[[#This Row],[رمز شريك الأعمال]],'SAP Customer Data'!$B:$B,0),CELL("col",Table_Customer_Data[[#Headers],[LicTradNum]]))</f>
        <v>300470635100003</v>
      </c>
      <c r="O36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5" s="37"/>
      <c r="Q365" s="38"/>
      <c r="R36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5" s="37" t="s">
        <v>1080</v>
      </c>
      <c r="T365" s="40"/>
      <c r="U365" s="41"/>
      <c r="V36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5" s="37" cm="1">
        <f t="array" aca="1" ref="X365" ca="1">INDEX('SAP Customer Data'!$A:$AC,MATCH(بيانات_العملاء[[#This Row],[رمز شريك الأعمال]],'SAP Customer Data'!$B:$B,0),CELL("col",Table_Customer_Data[[#Headers],[CreditLine]]))</f>
        <v>0</v>
      </c>
      <c r="Y36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5" s="37"/>
      <c r="AA36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5" s="37"/>
      <c r="AC365" s="37"/>
      <c r="AD36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5" s="37"/>
      <c r="AF365" s="37"/>
      <c r="AG36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5" s="37"/>
      <c r="AI365" s="37"/>
      <c r="AJ36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5" s="37"/>
      <c r="AL365" s="38"/>
      <c r="AM36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5" s="37"/>
      <c r="AO365" s="41"/>
      <c r="AP36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5" s="37"/>
      <c r="AR365" s="37"/>
      <c r="AS36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5" s="41" cm="1">
        <f t="array" aca="1" ref="AT365" ca="1">INDEX('SAP Customer Data'!A:Z,MATCH(بيانات_العملاء[[#This Row],[رمز شريك الأعمال]],'SAP Customer Data'!B:B,0),CELL("col",Table_Customer_Data[[#Headers],[CreateDate]]))</f>
        <v>44443</v>
      </c>
      <c r="AU365" s="37"/>
      <c r="AV365" s="41"/>
      <c r="AW365" s="37" t="s">
        <v>2097</v>
      </c>
      <c r="AX365" s="37"/>
    </row>
    <row r="366" spans="1:50" x14ac:dyDescent="0.25">
      <c r="A366" s="36" t="str" cm="1">
        <f t="array" aca="1" ref="A366" ca="1">INDEX('SAP Customer Data'!$A:$AC,MATCH(بيانات_العملاء[[#This Row],[رمز شريك الأعمال]],'SAP Customer Data'!$B:$B,0),CELL("col",Table_Customer_Data[[#Headers],[GroupName]]))</f>
        <v>CS06</v>
      </c>
      <c r="B366" s="42" t="s">
        <v>677</v>
      </c>
      <c r="C366" s="37" t="str" cm="1">
        <f t="array" aca="1" ref="C366" ca="1">INDEX('SAP Customer Data'!$A:$AC,MATCH(بيانات_العملاء[[#This Row],[رمز شريك الأعمال]],'SAP Customer Data'!$B:$B,0),CELL("col",Table_Customer_Data[[#Headers],[CardName]]))</f>
        <v>مؤسسة عبدالله علي سالم باجبع للادوات الكهربائية   - نقدي</v>
      </c>
      <c r="D366" s="37" t="str">
        <f ca="1">IF(بيانات_العملاء[[#This Row],[حد الائتمان على SAP]]&gt;0,"آجل","نقدى")</f>
        <v>نقدى</v>
      </c>
      <c r="E366" s="37"/>
      <c r="F366" s="37" t="s">
        <v>1082</v>
      </c>
      <c r="G366" s="37"/>
      <c r="H36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6" s="37" t="s">
        <v>856</v>
      </c>
      <c r="J366" s="38"/>
      <c r="K366" s="37"/>
      <c r="L366" s="37" t="str">
        <f ca="1">IF(AND(بيانات_العملاء[[#This Row],[السجل التجارى]]="موجود",TODAY()+'Other Data'!$B$23&lt;J366,بيانات_العملاء[[#This Row],[مطابقة اسم العميل بالاسم بالسجل التجارى]]="مطابق"), "سارى", "يجب اعادة طلبه")</f>
        <v>يجب اعادة طلبه</v>
      </c>
      <c r="M366" s="37" t="s">
        <v>854</v>
      </c>
      <c r="N366" s="39" t="str" cm="1">
        <f t="array" aca="1" ref="N366" ca="1">INDEX('SAP Customer Data'!$A:$AC,MATCH(بيانات_العملاء[[#This Row],[رمز شريك الأعمال]],'SAP Customer Data'!$B:$B,0),CELL("col",Table_Customer_Data[[#Headers],[LicTradNum]]))</f>
        <v>300484287200003</v>
      </c>
      <c r="O36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6" s="37"/>
      <c r="Q366" s="38"/>
      <c r="R36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6" s="37" t="s">
        <v>1080</v>
      </c>
      <c r="T366" s="40"/>
      <c r="U366" s="41"/>
      <c r="V36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6" s="37" cm="1">
        <f t="array" aca="1" ref="X366" ca="1">INDEX('SAP Customer Data'!$A:$AC,MATCH(بيانات_العملاء[[#This Row],[رمز شريك الأعمال]],'SAP Customer Data'!$B:$B,0),CELL("col",Table_Customer_Data[[#Headers],[CreditLine]]))</f>
        <v>0</v>
      </c>
      <c r="Y36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6" s="37"/>
      <c r="AA36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6" s="37"/>
      <c r="AC366" s="37"/>
      <c r="AD36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6" s="37"/>
      <c r="AF366" s="37"/>
      <c r="AG36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6" s="37"/>
      <c r="AI366" s="37"/>
      <c r="AJ36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6" s="37"/>
      <c r="AL366" s="38"/>
      <c r="AM36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6" s="37"/>
      <c r="AO366" s="41"/>
      <c r="AP36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6" s="37"/>
      <c r="AR366" s="37"/>
      <c r="AS36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6" s="41" cm="1">
        <f t="array" aca="1" ref="AT366" ca="1">INDEX('SAP Customer Data'!A:Z,MATCH(بيانات_العملاء[[#This Row],[رمز شريك الأعمال]],'SAP Customer Data'!B:B,0),CELL("col",Table_Customer_Data[[#Headers],[CreateDate]]))</f>
        <v>44545</v>
      </c>
      <c r="AU366" s="37"/>
      <c r="AV366" s="41"/>
      <c r="AW366" s="37" t="s">
        <v>2097</v>
      </c>
      <c r="AX366" s="37"/>
    </row>
    <row r="367" spans="1:50" x14ac:dyDescent="0.25">
      <c r="A367" s="36" t="str" cm="1">
        <f t="array" aca="1" ref="A367" ca="1">INDEX('SAP Customer Data'!$A:$AC,MATCH(بيانات_العملاء[[#This Row],[رمز شريك الأعمال]],'SAP Customer Data'!$B:$B,0),CELL("col",Table_Customer_Data[[#Headers],[GroupName]]))</f>
        <v>CS06</v>
      </c>
      <c r="B367" s="42" t="s">
        <v>598</v>
      </c>
      <c r="C367" s="37" t="str" cm="1">
        <f t="array" aca="1" ref="C367" ca="1">INDEX('SAP Customer Data'!$A:$AC,MATCH(بيانات_العملاء[[#This Row],[رمز شريك الأعمال]],'SAP Customer Data'!$B:$B,0),CELL("col",Table_Customer_Data[[#Headers],[CardName]]))</f>
        <v>مؤسسة الكورنيش المميز للتجارة - نقدي</v>
      </c>
      <c r="D367" s="37" t="str">
        <f ca="1">IF(بيانات_العملاء[[#This Row],[حد الائتمان على SAP]]&gt;0,"آجل","نقدى")</f>
        <v>نقدى</v>
      </c>
      <c r="E367" s="37"/>
      <c r="F367" s="37" t="s">
        <v>1082</v>
      </c>
      <c r="G367" s="37"/>
      <c r="H36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7" s="37" t="s">
        <v>856</v>
      </c>
      <c r="J367" s="38"/>
      <c r="K367" s="37"/>
      <c r="L367" s="37" t="str">
        <f ca="1">IF(AND(بيانات_العملاء[[#This Row],[السجل التجارى]]="موجود",TODAY()+'Other Data'!$B$23&lt;J367,بيانات_العملاء[[#This Row],[مطابقة اسم العميل بالاسم بالسجل التجارى]]="مطابق"), "سارى", "يجب اعادة طلبه")</f>
        <v>يجب اعادة طلبه</v>
      </c>
      <c r="M367" s="37" t="s">
        <v>854</v>
      </c>
      <c r="N367" s="39" t="str" cm="1">
        <f t="array" aca="1" ref="N367" ca="1">INDEX('SAP Customer Data'!$A:$AC,MATCH(بيانات_العملاء[[#This Row],[رمز شريك الأعمال]],'SAP Customer Data'!$B:$B,0),CELL("col",Table_Customer_Data[[#Headers],[LicTradNum]]))</f>
        <v>300685287600003</v>
      </c>
      <c r="O36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7" s="37"/>
      <c r="Q367" s="38"/>
      <c r="R36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7" s="37" t="s">
        <v>1080</v>
      </c>
      <c r="T367" s="40"/>
      <c r="U367" s="41"/>
      <c r="V36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7" s="37" cm="1">
        <f t="array" aca="1" ref="X367" ca="1">INDEX('SAP Customer Data'!$A:$AC,MATCH(بيانات_العملاء[[#This Row],[رمز شريك الأعمال]],'SAP Customer Data'!$B:$B,0),CELL("col",Table_Customer_Data[[#Headers],[CreditLine]]))</f>
        <v>0</v>
      </c>
      <c r="Y36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7" s="37"/>
      <c r="AA36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7" s="37"/>
      <c r="AC367" s="37"/>
      <c r="AD36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7" s="37"/>
      <c r="AF367" s="37"/>
      <c r="AG36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7" s="37"/>
      <c r="AI367" s="37"/>
      <c r="AJ36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7" s="37"/>
      <c r="AL367" s="38"/>
      <c r="AM36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7" s="37"/>
      <c r="AO367" s="41"/>
      <c r="AP36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7" s="37"/>
      <c r="AR367" s="37"/>
      <c r="AS36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7" s="41" cm="1">
        <f t="array" aca="1" ref="AT367" ca="1">INDEX('SAP Customer Data'!A:Z,MATCH(بيانات_العملاء[[#This Row],[رمز شريك الأعمال]],'SAP Customer Data'!B:B,0),CELL("col",Table_Customer_Data[[#Headers],[CreateDate]]))</f>
        <v>44223</v>
      </c>
      <c r="AU367" s="37"/>
      <c r="AV367" s="41"/>
      <c r="AW367" s="37" t="s">
        <v>2097</v>
      </c>
      <c r="AX367" s="37"/>
    </row>
    <row r="368" spans="1:50" x14ac:dyDescent="0.25">
      <c r="A368" s="36" t="str" cm="1">
        <f t="array" aca="1" ref="A368" ca="1">INDEX('SAP Customer Data'!$A:$AC,MATCH(بيانات_العملاء[[#This Row],[رمز شريك الأعمال]],'SAP Customer Data'!$B:$B,0),CELL("col",Table_Customer_Data[[#Headers],[GroupName]]))</f>
        <v>CS06</v>
      </c>
      <c r="B368" s="42" t="s">
        <v>673</v>
      </c>
      <c r="C368" s="37" t="str" cm="1">
        <f t="array" aca="1" ref="C368" ca="1">INDEX('SAP Customer Data'!$A:$AC,MATCH(بيانات_العملاء[[#This Row],[رمز شريك الأعمال]],'SAP Customer Data'!$B:$B,0),CELL("col",Table_Customer_Data[[#Headers],[CardName]]))</f>
        <v>مؤسسة المسامير المميزة الفاخرة للتجارة  - نقدي</v>
      </c>
      <c r="D368" s="37" t="str">
        <f ca="1">IF(بيانات_العملاء[[#This Row],[حد الائتمان على SAP]]&gt;0,"آجل","نقدى")</f>
        <v>نقدى</v>
      </c>
      <c r="E368" s="37"/>
      <c r="F368" s="37" t="s">
        <v>1082</v>
      </c>
      <c r="G368" s="37"/>
      <c r="H36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8" s="37" t="s">
        <v>856</v>
      </c>
      <c r="J368" s="38"/>
      <c r="K368" s="37"/>
      <c r="L368" s="37" t="str">
        <f ca="1">IF(AND(بيانات_العملاء[[#This Row],[السجل التجارى]]="موجود",TODAY()+'Other Data'!$B$23&lt;J368,بيانات_العملاء[[#This Row],[مطابقة اسم العميل بالاسم بالسجل التجارى]]="مطابق"), "سارى", "يجب اعادة طلبه")</f>
        <v>يجب اعادة طلبه</v>
      </c>
      <c r="M368" s="37" t="s">
        <v>854</v>
      </c>
      <c r="N368" s="39" t="str" cm="1">
        <f t="array" aca="1" ref="N368" ca="1">INDEX('SAP Customer Data'!$A:$AC,MATCH(بيانات_العملاء[[#This Row],[رمز شريك الأعمال]],'SAP Customer Data'!$B:$B,0),CELL("col",Table_Customer_Data[[#Headers],[LicTradNum]]))</f>
        <v>300946265700003</v>
      </c>
      <c r="O36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8" s="37"/>
      <c r="Q368" s="38"/>
      <c r="R36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8" s="37" t="s">
        <v>1080</v>
      </c>
      <c r="T368" s="40"/>
      <c r="U368" s="41"/>
      <c r="V36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8" s="37" cm="1">
        <f t="array" aca="1" ref="X368" ca="1">INDEX('SAP Customer Data'!$A:$AC,MATCH(بيانات_العملاء[[#This Row],[رمز شريك الأعمال]],'SAP Customer Data'!$B:$B,0),CELL("col",Table_Customer_Data[[#Headers],[CreditLine]]))</f>
        <v>0</v>
      </c>
      <c r="Y36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8" s="37"/>
      <c r="AA36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8" s="37"/>
      <c r="AC368" s="37"/>
      <c r="AD36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8" s="37"/>
      <c r="AF368" s="37"/>
      <c r="AG36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8" s="37"/>
      <c r="AI368" s="37"/>
      <c r="AJ36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8" s="37"/>
      <c r="AL368" s="38"/>
      <c r="AM36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8" s="37"/>
      <c r="AO368" s="41"/>
      <c r="AP36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8" s="37"/>
      <c r="AR368" s="37"/>
      <c r="AS36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8" s="41" cm="1">
        <f t="array" aca="1" ref="AT368" ca="1">INDEX('SAP Customer Data'!A:Z,MATCH(بيانات_العملاء[[#This Row],[رمز شريك الأعمال]],'SAP Customer Data'!B:B,0),CELL("col",Table_Customer_Data[[#Headers],[CreateDate]]))</f>
        <v>44514</v>
      </c>
      <c r="AU368" s="37"/>
      <c r="AV368" s="41"/>
      <c r="AW368" s="37" t="s">
        <v>2097</v>
      </c>
      <c r="AX368" s="37"/>
    </row>
    <row r="369" spans="1:50" x14ac:dyDescent="0.25">
      <c r="A369" s="36" t="str" cm="1">
        <f t="array" aca="1" ref="A369" ca="1">INDEX('SAP Customer Data'!$A:$AC,MATCH(بيانات_العملاء[[#This Row],[رمز شريك الأعمال]],'SAP Customer Data'!$B:$B,0),CELL("col",Table_Customer_Data[[#Headers],[GroupName]]))</f>
        <v>CS06</v>
      </c>
      <c r="B369" s="42" t="s">
        <v>657</v>
      </c>
      <c r="C369" s="37" t="str" cm="1">
        <f t="array" aca="1" ref="C369" ca="1">INDEX('SAP Customer Data'!$A:$AC,MATCH(بيانات_العملاء[[#This Row],[رمز شريك الأعمال]],'SAP Customer Data'!$B:$B,0),CELL("col",Table_Customer_Data[[#Headers],[CardName]]))</f>
        <v>مؤسسة إنارة النجم التجارية - نقدي</v>
      </c>
      <c r="D369" s="37" t="str">
        <f ca="1">IF(بيانات_العملاء[[#This Row],[حد الائتمان على SAP]]&gt;0,"آجل","نقدى")</f>
        <v>نقدى</v>
      </c>
      <c r="E369" s="37"/>
      <c r="F369" s="37" t="s">
        <v>1082</v>
      </c>
      <c r="G369" s="37"/>
      <c r="H36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69" s="37" t="s">
        <v>856</v>
      </c>
      <c r="J369" s="38"/>
      <c r="K369" s="37"/>
      <c r="L369" s="37" t="str">
        <f ca="1">IF(AND(بيانات_العملاء[[#This Row],[السجل التجارى]]="موجود",TODAY()+'Other Data'!$B$23&lt;J369,بيانات_العملاء[[#This Row],[مطابقة اسم العميل بالاسم بالسجل التجارى]]="مطابق"), "سارى", "يجب اعادة طلبه")</f>
        <v>يجب اعادة طلبه</v>
      </c>
      <c r="M369" s="37" t="s">
        <v>854</v>
      </c>
      <c r="N369" s="39" t="str" cm="1">
        <f t="array" aca="1" ref="N369" ca="1">INDEX('SAP Customer Data'!$A:$AC,MATCH(بيانات_العملاء[[#This Row],[رمز شريك الأعمال]],'SAP Customer Data'!$B:$B,0),CELL("col",Table_Customer_Data[[#Headers],[LicTradNum]]))</f>
        <v>301037586400003</v>
      </c>
      <c r="O36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69" s="37"/>
      <c r="Q369" s="38"/>
      <c r="R36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69" s="37" t="s">
        <v>1080</v>
      </c>
      <c r="T369" s="40"/>
      <c r="U369" s="41"/>
      <c r="V36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6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69" s="37" cm="1">
        <f t="array" aca="1" ref="X369" ca="1">INDEX('SAP Customer Data'!$A:$AC,MATCH(بيانات_العملاء[[#This Row],[رمز شريك الأعمال]],'SAP Customer Data'!$B:$B,0),CELL("col",Table_Customer_Data[[#Headers],[CreditLine]]))</f>
        <v>0</v>
      </c>
      <c r="Y36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69" s="37"/>
      <c r="AA36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69" s="37"/>
      <c r="AC369" s="37"/>
      <c r="AD36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69" s="37"/>
      <c r="AF369" s="37"/>
      <c r="AG36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69" s="37"/>
      <c r="AI369" s="37"/>
      <c r="AJ36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69" s="37"/>
      <c r="AL369" s="38"/>
      <c r="AM36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69" s="37"/>
      <c r="AO369" s="41"/>
      <c r="AP36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69" s="37"/>
      <c r="AR369" s="37"/>
      <c r="AS36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69" s="41" cm="1">
        <f t="array" aca="1" ref="AT369" ca="1">INDEX('SAP Customer Data'!A:Z,MATCH(بيانات_العملاء[[#This Row],[رمز شريك الأعمال]],'SAP Customer Data'!B:B,0),CELL("col",Table_Customer_Data[[#Headers],[CreateDate]]))</f>
        <v>44434</v>
      </c>
      <c r="AU369" s="37"/>
      <c r="AV369" s="41"/>
      <c r="AW369" s="37" t="s">
        <v>2097</v>
      </c>
      <c r="AX369" s="37"/>
    </row>
    <row r="370" spans="1:50" x14ac:dyDescent="0.25">
      <c r="A370" s="36" t="str" cm="1">
        <f t="array" aca="1" ref="A370" ca="1">INDEX('SAP Customer Data'!$A:$AC,MATCH(بيانات_العملاء[[#This Row],[رمز شريك الأعمال]],'SAP Customer Data'!$B:$B,0),CELL("col",Table_Customer_Data[[#Headers],[GroupName]]))</f>
        <v>CS06</v>
      </c>
      <c r="B370" s="42" t="s">
        <v>661</v>
      </c>
      <c r="C370" s="37" t="str" cm="1">
        <f t="array" aca="1" ref="C370" ca="1">INDEX('SAP Customer Data'!$A:$AC,MATCH(بيانات_العملاء[[#This Row],[رمز شريك الأعمال]],'SAP Customer Data'!$B:$B,0),CELL("col",Table_Customer_Data[[#Headers],[CardName]]))</f>
        <v>مؤسسة شروق الانارة للتجارة  - نقدي</v>
      </c>
      <c r="D370" s="37" t="str">
        <f ca="1">IF(بيانات_العملاء[[#This Row],[حد الائتمان على SAP]]&gt;0,"آجل","نقدى")</f>
        <v>نقدى</v>
      </c>
      <c r="E370" s="37"/>
      <c r="F370" s="37" t="s">
        <v>1082</v>
      </c>
      <c r="G370" s="37"/>
      <c r="H37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0" s="37" t="s">
        <v>856</v>
      </c>
      <c r="J370" s="38"/>
      <c r="K370" s="37"/>
      <c r="L370" s="37" t="str">
        <f ca="1">IF(AND(بيانات_العملاء[[#This Row],[السجل التجارى]]="موجود",TODAY()+'Other Data'!$B$23&lt;J370,بيانات_العملاء[[#This Row],[مطابقة اسم العميل بالاسم بالسجل التجارى]]="مطابق"), "سارى", "يجب اعادة طلبه")</f>
        <v>يجب اعادة طلبه</v>
      </c>
      <c r="M370" s="37" t="s">
        <v>854</v>
      </c>
      <c r="N370" s="39" t="str" cm="1">
        <f t="array" aca="1" ref="N370" ca="1">INDEX('SAP Customer Data'!$A:$AC,MATCH(بيانات_العملاء[[#This Row],[رمز شريك الأعمال]],'SAP Customer Data'!$B:$B,0),CELL("col",Table_Customer_Data[[#Headers],[LicTradNum]]))</f>
        <v>301245475500003</v>
      </c>
      <c r="O37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0" s="37"/>
      <c r="Q370" s="38"/>
      <c r="R37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0" s="37" t="s">
        <v>1080</v>
      </c>
      <c r="T370" s="40"/>
      <c r="U370" s="41"/>
      <c r="V37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0" s="37" cm="1">
        <f t="array" aca="1" ref="X370" ca="1">INDEX('SAP Customer Data'!$A:$AC,MATCH(بيانات_العملاء[[#This Row],[رمز شريك الأعمال]],'SAP Customer Data'!$B:$B,0),CELL("col",Table_Customer_Data[[#Headers],[CreditLine]]))</f>
        <v>0</v>
      </c>
      <c r="Y37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0" s="37"/>
      <c r="AA37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0" s="37"/>
      <c r="AC370" s="37"/>
      <c r="AD37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0" s="37"/>
      <c r="AF370" s="37"/>
      <c r="AG37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0" s="37"/>
      <c r="AI370" s="37"/>
      <c r="AJ37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0" s="37"/>
      <c r="AL370" s="38"/>
      <c r="AM37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0" s="37"/>
      <c r="AO370" s="41"/>
      <c r="AP37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0" s="37"/>
      <c r="AR370" s="37"/>
      <c r="AS37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0" s="41" cm="1">
        <f t="array" aca="1" ref="AT370" ca="1">INDEX('SAP Customer Data'!A:Z,MATCH(بيانات_العملاء[[#This Row],[رمز شريك الأعمال]],'SAP Customer Data'!B:B,0),CELL("col",Table_Customer_Data[[#Headers],[CreateDate]]))</f>
        <v>44434</v>
      </c>
      <c r="AU370" s="37"/>
      <c r="AV370" s="41"/>
      <c r="AW370" s="37" t="s">
        <v>2097</v>
      </c>
      <c r="AX370" s="37"/>
    </row>
    <row r="371" spans="1:50" x14ac:dyDescent="0.25">
      <c r="A371" s="36" t="str" cm="1">
        <f t="array" aca="1" ref="A371" ca="1">INDEX('SAP Customer Data'!$A:$AC,MATCH(بيانات_العملاء[[#This Row],[رمز شريك الأعمال]],'SAP Customer Data'!$B:$B,0),CELL("col",Table_Customer_Data[[#Headers],[GroupName]]))</f>
        <v>CS06</v>
      </c>
      <c r="B371" s="35" t="s">
        <v>707</v>
      </c>
      <c r="C371" s="37" t="str" cm="1">
        <f t="array" aca="1" ref="C371" ca="1">INDEX('SAP Customer Data'!$A:$AC,MATCH(بيانات_العملاء[[#This Row],[رمز شريك الأعمال]],'SAP Customer Data'!$B:$B,0),CELL("col",Table_Customer_Data[[#Headers],[CardName]]))</f>
        <v>مؤسسة ريسون التجارية -نقدي</v>
      </c>
      <c r="D371" s="37" t="str">
        <f ca="1">IF(بيانات_العملاء[[#This Row],[حد الائتمان على SAP]]&gt;0,"آجل","نقدى")</f>
        <v>نقدى</v>
      </c>
      <c r="E371" s="37" t="s">
        <v>2217</v>
      </c>
      <c r="F371" s="37" t="s">
        <v>1081</v>
      </c>
      <c r="G371" s="37" t="s">
        <v>856</v>
      </c>
      <c r="H37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1" s="37" t="s">
        <v>854</v>
      </c>
      <c r="J371" s="38">
        <v>45183</v>
      </c>
      <c r="K371" s="37" t="s">
        <v>855</v>
      </c>
      <c r="L371" s="37" t="str">
        <f ca="1">IF(AND(بيانات_العملاء[[#This Row],[السجل التجارى]]="موجود",TODAY()+'Other Data'!$B$23&lt;J371,بيانات_العملاء[[#This Row],[مطابقة اسم العميل بالاسم بالسجل التجارى]]="مطابق"), "سارى", "يجب اعادة طلبه")</f>
        <v>يجب اعادة طلبه</v>
      </c>
      <c r="M371" s="37" t="s">
        <v>854</v>
      </c>
      <c r="N371" s="39" t="str" cm="1">
        <f t="array" aca="1" ref="N371" ca="1">INDEX('SAP Customer Data'!$A:$AC,MATCH(بيانات_العملاء[[#This Row],[رمز شريك الأعمال]],'SAP Customer Data'!$B:$B,0),CELL("col",Table_Customer_Data[[#Headers],[LicTradNum]]))</f>
        <v>310602580700003</v>
      </c>
      <c r="O37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1" s="37" t="s">
        <v>856</v>
      </c>
      <c r="Q371" s="38"/>
      <c r="R37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1" s="37" t="s">
        <v>1080</v>
      </c>
      <c r="T371" s="40"/>
      <c r="U371" s="41"/>
      <c r="V37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1" s="37" cm="1">
        <f t="array" aca="1" ref="X371" ca="1">INDEX('SAP Customer Data'!$A:$AC,MATCH(بيانات_العملاء[[#This Row],[رمز شريك الأعمال]],'SAP Customer Data'!$B:$B,0),CELL("col",Table_Customer_Data[[#Headers],[CreditLine]]))</f>
        <v>0</v>
      </c>
      <c r="Y37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1" s="37"/>
      <c r="AA37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1" s="37"/>
      <c r="AC371" s="37"/>
      <c r="AD37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1" s="37"/>
      <c r="AF371" s="37"/>
      <c r="AG37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1" s="37"/>
      <c r="AI371" s="37"/>
      <c r="AJ37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1" s="37"/>
      <c r="AL371" s="38"/>
      <c r="AM37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1" s="37"/>
      <c r="AO371" s="41"/>
      <c r="AP37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1" s="37"/>
      <c r="AR371" s="37"/>
      <c r="AS37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1" s="41" cm="1">
        <f t="array" aca="1" ref="AT371" ca="1">INDEX('SAP Customer Data'!A:Z,MATCH(بيانات_العملاء[[#This Row],[رمز شريك الأعمال]],'SAP Customer Data'!B:B,0),CELL("col",Table_Customer_Data[[#Headers],[CreateDate]]))</f>
        <v>44661</v>
      </c>
      <c r="AU371" s="37"/>
      <c r="AV371" s="41"/>
      <c r="AW371" s="37" t="s">
        <v>2097</v>
      </c>
      <c r="AX371" s="37"/>
    </row>
    <row r="372" spans="1:50" x14ac:dyDescent="0.25">
      <c r="A372" s="36" t="str" cm="1">
        <f t="array" aca="1" ref="A372" ca="1">INDEX('SAP Customer Data'!$A:$AC,MATCH(بيانات_العملاء[[#This Row],[رمز شريك الأعمال]],'SAP Customer Data'!$B:$B,0),CELL("col",Table_Customer_Data[[#Headers],[GroupName]]))</f>
        <v>CS06</v>
      </c>
      <c r="B372" s="35" t="s">
        <v>629</v>
      </c>
      <c r="C372" s="37" t="str" cm="1">
        <f t="array" aca="1" ref="C372" ca="1">INDEX('SAP Customer Data'!$A:$AC,MATCH(بيانات_العملاء[[#This Row],[رمز شريك الأعمال]],'SAP Customer Data'!$B:$B,0),CELL("col",Table_Customer_Data[[#Headers],[CardName]]))</f>
        <v>مؤسسة بندر خالد عبدالله بن رباع للتجارة - نقدي</v>
      </c>
      <c r="D372" s="37" t="str">
        <f ca="1">IF(بيانات_العملاء[[#This Row],[حد الائتمان على SAP]]&gt;0,"آجل","نقدى")</f>
        <v>نقدى</v>
      </c>
      <c r="E372" s="37" t="s">
        <v>1065</v>
      </c>
      <c r="F372" s="37" t="s">
        <v>1081</v>
      </c>
      <c r="G372" s="37" t="s">
        <v>856</v>
      </c>
      <c r="H37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2" s="37" t="s">
        <v>854</v>
      </c>
      <c r="J372" s="38">
        <v>45615</v>
      </c>
      <c r="K372" s="37" t="s">
        <v>855</v>
      </c>
      <c r="L372" s="37" t="str">
        <f ca="1">IF(AND(بيانات_العملاء[[#This Row],[السجل التجارى]]="موجود",TODAY()+'Other Data'!$B$23&lt;J372,بيانات_العملاء[[#This Row],[مطابقة اسم العميل بالاسم بالسجل التجارى]]="مطابق"), "سارى", "يجب اعادة طلبه")</f>
        <v>سارى</v>
      </c>
      <c r="M372" s="37" t="s">
        <v>854</v>
      </c>
      <c r="N372" s="39" t="str" cm="1">
        <f t="array" aca="1" ref="N372" ca="1">INDEX('SAP Customer Data'!$A:$AC,MATCH(بيانات_العملاء[[#This Row],[رمز شريك الأعمال]],'SAP Customer Data'!$B:$B,0),CELL("col",Table_Customer_Data[[#Headers],[LicTradNum]]))</f>
        <v>300454629700003</v>
      </c>
      <c r="O37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2" s="37" t="s">
        <v>854</v>
      </c>
      <c r="Q372" s="38">
        <v>44983</v>
      </c>
      <c r="R37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2" s="37" t="s">
        <v>1080</v>
      </c>
      <c r="T372" s="40"/>
      <c r="U372" s="41"/>
      <c r="V37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2" s="37" cm="1">
        <f t="array" aca="1" ref="X372" ca="1">INDEX('SAP Customer Data'!$A:$AC,MATCH(بيانات_العملاء[[#This Row],[رمز شريك الأعمال]],'SAP Customer Data'!$B:$B,0),CELL("col",Table_Customer_Data[[#Headers],[CreditLine]]))</f>
        <v>0</v>
      </c>
      <c r="Y37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2" s="37"/>
      <c r="AA37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2" s="37" t="s">
        <v>856</v>
      </c>
      <c r="AC372" s="37"/>
      <c r="AD37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2" s="37" t="s">
        <v>856</v>
      </c>
      <c r="AF372" s="37"/>
      <c r="AG37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2" s="37" t="s">
        <v>856</v>
      </c>
      <c r="AI372" s="37"/>
      <c r="AJ37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2" s="37" t="s">
        <v>856</v>
      </c>
      <c r="AL372" s="38"/>
      <c r="AM37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2" s="37" t="s">
        <v>856</v>
      </c>
      <c r="AO372" s="41"/>
      <c r="AP37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2" s="37" t="s">
        <v>856</v>
      </c>
      <c r="AR372" s="37"/>
      <c r="AS37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2" s="41" cm="1">
        <f t="array" aca="1" ref="AT372" ca="1">INDEX('SAP Customer Data'!A:Z,MATCH(بيانات_العملاء[[#This Row],[رمز شريك الأعمال]],'SAP Customer Data'!B:B,0),CELL("col",Table_Customer_Data[[#Headers],[CreateDate]]))</f>
        <v>44359</v>
      </c>
      <c r="AU372" s="37"/>
      <c r="AV372" s="41"/>
      <c r="AW372" s="37" t="s">
        <v>2096</v>
      </c>
      <c r="AX372" s="37"/>
    </row>
    <row r="373" spans="1:50" x14ac:dyDescent="0.25">
      <c r="A373" s="22" t="str" cm="1">
        <f t="array" aca="1" ref="A373" ca="1">INDEX('SAP Customer Data'!$A:$AC,MATCH(بيانات_العملاء[[#This Row],[رمز شريك الأعمال]],'SAP Customer Data'!$B:$B,0),CELL("col",Table_Customer_Data[[#Headers],[GroupName]]))</f>
        <v>CS06</v>
      </c>
      <c r="B373" s="23" t="s">
        <v>659</v>
      </c>
      <c r="C373" s="24" t="str" cm="1">
        <f t="array" aca="1" ref="C373" ca="1">INDEX('SAP Customer Data'!$A:$AC,MATCH(بيانات_العملاء[[#This Row],[رمز شريك الأعمال]],'SAP Customer Data'!$B:$B,0),CELL("col",Table_Customer_Data[[#Headers],[CardName]]))</f>
        <v>محل ذوق الانارة للتجارة - نقدي</v>
      </c>
      <c r="D373" s="24" t="str">
        <f ca="1">IF(بيانات_العملاء[[#This Row],[حد الائتمان على SAP]]&gt;0,"آجل","نقدى")</f>
        <v>نقدى</v>
      </c>
      <c r="E373" s="24"/>
      <c r="F373" s="24" t="s">
        <v>1082</v>
      </c>
      <c r="G373" s="24" t="s">
        <v>856</v>
      </c>
      <c r="H373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3" s="24" t="s">
        <v>856</v>
      </c>
      <c r="J373" s="25"/>
      <c r="K373" s="24"/>
      <c r="L373" s="24" t="str">
        <f ca="1">IF(AND(بيانات_العملاء[[#This Row],[السجل التجارى]]="موجود",TODAY()+'Other Data'!$B$23&lt;J373,بيانات_العملاء[[#This Row],[مطابقة اسم العميل بالاسم بالسجل التجارى]]="مطابق"), "سارى", "يجب اعادة طلبه")</f>
        <v>يجب اعادة طلبه</v>
      </c>
      <c r="M373" s="24" t="s">
        <v>856</v>
      </c>
      <c r="N373" s="2" t="str" cm="1">
        <f t="array" aca="1" ref="N373" ca="1">INDEX('SAP Customer Data'!$A:$AC,MATCH(بيانات_العملاء[[#This Row],[رمز شريك الأعمال]],'SAP Customer Data'!$B:$B,0),CELL("col",Table_Customer_Data[[#Headers],[LicTradNum]]))</f>
        <v>300454629700003</v>
      </c>
      <c r="O373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373" s="24" t="s">
        <v>856</v>
      </c>
      <c r="Q373" s="25"/>
      <c r="R373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3" s="24" t="s">
        <v>1080</v>
      </c>
      <c r="T373" s="27"/>
      <c r="U373" s="11"/>
      <c r="V373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3" s="24" cm="1">
        <f t="array" aca="1" ref="X373" ca="1">INDEX('SAP Customer Data'!$A:$AC,MATCH(بيانات_العملاء[[#This Row],[رمز شريك الأعمال]],'SAP Customer Data'!$B:$B,0),CELL("col",Table_Customer_Data[[#Headers],[CreditLine]]))</f>
        <v>0</v>
      </c>
      <c r="Y37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3" s="37"/>
      <c r="AA37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3" s="24" t="s">
        <v>856</v>
      </c>
      <c r="AC373" s="24"/>
      <c r="AD373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3" s="24" t="s">
        <v>856</v>
      </c>
      <c r="AF373" s="24"/>
      <c r="AG373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3" s="24" t="s">
        <v>856</v>
      </c>
      <c r="AI373" s="24"/>
      <c r="AJ373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3" s="24" t="s">
        <v>856</v>
      </c>
      <c r="AL373" s="25"/>
      <c r="AM373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3" s="24" t="s">
        <v>856</v>
      </c>
      <c r="AO373" s="11"/>
      <c r="AP373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3" s="24" t="s">
        <v>856</v>
      </c>
      <c r="AR373" s="24"/>
      <c r="AS373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3" s="11" cm="1">
        <f t="array" aca="1" ref="AT373" ca="1">INDEX('SAP Customer Data'!A:Z,MATCH(بيانات_العملاء[[#This Row],[رمز شريك الأعمال]],'SAP Customer Data'!B:B,0),CELL("col",Table_Customer_Data[[#Headers],[CreateDate]]))</f>
        <v>44434</v>
      </c>
      <c r="AU373" s="24"/>
      <c r="AV373" s="11" t="s">
        <v>2205</v>
      </c>
      <c r="AW373" s="24" t="s">
        <v>2096</v>
      </c>
      <c r="AX373" s="24"/>
    </row>
    <row r="374" spans="1:50" x14ac:dyDescent="0.25">
      <c r="A374" s="36" t="str" cm="1">
        <f t="array" aca="1" ref="A374" ca="1">INDEX('SAP Customer Data'!$A:$AC,MATCH(بيانات_العملاء[[#This Row],[رمز شريك الأعمال]],'SAP Customer Data'!$B:$B,0),CELL("col",Table_Customer_Data[[#Headers],[GroupName]]))</f>
        <v>CS06</v>
      </c>
      <c r="B374" s="35" t="s">
        <v>705</v>
      </c>
      <c r="C374" s="37" t="str" cm="1">
        <f t="array" aca="1" ref="C374" ca="1">INDEX('SAP Customer Data'!$A:$AC,MATCH(بيانات_العملاء[[#This Row],[رمز شريك الأعمال]],'SAP Customer Data'!$B:$B,0),CELL("col",Table_Customer_Data[[#Headers],[CardName]]))</f>
        <v>شركة نخبة الشرق التجارية-نقدي</v>
      </c>
      <c r="D374" s="37" t="str">
        <f ca="1">IF(بيانات_العملاء[[#This Row],[حد الائتمان على SAP]]&gt;0,"آجل","نقدى")</f>
        <v>نقدى</v>
      </c>
      <c r="E374" s="37"/>
      <c r="F374" s="37" t="s">
        <v>996</v>
      </c>
      <c r="G374" s="37" t="s">
        <v>856</v>
      </c>
      <c r="H37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4" s="37" t="s">
        <v>856</v>
      </c>
      <c r="J374" s="38"/>
      <c r="K374" s="37"/>
      <c r="L374" s="37" t="str">
        <f ca="1">IF(AND(بيانات_العملاء[[#This Row],[السجل التجارى]]="موجود",TODAY()+'Other Data'!$B$23&lt;J374,بيانات_العملاء[[#This Row],[مطابقة اسم العميل بالاسم بالسجل التجارى]]="مطابق"), "سارى", "يجب اعادة طلبه")</f>
        <v>يجب اعادة طلبه</v>
      </c>
      <c r="M374" s="37" t="s">
        <v>854</v>
      </c>
      <c r="N374" s="39" t="str" cm="1">
        <f t="array" aca="1" ref="N374" ca="1">INDEX('SAP Customer Data'!$A:$AC,MATCH(بيانات_العملاء[[#This Row],[رمز شريك الأعمال]],'SAP Customer Data'!$B:$B,0),CELL("col",Table_Customer_Data[[#Headers],[LicTradNum]]))</f>
        <v>311197294800003</v>
      </c>
      <c r="O37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4" s="37" t="s">
        <v>856</v>
      </c>
      <c r="Q374" s="38"/>
      <c r="R37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4" s="37" t="s">
        <v>1080</v>
      </c>
      <c r="T374" s="40"/>
      <c r="U374" s="41"/>
      <c r="V37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4" s="37" cm="1">
        <f t="array" aca="1" ref="X374" ca="1">INDEX('SAP Customer Data'!$A:$AC,MATCH(بيانات_العملاء[[#This Row],[رمز شريك الأعمال]],'SAP Customer Data'!$B:$B,0),CELL("col",Table_Customer_Data[[#Headers],[CreditLine]]))</f>
        <v>0</v>
      </c>
      <c r="Y37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4" s="37"/>
      <c r="AA37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4" s="37" t="s">
        <v>856</v>
      </c>
      <c r="AC374" s="37"/>
      <c r="AD37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4" s="37" t="s">
        <v>856</v>
      </c>
      <c r="AF374" s="37"/>
      <c r="AG37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4" s="37" t="s">
        <v>856</v>
      </c>
      <c r="AI374" s="37"/>
      <c r="AJ37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4" s="37" t="s">
        <v>856</v>
      </c>
      <c r="AL374" s="38"/>
      <c r="AM37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4" s="37" t="s">
        <v>856</v>
      </c>
      <c r="AO374" s="41"/>
      <c r="AP37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4" s="37" t="s">
        <v>856</v>
      </c>
      <c r="AR374" s="37"/>
      <c r="AS37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4" s="41" cm="1">
        <f t="array" aca="1" ref="AT374" ca="1">INDEX('SAP Customer Data'!A:Z,MATCH(بيانات_العملاء[[#This Row],[رمز شريك الأعمال]],'SAP Customer Data'!B:B,0),CELL("col",Table_Customer_Data[[#Headers],[CreateDate]]))</f>
        <v>44655</v>
      </c>
      <c r="AU374" s="37"/>
      <c r="AV374" s="41"/>
      <c r="AW374" s="37" t="s">
        <v>2096</v>
      </c>
      <c r="AX374" s="37"/>
    </row>
    <row r="375" spans="1:50" x14ac:dyDescent="0.25">
      <c r="A375" s="36" t="str" cm="1">
        <f t="array" aca="1" ref="A375" ca="1">INDEX('SAP Customer Data'!$A:$AC,MATCH(بيانات_العملاء[[#This Row],[رمز شريك الأعمال]],'SAP Customer Data'!$B:$B,0),CELL("col",Table_Customer_Data[[#Headers],[GroupName]]))</f>
        <v>CS06</v>
      </c>
      <c r="B375" s="35" t="s">
        <v>718</v>
      </c>
      <c r="C375" s="37" t="str" cm="1">
        <f t="array" aca="1" ref="C375" ca="1">INDEX('SAP Customer Data'!$A:$AC,MATCH(بيانات_العملاء[[#This Row],[رمز شريك الأعمال]],'SAP Customer Data'!$B:$B,0),CELL("col",Table_Customer_Data[[#Headers],[CardName]]))</f>
        <v>شركة القمة المضيئة التجارية-نقدي</v>
      </c>
      <c r="D375" s="37" t="str">
        <f ca="1">IF(بيانات_العملاء[[#This Row],[حد الائتمان على SAP]]&gt;0,"آجل","نقدى")</f>
        <v>نقدى</v>
      </c>
      <c r="E375" s="37"/>
      <c r="F375" s="37" t="s">
        <v>996</v>
      </c>
      <c r="G375" s="37" t="s">
        <v>856</v>
      </c>
      <c r="H37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5" s="37" t="s">
        <v>854</v>
      </c>
      <c r="J375" s="38">
        <v>44990</v>
      </c>
      <c r="K375" s="37" t="s">
        <v>855</v>
      </c>
      <c r="L375" s="37" t="str">
        <f ca="1">IF(AND(بيانات_العملاء[[#This Row],[السجل التجارى]]="موجود",TODAY()+'Other Data'!$B$23&lt;J375,بيانات_العملاء[[#This Row],[مطابقة اسم العميل بالاسم بالسجل التجارى]]="مطابق"), "سارى", "يجب اعادة طلبه")</f>
        <v>يجب اعادة طلبه</v>
      </c>
      <c r="M375" s="37" t="s">
        <v>854</v>
      </c>
      <c r="N375" s="39" t="str" cm="1">
        <f t="array" aca="1" ref="N375" ca="1">INDEX('SAP Customer Data'!$A:$AC,MATCH(بيانات_العملاء[[#This Row],[رمز شريك الأعمال]],'SAP Customer Data'!$B:$B,0),CELL("col",Table_Customer_Data[[#Headers],[LicTradNum]]))</f>
        <v>311197294800003</v>
      </c>
      <c r="O37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5" s="37" t="s">
        <v>856</v>
      </c>
      <c r="Q375" s="38"/>
      <c r="R37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5" s="37" t="s">
        <v>1080</v>
      </c>
      <c r="T375" s="40"/>
      <c r="U375" s="41"/>
      <c r="V37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5" s="37" cm="1">
        <f t="array" aca="1" ref="X375" ca="1">INDEX('SAP Customer Data'!$A:$AC,MATCH(بيانات_العملاء[[#This Row],[رمز شريك الأعمال]],'SAP Customer Data'!$B:$B,0),CELL("col",Table_Customer_Data[[#Headers],[CreditLine]]))</f>
        <v>0</v>
      </c>
      <c r="Y37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5" s="37"/>
      <c r="AA37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5" s="37" t="s">
        <v>856</v>
      </c>
      <c r="AC375" s="37"/>
      <c r="AD37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5" s="37" t="s">
        <v>856</v>
      </c>
      <c r="AF375" s="37"/>
      <c r="AG37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5" s="37" t="s">
        <v>856</v>
      </c>
      <c r="AI375" s="37"/>
      <c r="AJ37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5" s="37" t="s">
        <v>856</v>
      </c>
      <c r="AL375" s="38"/>
      <c r="AM37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5" s="37" t="s">
        <v>856</v>
      </c>
      <c r="AO375" s="41"/>
      <c r="AP37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5" s="37" t="s">
        <v>856</v>
      </c>
      <c r="AR375" s="37"/>
      <c r="AS37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5" s="41" cm="1">
        <f t="array" aca="1" ref="AT375" ca="1">INDEX('SAP Customer Data'!A:Z,MATCH(بيانات_العملاء[[#This Row],[رمز شريك الأعمال]],'SAP Customer Data'!B:B,0),CELL("col",Table_Customer_Data[[#Headers],[CreateDate]]))</f>
        <v>44717</v>
      </c>
      <c r="AU375" s="37"/>
      <c r="AV375" s="41" t="s">
        <v>2206</v>
      </c>
      <c r="AW375" s="37" t="s">
        <v>2096</v>
      </c>
      <c r="AX375" s="37"/>
    </row>
    <row r="376" spans="1:50" x14ac:dyDescent="0.25">
      <c r="A376" s="36" t="str" cm="1">
        <f t="array" aca="1" ref="A376" ca="1">INDEX('SAP Customer Data'!$A:$AC,MATCH(بيانات_العملاء[[#This Row],[رمز شريك الأعمال]],'SAP Customer Data'!$B:$B,0),CELL("col",Table_Customer_Data[[#Headers],[GroupName]]))</f>
        <v>CS06</v>
      </c>
      <c r="B376" s="35" t="s">
        <v>604</v>
      </c>
      <c r="C376" s="37" t="str" cm="1">
        <f t="array" aca="1" ref="C376" ca="1">INDEX('SAP Customer Data'!$A:$AC,MATCH(بيانات_العملاء[[#This Row],[رمز شريك الأعمال]],'SAP Customer Data'!$B:$B,0),CELL("col",Table_Customer_Data[[#Headers],[CardName]]))</f>
        <v>شركة روعة الانارة للادوات الكهربائية -نقدي</v>
      </c>
      <c r="D376" s="37" t="str">
        <f ca="1">IF(بيانات_العملاء[[#This Row],[حد الائتمان على SAP]]&gt;0,"آجل","نقدى")</f>
        <v>نقدى</v>
      </c>
      <c r="E376" s="37"/>
      <c r="F376" s="37" t="s">
        <v>908</v>
      </c>
      <c r="G376" s="37" t="s">
        <v>856</v>
      </c>
      <c r="H37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6" s="37" t="s">
        <v>854</v>
      </c>
      <c r="J376" s="38">
        <v>45084</v>
      </c>
      <c r="K376" s="37" t="s">
        <v>855</v>
      </c>
      <c r="L376" s="37" t="str">
        <f ca="1">IF(AND(بيانات_العملاء[[#This Row],[السجل التجارى]]="موجود",TODAY()+'Other Data'!$B$23&lt;J376,بيانات_العملاء[[#This Row],[مطابقة اسم العميل بالاسم بالسجل التجارى]]="مطابق"), "سارى", "يجب اعادة طلبه")</f>
        <v>يجب اعادة طلبه</v>
      </c>
      <c r="M376" s="37" t="s">
        <v>854</v>
      </c>
      <c r="N376" s="39" t="str" cm="1">
        <f t="array" aca="1" ref="N376" ca="1">INDEX('SAP Customer Data'!$A:$AC,MATCH(بيانات_العملاء[[#This Row],[رمز شريك الأعمال]],'SAP Customer Data'!$B:$B,0),CELL("col",Table_Customer_Data[[#Headers],[LicTradNum]]))</f>
        <v>311320459600003</v>
      </c>
      <c r="O37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6" s="37" t="s">
        <v>856</v>
      </c>
      <c r="Q376" s="38"/>
      <c r="R37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6" s="37" t="s">
        <v>1080</v>
      </c>
      <c r="T376" s="40"/>
      <c r="U376" s="41"/>
      <c r="V37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6" s="37" cm="1">
        <f t="array" aca="1" ref="X376" ca="1">INDEX('SAP Customer Data'!$A:$AC,MATCH(بيانات_العملاء[[#This Row],[رمز شريك الأعمال]],'SAP Customer Data'!$B:$B,0),CELL("col",Table_Customer_Data[[#Headers],[CreditLine]]))</f>
        <v>0</v>
      </c>
      <c r="Y37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6" s="37"/>
      <c r="AA37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6" s="37" t="s">
        <v>856</v>
      </c>
      <c r="AC376" s="37"/>
      <c r="AD37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6" s="37" t="s">
        <v>856</v>
      </c>
      <c r="AF376" s="37"/>
      <c r="AG37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6" s="37" t="s">
        <v>856</v>
      </c>
      <c r="AI376" s="37"/>
      <c r="AJ37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6" s="37" t="s">
        <v>856</v>
      </c>
      <c r="AL376" s="38"/>
      <c r="AM37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6" s="37" t="s">
        <v>856</v>
      </c>
      <c r="AO376" s="41"/>
      <c r="AP37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6" s="37" t="s">
        <v>856</v>
      </c>
      <c r="AR376" s="37"/>
      <c r="AS37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6" s="41" cm="1">
        <f t="array" aca="1" ref="AT376" ca="1">INDEX('SAP Customer Data'!A:Z,MATCH(بيانات_العملاء[[#This Row],[رمز شريك الأعمال]],'SAP Customer Data'!B:B,0),CELL("col",Table_Customer_Data[[#Headers],[CreateDate]]))</f>
        <v>44224</v>
      </c>
      <c r="AU376" s="37"/>
      <c r="AV376" s="41"/>
      <c r="AW376" s="37" t="s">
        <v>2096</v>
      </c>
      <c r="AX376" s="37"/>
    </row>
    <row r="377" spans="1:50" x14ac:dyDescent="0.25">
      <c r="A377" s="36" t="str" cm="1">
        <f t="array" aca="1" ref="A377" ca="1">INDEX('SAP Customer Data'!$A:$AC,MATCH(بيانات_العملاء[[#This Row],[رمز شريك الأعمال]],'SAP Customer Data'!$B:$B,0),CELL("col",Table_Customer_Data[[#Headers],[GroupName]]))</f>
        <v>CS06</v>
      </c>
      <c r="B377" s="35" t="s">
        <v>627</v>
      </c>
      <c r="C377" s="37" t="str" cm="1">
        <f t="array" aca="1" ref="C377" ca="1">INDEX('SAP Customer Data'!$A:$AC,MATCH(بيانات_العملاء[[#This Row],[رمز شريك الأعمال]],'SAP Customer Data'!$B:$B,0),CELL("col",Table_Customer_Data[[#Headers],[CardName]]))</f>
        <v>شركة جوهرة جدة للانارة و الكهرباء - نقدي</v>
      </c>
      <c r="D377" s="37" t="str">
        <f ca="1">IF(بيانات_العملاء[[#This Row],[حد الائتمان على SAP]]&gt;0,"آجل","نقدى")</f>
        <v>نقدى</v>
      </c>
      <c r="E377" s="37"/>
      <c r="F377" s="37" t="s">
        <v>908</v>
      </c>
      <c r="G377" s="37" t="s">
        <v>856</v>
      </c>
      <c r="H37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7" s="37" t="s">
        <v>854</v>
      </c>
      <c r="J377" s="38">
        <v>45070</v>
      </c>
      <c r="K377" s="37" t="s">
        <v>855</v>
      </c>
      <c r="L377" s="37" t="str">
        <f ca="1">IF(AND(بيانات_العملاء[[#This Row],[السجل التجارى]]="موجود",TODAY()+'Other Data'!$B$23&lt;J377,بيانات_العملاء[[#This Row],[مطابقة اسم العميل بالاسم بالسجل التجارى]]="مطابق"), "سارى", "يجب اعادة طلبه")</f>
        <v>يجب اعادة طلبه</v>
      </c>
      <c r="M377" s="37" t="s">
        <v>854</v>
      </c>
      <c r="N377" s="39" t="str" cm="1">
        <f t="array" aca="1" ref="N377" ca="1">INDEX('SAP Customer Data'!$A:$AC,MATCH(بيانات_العملاء[[#This Row],[رمز شريك الأعمال]],'SAP Customer Data'!$B:$B,0),CELL("col",Table_Customer_Data[[#Headers],[LicTradNum]]))</f>
        <v>311320459600003</v>
      </c>
      <c r="O37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7" s="37" t="s">
        <v>856</v>
      </c>
      <c r="Q377" s="38"/>
      <c r="R37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7" s="37" t="s">
        <v>1080</v>
      </c>
      <c r="T377" s="40"/>
      <c r="U377" s="41"/>
      <c r="V37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7" s="37" cm="1">
        <f t="array" aca="1" ref="X377" ca="1">INDEX('SAP Customer Data'!$A:$AC,MATCH(بيانات_العملاء[[#This Row],[رمز شريك الأعمال]],'SAP Customer Data'!$B:$B,0),CELL("col",Table_Customer_Data[[#Headers],[CreditLine]]))</f>
        <v>0</v>
      </c>
      <c r="Y37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7" s="37"/>
      <c r="AA37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7" s="37" t="s">
        <v>856</v>
      </c>
      <c r="AC377" s="37"/>
      <c r="AD37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7" s="37" t="s">
        <v>856</v>
      </c>
      <c r="AF377" s="37"/>
      <c r="AG37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7" s="37" t="s">
        <v>856</v>
      </c>
      <c r="AI377" s="37"/>
      <c r="AJ37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7" s="37" t="s">
        <v>856</v>
      </c>
      <c r="AL377" s="38"/>
      <c r="AM37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7" s="37" t="s">
        <v>856</v>
      </c>
      <c r="AO377" s="41"/>
      <c r="AP37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7" s="37" t="s">
        <v>856</v>
      </c>
      <c r="AR377" s="37"/>
      <c r="AS37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7" s="41" cm="1">
        <f t="array" aca="1" ref="AT377" ca="1">INDEX('SAP Customer Data'!A:Z,MATCH(بيانات_العملاء[[#This Row],[رمز شريك الأعمال]],'SAP Customer Data'!B:B,0),CELL("col",Table_Customer_Data[[#Headers],[CreateDate]]))</f>
        <v>44349</v>
      </c>
      <c r="AU377" s="37"/>
      <c r="AV377" s="41"/>
      <c r="AW377" s="37" t="s">
        <v>2096</v>
      </c>
      <c r="AX377" s="37"/>
    </row>
    <row r="378" spans="1:50" s="71" customFormat="1" x14ac:dyDescent="0.25">
      <c r="A378" s="36" t="str" cm="1">
        <f t="array" aca="1" ref="A378" ca="1">INDEX('SAP Customer Data'!$A:$AC,MATCH(بيانات_العملاء[[#This Row],[رمز شريك الأعمال]],'SAP Customer Data'!$B:$B,0),CELL("col",Table_Customer_Data[[#Headers],[GroupName]]))</f>
        <v>CS06</v>
      </c>
      <c r="B378" s="35" t="s">
        <v>665</v>
      </c>
      <c r="C378" s="37" t="str" cm="1">
        <f t="array" aca="1" ref="C378" ca="1">INDEX('SAP Customer Data'!$A:$AC,MATCH(بيانات_العملاء[[#This Row],[رمز شريك الأعمال]],'SAP Customer Data'!$B:$B,0),CELL("col",Table_Customer_Data[[#Headers],[CardName]]))</f>
        <v>فرع مؤسسة علي احمد عبدالله يحي (الانارة الذهبية)  - نقدي</v>
      </c>
      <c r="D378" s="37" t="str">
        <f ca="1">IF(بيانات_العملاء[[#This Row],[حد الائتمان على SAP]]&gt;0,"آجل","نقدى")</f>
        <v>نقدى</v>
      </c>
      <c r="E378" s="37" t="s">
        <v>1597</v>
      </c>
      <c r="F378" s="37" t="s">
        <v>1081</v>
      </c>
      <c r="G378" s="37" t="s">
        <v>856</v>
      </c>
      <c r="H37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8" s="37" t="s">
        <v>854</v>
      </c>
      <c r="J378" s="38">
        <v>45084</v>
      </c>
      <c r="K378" s="37" t="s">
        <v>859</v>
      </c>
      <c r="L378" s="37" t="str">
        <f ca="1">IF(AND(بيانات_العملاء[[#This Row],[السجل التجارى]]="موجود",TODAY()+'Other Data'!$B$23&lt;J378,بيانات_العملاء[[#This Row],[مطابقة اسم العميل بالاسم بالسجل التجارى]]="مطابق"), "سارى", "يجب اعادة طلبه")</f>
        <v>يجب اعادة طلبه</v>
      </c>
      <c r="M378" s="37" t="s">
        <v>854</v>
      </c>
      <c r="N378" s="39" t="str" cm="1">
        <f t="array" aca="1" ref="N378" ca="1">INDEX('SAP Customer Data'!$A:$AC,MATCH(بيانات_العملاء[[#This Row],[رمز شريك الأعمال]],'SAP Customer Data'!$B:$B,0),CELL("col",Table_Customer_Data[[#Headers],[LicTradNum]]))</f>
        <v>311320459600003</v>
      </c>
      <c r="O37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8" s="37" t="s">
        <v>854</v>
      </c>
      <c r="Q378" s="38">
        <v>45199</v>
      </c>
      <c r="R37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8" s="37" t="s">
        <v>1080</v>
      </c>
      <c r="T378" s="40"/>
      <c r="U378" s="41"/>
      <c r="V37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8" s="37" cm="1">
        <f t="array" aca="1" ref="X378" ca="1">INDEX('SAP Customer Data'!$A:$AC,MATCH(بيانات_العملاء[[#This Row],[رمز شريك الأعمال]],'SAP Customer Data'!$B:$B,0),CELL("col",Table_Customer_Data[[#Headers],[CreditLine]]))</f>
        <v>0</v>
      </c>
      <c r="Y37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8" s="37"/>
      <c r="AA37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8" s="37" t="s">
        <v>854</v>
      </c>
      <c r="AC378" s="41">
        <v>49821</v>
      </c>
      <c r="AD37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378" s="37" t="s">
        <v>856</v>
      </c>
      <c r="AF378" s="37"/>
      <c r="AG37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8" s="37" t="s">
        <v>856</v>
      </c>
      <c r="AI378" s="37"/>
      <c r="AJ37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8" s="37" t="s">
        <v>856</v>
      </c>
      <c r="AL378" s="38"/>
      <c r="AM37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8" s="37" t="s">
        <v>856</v>
      </c>
      <c r="AO378" s="41"/>
      <c r="AP37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8" s="37" t="s">
        <v>856</v>
      </c>
      <c r="AR378" s="37"/>
      <c r="AS37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8" s="41" cm="1">
        <f t="array" aca="1" ref="AT378" ca="1">INDEX('SAP Customer Data'!A:Z,MATCH(بيانات_العملاء[[#This Row],[رمز شريك الأعمال]],'SAP Customer Data'!B:B,0),CELL("col",Table_Customer_Data[[#Headers],[CreateDate]]))</f>
        <v>44450</v>
      </c>
      <c r="AU378" s="37"/>
      <c r="AV378" s="41"/>
      <c r="AW378" s="37" t="s">
        <v>2096</v>
      </c>
      <c r="AX378" s="37"/>
    </row>
    <row r="379" spans="1:50" x14ac:dyDescent="0.25">
      <c r="A379" s="36" t="str" cm="1">
        <f t="array" aca="1" ref="A379" ca="1">INDEX('SAP Customer Data'!$A:$AC,MATCH(بيانات_العملاء[[#This Row],[رمز شريك الأعمال]],'SAP Customer Data'!$B:$B,0),CELL("col",Table_Customer_Data[[#Headers],[GroupName]]))</f>
        <v>CS06</v>
      </c>
      <c r="B379" s="35" t="s">
        <v>736</v>
      </c>
      <c r="C379" s="37" t="str" cm="1">
        <f t="array" aca="1" ref="C379" ca="1">INDEX('SAP Customer Data'!$A:$AC,MATCH(بيانات_العملاء[[#This Row],[رمز شريك الأعمال]],'SAP Customer Data'!$B:$B,0),CELL("col",Table_Customer_Data[[#Headers],[CardName]]))</f>
        <v>شركة رواد الاضاءة الحديثة للكهرباء -نقدي</v>
      </c>
      <c r="D379" s="37" t="str">
        <f ca="1">IF(بيانات_العملاء[[#This Row],[حد الائتمان على SAP]]&gt;0,"آجل","نقدى")</f>
        <v>نقدى</v>
      </c>
      <c r="E379" s="37"/>
      <c r="F379" s="37"/>
      <c r="G379" s="37" t="s">
        <v>918</v>
      </c>
      <c r="H37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79" s="37" t="s">
        <v>856</v>
      </c>
      <c r="J379" s="38"/>
      <c r="K379" s="37"/>
      <c r="L379" s="37" t="str">
        <f ca="1">IF(AND(بيانات_العملاء[[#This Row],[السجل التجارى]]="موجود",TODAY()+'Other Data'!$B$23&lt;J379,بيانات_العملاء[[#This Row],[مطابقة اسم العميل بالاسم بالسجل التجارى]]="مطابق"), "سارى", "يجب اعادة طلبه")</f>
        <v>يجب اعادة طلبه</v>
      </c>
      <c r="M379" s="37" t="s">
        <v>854</v>
      </c>
      <c r="N379" s="39" t="str" cm="1">
        <f t="array" aca="1" ref="N379" ca="1">INDEX('SAP Customer Data'!$A:$AC,MATCH(بيانات_العملاء[[#This Row],[رمز شريك الأعمال]],'SAP Customer Data'!$B:$B,0),CELL("col",Table_Customer_Data[[#Headers],[LicTradNum]]))</f>
        <v>311320459600003</v>
      </c>
      <c r="O37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79" s="37" t="s">
        <v>856</v>
      </c>
      <c r="Q379" s="38"/>
      <c r="R37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79" s="37" t="s">
        <v>1080</v>
      </c>
      <c r="T379" s="40"/>
      <c r="U379" s="41"/>
      <c r="V37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7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79" s="37" cm="1">
        <f t="array" aca="1" ref="X379" ca="1">INDEX('SAP Customer Data'!$A:$AC,MATCH(بيانات_العملاء[[#This Row],[رمز شريك الأعمال]],'SAP Customer Data'!$B:$B,0),CELL("col",Table_Customer_Data[[#Headers],[CreditLine]]))</f>
        <v>0</v>
      </c>
      <c r="Y37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79" s="37"/>
      <c r="AA37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79" s="37" t="s">
        <v>856</v>
      </c>
      <c r="AC379" s="37"/>
      <c r="AD37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79" s="37" t="s">
        <v>856</v>
      </c>
      <c r="AF379" s="37"/>
      <c r="AG37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79" s="37" t="s">
        <v>856</v>
      </c>
      <c r="AI379" s="37"/>
      <c r="AJ37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79" s="37"/>
      <c r="AL379" s="38"/>
      <c r="AM37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79" s="37" t="s">
        <v>856</v>
      </c>
      <c r="AO379" s="41"/>
      <c r="AP37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79" s="37" t="s">
        <v>856</v>
      </c>
      <c r="AR379" s="37"/>
      <c r="AS37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79" s="41" cm="1">
        <f t="array" aca="1" ref="AT379" ca="1">INDEX('SAP Customer Data'!A:Z,MATCH(بيانات_العملاء[[#This Row],[رمز شريك الأعمال]],'SAP Customer Data'!B:B,0),CELL("col",Table_Customer_Data[[#Headers],[CreateDate]]))</f>
        <v>44931</v>
      </c>
      <c r="AU379" s="37"/>
      <c r="AV379" s="41"/>
      <c r="AW379" s="37" t="s">
        <v>2096</v>
      </c>
      <c r="AX379" s="37"/>
    </row>
    <row r="380" spans="1:50" x14ac:dyDescent="0.25">
      <c r="A380" s="57" t="str" cm="1">
        <f t="array" aca="1" ref="A380" ca="1">INDEX('SAP Customer Data'!$A:$AC,MATCH(بيانات_العملاء[[#This Row],[رمز شريك الأعمال]],'SAP Customer Data'!$B:$B,0),CELL("col",Table_Customer_Data[[#Headers],[GroupName]]))</f>
        <v>CS06</v>
      </c>
      <c r="B380" s="58" t="s">
        <v>602</v>
      </c>
      <c r="C380" s="59" t="str" cm="1">
        <f t="array" aca="1" ref="C380" ca="1">INDEX('SAP Customer Data'!$A:$AC,MATCH(بيانات_العملاء[[#This Row],[رمز شريك الأعمال]],'SAP Customer Data'!$B:$B,0),CELL("col",Table_Customer_Data[[#Headers],[CardName]]))</f>
        <v>فرع مؤسسة علي احمد غروي التجارية</v>
      </c>
      <c r="D380" s="59" t="str">
        <f ca="1">IF(بيانات_العملاء[[#This Row],[حد الائتمان على SAP]]&gt;0,"آجل","نقدى")</f>
        <v>آجل</v>
      </c>
      <c r="E380" s="59" t="s">
        <v>1105</v>
      </c>
      <c r="F380" s="59" t="s">
        <v>1081</v>
      </c>
      <c r="G380" s="59" t="s">
        <v>918</v>
      </c>
      <c r="H380" s="59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0" s="59" t="s">
        <v>854</v>
      </c>
      <c r="J380" s="60">
        <v>44363</v>
      </c>
      <c r="K380" s="59" t="s">
        <v>855</v>
      </c>
      <c r="L380" s="59" t="str">
        <f ca="1">IF(AND(بيانات_العملاء[[#This Row],[السجل التجارى]]="موجود",TODAY()+'Other Data'!$B$23&lt;J380,بيانات_العملاء[[#This Row],[مطابقة اسم العميل بالاسم بالسجل التجارى]]="مطابق"), "سارى", "يجب اعادة طلبه")</f>
        <v>يجب اعادة طلبه</v>
      </c>
      <c r="M380" s="59" t="s">
        <v>854</v>
      </c>
      <c r="N380" s="61" t="str" cm="1">
        <f t="array" aca="1" ref="N380" ca="1">INDEX('SAP Customer Data'!$A:$AC,MATCH(بيانات_العملاء[[#This Row],[رمز شريك الأعمال]],'SAP Customer Data'!$B:$B,0),CELL("col",Table_Customer_Data[[#Headers],[LicTradNum]]))</f>
        <v>300091372200003</v>
      </c>
      <c r="O380" s="59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0" s="59" t="s">
        <v>856</v>
      </c>
      <c r="Q380" s="60"/>
      <c r="R380" s="59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0" s="59" t="s">
        <v>854</v>
      </c>
      <c r="T380" s="62">
        <v>40000</v>
      </c>
      <c r="U380" s="63"/>
      <c r="V380" s="59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32000</v>
      </c>
      <c r="X380" s="59" cm="1">
        <f t="array" aca="1" ref="X380" ca="1">INDEX('SAP Customer Data'!$A:$AC,MATCH(بيانات_العملاء[[#This Row],[رمز شريك الأعمال]],'SAP Customer Data'!$B:$B,0),CELL("col",Table_Customer_Data[[#Headers],[CreditLine]]))</f>
        <v>32000</v>
      </c>
      <c r="Y38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0" s="59" t="s">
        <v>855</v>
      </c>
      <c r="AA38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80" s="59" t="s">
        <v>854</v>
      </c>
      <c r="AC380" s="59">
        <v>45731</v>
      </c>
      <c r="AD380" s="59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380" s="59" t="s">
        <v>856</v>
      </c>
      <c r="AF380" s="59"/>
      <c r="AG380" s="59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0" s="59" t="s">
        <v>856</v>
      </c>
      <c r="AI380" s="59"/>
      <c r="AJ380" s="59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0" s="59" t="s">
        <v>856</v>
      </c>
      <c r="AL380" s="60"/>
      <c r="AM380" s="59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0" s="59" t="s">
        <v>856</v>
      </c>
      <c r="AO380" s="63"/>
      <c r="AP380" s="59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0" s="59" t="s">
        <v>856</v>
      </c>
      <c r="AR380" s="59"/>
      <c r="AS380" s="59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0" s="63" cm="1">
        <f t="array" aca="1" ref="AT380" ca="1">INDEX('SAP Customer Data'!A:Z,MATCH(بيانات_العملاء[[#This Row],[رمز شريك الأعمال]],'SAP Customer Data'!B:B,0),CELL("col",Table_Customer_Data[[#Headers],[CreateDate]]))</f>
        <v>44223</v>
      </c>
      <c r="AU380" s="59"/>
      <c r="AV380" s="63" t="s">
        <v>2272</v>
      </c>
      <c r="AW380" s="59" t="s">
        <v>2097</v>
      </c>
      <c r="AX380" s="59"/>
    </row>
    <row r="381" spans="1:50" x14ac:dyDescent="0.25">
      <c r="A381" s="36" t="str" cm="1">
        <f t="array" aca="1" ref="A381" ca="1">INDEX('SAP Customer Data'!$A:$AC,MATCH(بيانات_العملاء[[#This Row],[رمز شريك الأعمال]],'SAP Customer Data'!$B:$B,0),CELL("col",Table_Customer_Data[[#Headers],[GroupName]]))</f>
        <v>CS06</v>
      </c>
      <c r="B381" s="35" t="s">
        <v>646</v>
      </c>
      <c r="C381" s="37" t="str" cm="1">
        <f t="array" aca="1" ref="C381" ca="1">INDEX('SAP Customer Data'!$A:$AC,MATCH(بيانات_العملاء[[#This Row],[رمز شريك الأعمال]],'SAP Customer Data'!$B:$B,0),CELL("col",Table_Customer_Data[[#Headers],[CardName]]))</f>
        <v>شركة المهندسون العرب الدولية للخدمات الصناعة والكهربائية</v>
      </c>
      <c r="D381" s="37" t="str">
        <f ca="1">IF(بيانات_العملاء[[#This Row],[حد الائتمان على SAP]]&gt;0,"آجل","نقدى")</f>
        <v>آجل</v>
      </c>
      <c r="E381" s="37"/>
      <c r="F381" s="37" t="s">
        <v>997</v>
      </c>
      <c r="G381" s="37" t="s">
        <v>918</v>
      </c>
      <c r="H38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1" s="37" t="s">
        <v>854</v>
      </c>
      <c r="J381" s="38">
        <v>44888</v>
      </c>
      <c r="K381" s="37" t="s">
        <v>855</v>
      </c>
      <c r="L381" s="37" t="str">
        <f ca="1">IF(AND(بيانات_العملاء[[#This Row],[السجل التجارى]]="موجود",TODAY()+'Other Data'!$B$23&lt;J381,بيانات_العملاء[[#This Row],[مطابقة اسم العميل بالاسم بالسجل التجارى]]="مطابق"), "سارى", "يجب اعادة طلبه")</f>
        <v>يجب اعادة طلبه</v>
      </c>
      <c r="M381" s="37" t="s">
        <v>854</v>
      </c>
      <c r="N381" s="39" t="str" cm="1">
        <f t="array" aca="1" ref="N381" ca="1">INDEX('SAP Customer Data'!$A:$AC,MATCH(بيانات_العملاء[[#This Row],[رمز شريك الأعمال]],'SAP Customer Data'!$B:$B,0),CELL("col",Table_Customer_Data[[#Headers],[LicTradNum]]))</f>
        <v>300241761700003</v>
      </c>
      <c r="O38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1" s="37" t="s">
        <v>856</v>
      </c>
      <c r="Q381" s="38"/>
      <c r="R38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1" s="37" t="s">
        <v>854</v>
      </c>
      <c r="T381" s="40">
        <v>100000</v>
      </c>
      <c r="U381" s="41">
        <v>44404</v>
      </c>
      <c r="V381" s="41">
        <f>IF(بيانات_العملاء[[#This Row],[تاريخ انشاء سند الامر او الاستثناء]]="",0,بيانات_العملاء[[#This Row],[تاريخ انشاء سند الامر او الاستثناء]]+365*3)</f>
        <v>45499</v>
      </c>
      <c r="W38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381" s="37" cm="1">
        <f t="array" aca="1" ref="X381" ca="1">INDEX('SAP Customer Data'!$A:$AC,MATCH(بيانات_العملاء[[#This Row],[رمز شريك الأعمال]],'SAP Customer Data'!$B:$B,0),CELL("col",Table_Customer_Data[[#Headers],[CreditLine]]))</f>
        <v>80000</v>
      </c>
      <c r="Y38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1" s="37" t="s">
        <v>855</v>
      </c>
      <c r="AA38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81" s="37" t="s">
        <v>856</v>
      </c>
      <c r="AC381" s="37"/>
      <c r="AD38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81" s="37" t="s">
        <v>856</v>
      </c>
      <c r="AF381" s="37"/>
      <c r="AG38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1" s="37" t="s">
        <v>856</v>
      </c>
      <c r="AI381" s="37"/>
      <c r="AJ38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1" s="37" t="s">
        <v>856</v>
      </c>
      <c r="AL381" s="38"/>
      <c r="AM38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1" s="37" t="s">
        <v>854</v>
      </c>
      <c r="AO381" s="41"/>
      <c r="AP38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1" s="37" t="s">
        <v>856</v>
      </c>
      <c r="AR381" s="37"/>
      <c r="AS38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1" s="41" cm="1">
        <f t="array" aca="1" ref="AT381" ca="1">INDEX('SAP Customer Data'!A:Z,MATCH(بيانات_العملاء[[#This Row],[رمز شريك الأعمال]],'SAP Customer Data'!B:B,0),CELL("col",Table_Customer_Data[[#Headers],[CreateDate]]))</f>
        <v>44410</v>
      </c>
      <c r="AU381" s="37"/>
      <c r="AV381" s="41"/>
      <c r="AW381" s="37" t="s">
        <v>2097</v>
      </c>
      <c r="AX381" s="37"/>
    </row>
    <row r="382" spans="1:50" x14ac:dyDescent="0.25">
      <c r="A382" s="36" t="str" cm="1">
        <f t="array" aca="1" ref="A382" ca="1">INDEX('SAP Customer Data'!$A:$AC,MATCH(بيانات_العملاء[[#This Row],[رمز شريك الأعمال]],'SAP Customer Data'!$B:$B,0),CELL("col",Table_Customer_Data[[#Headers],[GroupName]]))</f>
        <v>CS06</v>
      </c>
      <c r="B382" s="35" t="s">
        <v>648</v>
      </c>
      <c r="C382" s="37" t="str" cm="1">
        <f t="array" aca="1" ref="C382" ca="1">INDEX('SAP Customer Data'!$A:$AC,MATCH(بيانات_العملاء[[#This Row],[رمز شريك الأعمال]],'SAP Customer Data'!$B:$B,0),CELL("col",Table_Customer_Data[[#Headers],[CardName]]))</f>
        <v>مؤسسة زود المتكاملة</v>
      </c>
      <c r="D382" s="37" t="str">
        <f ca="1">IF(بيانات_العملاء[[#This Row],[حد الائتمان على SAP]]&gt;0,"آجل","نقدى")</f>
        <v>آجل</v>
      </c>
      <c r="E382" s="37" t="s">
        <v>1598</v>
      </c>
      <c r="F382" s="37" t="s">
        <v>1081</v>
      </c>
      <c r="G382" s="37" t="s">
        <v>918</v>
      </c>
      <c r="H38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2" s="37" t="s">
        <v>854</v>
      </c>
      <c r="J382" s="38">
        <v>46087</v>
      </c>
      <c r="K382" s="37" t="s">
        <v>855</v>
      </c>
      <c r="L382" s="37" t="str">
        <f ca="1">IF(AND(بيانات_العملاء[[#This Row],[السجل التجارى]]="موجود",TODAY()+'Other Data'!$B$23&lt;J382,بيانات_العملاء[[#This Row],[مطابقة اسم العميل بالاسم بالسجل التجارى]]="مطابق"), "سارى", "يجب اعادة طلبه")</f>
        <v>سارى</v>
      </c>
      <c r="M382" s="37" t="s">
        <v>854</v>
      </c>
      <c r="N382" s="39" t="str" cm="1">
        <f t="array" aca="1" ref="N382" ca="1">INDEX('SAP Customer Data'!$A:$AC,MATCH(بيانات_العملاء[[#This Row],[رمز شريك الأعمال]],'SAP Customer Data'!$B:$B,0),CELL("col",Table_Customer_Data[[#Headers],[LicTradNum]]))</f>
        <v>300313886200003</v>
      </c>
      <c r="O38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2" s="37" t="s">
        <v>856</v>
      </c>
      <c r="Q382" s="38"/>
      <c r="R38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2" s="37" t="s">
        <v>854</v>
      </c>
      <c r="T382" s="40">
        <v>150000</v>
      </c>
      <c r="U382" s="41"/>
      <c r="V38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120000</v>
      </c>
      <c r="X382" s="37" cm="1">
        <f t="array" aca="1" ref="X382" ca="1">INDEX('SAP Customer Data'!$A:$AC,MATCH(بيانات_العملاء[[#This Row],[رمز شريك الأعمال]],'SAP Customer Data'!$B:$B,0),CELL("col",Table_Customer_Data[[#Headers],[CreditLine]]))</f>
        <v>120000</v>
      </c>
      <c r="Y38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2" s="37" t="s">
        <v>855</v>
      </c>
      <c r="AA38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82" s="37" t="s">
        <v>856</v>
      </c>
      <c r="AC382" s="37"/>
      <c r="AD38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82" s="37" t="s">
        <v>856</v>
      </c>
      <c r="AF382" s="37"/>
      <c r="AG38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2" s="37" t="s">
        <v>856</v>
      </c>
      <c r="AI382" s="37"/>
      <c r="AJ38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2" s="37" t="s">
        <v>856</v>
      </c>
      <c r="AL382" s="38"/>
      <c r="AM38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2" s="37" t="s">
        <v>856</v>
      </c>
      <c r="AO382" s="41"/>
      <c r="AP38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2" s="37" t="s">
        <v>856</v>
      </c>
      <c r="AR382" s="37"/>
      <c r="AS38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2" s="41" cm="1">
        <f t="array" aca="1" ref="AT382" ca="1">INDEX('SAP Customer Data'!A:Z,MATCH(بيانات_العملاء[[#This Row],[رمز شريك الأعمال]],'SAP Customer Data'!B:B,0),CELL("col",Table_Customer_Data[[#Headers],[CreateDate]]))</f>
        <v>44412</v>
      </c>
      <c r="AU382" s="37"/>
      <c r="AV382" s="41"/>
      <c r="AW382" s="37" t="s">
        <v>2097</v>
      </c>
      <c r="AX382" s="37"/>
    </row>
    <row r="383" spans="1:50" x14ac:dyDescent="0.25">
      <c r="A383" s="36" t="str" cm="1">
        <f t="array" aca="1" ref="A383" ca="1">INDEX('SAP Customer Data'!$A:$AC,MATCH(بيانات_العملاء[[#This Row],[رمز شريك الأعمال]],'SAP Customer Data'!$B:$B,0),CELL("col",Table_Customer_Data[[#Headers],[GroupName]]))</f>
        <v>CS06</v>
      </c>
      <c r="B383" s="35" t="s">
        <v>726</v>
      </c>
      <c r="C383" s="37" t="str" cm="1">
        <f t="array" aca="1" ref="C383" ca="1">INDEX('SAP Customer Data'!$A:$AC,MATCH(بيانات_العملاء[[#This Row],[رمز شريك الأعمال]],'SAP Customer Data'!$B:$B,0),CELL("col",Table_Customer_Data[[#Headers],[CardName]]))</f>
        <v>مؤسسة خالد عمر عبيد باوزير للتجارة -نقدي</v>
      </c>
      <c r="D383" s="37" t="str">
        <f ca="1">IF(بيانات_العملاء[[#This Row],[حد الائتمان على SAP]]&gt;0,"آجل","نقدى")</f>
        <v>نقدى</v>
      </c>
      <c r="E383" s="37" t="s">
        <v>1588</v>
      </c>
      <c r="F383" s="37" t="s">
        <v>1081</v>
      </c>
      <c r="G383" s="37" t="s">
        <v>856</v>
      </c>
      <c r="H38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3" s="37" t="s">
        <v>854</v>
      </c>
      <c r="J383" s="38">
        <v>46009</v>
      </c>
      <c r="K383" s="37" t="s">
        <v>855</v>
      </c>
      <c r="L383" s="37" t="str">
        <f ca="1">IF(AND(بيانات_العملاء[[#This Row],[السجل التجارى]]="موجود",TODAY()+'Other Data'!$B$23&lt;J383,بيانات_العملاء[[#This Row],[مطابقة اسم العميل بالاسم بالسجل التجارى]]="مطابق"), "سارى", "يجب اعادة طلبه")</f>
        <v>سارى</v>
      </c>
      <c r="M383" s="37" t="s">
        <v>854</v>
      </c>
      <c r="N383" s="39" t="str" cm="1">
        <f t="array" aca="1" ref="N383" ca="1">INDEX('SAP Customer Data'!$A:$AC,MATCH(بيانات_العملاء[[#This Row],[رمز شريك الأعمال]],'SAP Customer Data'!$B:$B,0),CELL("col",Table_Customer_Data[[#Headers],[LicTradNum]]))</f>
        <v>300700802600003</v>
      </c>
      <c r="O38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3" s="37" t="s">
        <v>856</v>
      </c>
      <c r="Q383" s="38"/>
      <c r="R38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3" s="37" t="s">
        <v>1080</v>
      </c>
      <c r="T383" s="40"/>
      <c r="U383" s="41"/>
      <c r="V38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83" s="37" cm="1">
        <f t="array" aca="1" ref="X383" ca="1">INDEX('SAP Customer Data'!$A:$AC,MATCH(بيانات_العملاء[[#This Row],[رمز شريك الأعمال]],'SAP Customer Data'!$B:$B,0),CELL("col",Table_Customer_Data[[#Headers],[CreditLine]]))</f>
        <v>0</v>
      </c>
      <c r="Y38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3" s="37"/>
      <c r="AA38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83" s="37" t="s">
        <v>856</v>
      </c>
      <c r="AC383" s="37"/>
      <c r="AD38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83" s="37" t="s">
        <v>856</v>
      </c>
      <c r="AF383" s="37"/>
      <c r="AG38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3" s="37" t="s">
        <v>856</v>
      </c>
      <c r="AI383" s="37"/>
      <c r="AJ38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3" s="37" t="s">
        <v>856</v>
      </c>
      <c r="AL383" s="38"/>
      <c r="AM38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3" s="37" t="s">
        <v>856</v>
      </c>
      <c r="AO383" s="41"/>
      <c r="AP38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3" s="37" t="s">
        <v>856</v>
      </c>
      <c r="AR383" s="37"/>
      <c r="AS38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3" s="41" cm="1">
        <f t="array" aca="1" ref="AT383" ca="1">INDEX('SAP Customer Data'!A:Z,MATCH(بيانات_العملاء[[#This Row],[رمز شريك الأعمال]],'SAP Customer Data'!B:B,0),CELL("col",Table_Customer_Data[[#Headers],[CreateDate]]))</f>
        <v>44766</v>
      </c>
      <c r="AU383" s="37"/>
      <c r="AV383" s="41"/>
      <c r="AW383" s="37" t="s">
        <v>2097</v>
      </c>
      <c r="AX383" s="37"/>
    </row>
    <row r="384" spans="1:50" x14ac:dyDescent="0.25">
      <c r="A384" s="36" t="str" cm="1">
        <f t="array" aca="1" ref="A384" ca="1">INDEX('SAP Customer Data'!$A:$AC,MATCH(بيانات_العملاء[[#This Row],[رمز شريك الأعمال]],'SAP Customer Data'!$B:$B,0),CELL("col",Table_Customer_Data[[#Headers],[GroupName]]))</f>
        <v>CS06</v>
      </c>
      <c r="B384" s="35" t="s">
        <v>596</v>
      </c>
      <c r="C384" s="37" t="str" cm="1">
        <f t="array" aca="1" ref="C384" ca="1">INDEX('SAP Customer Data'!$A:$AC,MATCH(بيانات_العملاء[[#This Row],[رمز شريك الأعمال]],'SAP Customer Data'!$B:$B,0),CELL("col",Table_Customer_Data[[#Headers],[CardName]]))</f>
        <v>مؤسسة اضاءة الخليج للتجارة - نقدي</v>
      </c>
      <c r="D384" s="37" t="str">
        <f ca="1">IF(بيانات_العملاء[[#This Row],[حد الائتمان على SAP]]&gt;0,"آجل","نقدى")</f>
        <v>نقدى</v>
      </c>
      <c r="E384" s="37" t="s">
        <v>2093</v>
      </c>
      <c r="F384" s="37" t="s">
        <v>1081</v>
      </c>
      <c r="G384" s="37" t="s">
        <v>918</v>
      </c>
      <c r="H38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4" s="37" t="s">
        <v>854</v>
      </c>
      <c r="J384" s="38">
        <v>44775</v>
      </c>
      <c r="K384" s="37" t="s">
        <v>855</v>
      </c>
      <c r="L384" s="37" t="str">
        <f ca="1">IF(AND(بيانات_العملاء[[#This Row],[السجل التجارى]]="موجود",TODAY()+'Other Data'!$B$23&lt;J384,بيانات_العملاء[[#This Row],[مطابقة اسم العميل بالاسم بالسجل التجارى]]="مطابق"), "سارى", "يجب اعادة طلبه")</f>
        <v>يجب اعادة طلبه</v>
      </c>
      <c r="M384" s="37" t="s">
        <v>854</v>
      </c>
      <c r="N384" s="39" t="str" cm="1">
        <f t="array" aca="1" ref="N384" ca="1">INDEX('SAP Customer Data'!$A:$AC,MATCH(بيانات_العملاء[[#This Row],[رمز شريك الأعمال]],'SAP Customer Data'!$B:$B,0),CELL("col",Table_Customer_Data[[#Headers],[LicTradNum]]))</f>
        <v>300822886500003</v>
      </c>
      <c r="O38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4" s="37" t="s">
        <v>856</v>
      </c>
      <c r="Q384" s="38"/>
      <c r="R38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4" s="37" t="s">
        <v>1080</v>
      </c>
      <c r="T384" s="40"/>
      <c r="U384" s="41"/>
      <c r="V38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84" s="37" cm="1">
        <f t="array" aca="1" ref="X384" ca="1">INDEX('SAP Customer Data'!$A:$AC,MATCH(بيانات_العملاء[[#This Row],[رمز شريك الأعمال]],'SAP Customer Data'!$B:$B,0),CELL("col",Table_Customer_Data[[#Headers],[CreditLine]]))</f>
        <v>0</v>
      </c>
      <c r="Y38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4" s="37"/>
      <c r="AA38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84" s="37" t="s">
        <v>854</v>
      </c>
      <c r="AC384" s="41">
        <v>46856</v>
      </c>
      <c r="AD38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384" s="37" t="s">
        <v>856</v>
      </c>
      <c r="AF384" s="37"/>
      <c r="AG38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4" s="37" t="s">
        <v>856</v>
      </c>
      <c r="AI384" s="37"/>
      <c r="AJ38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4" s="37" t="s">
        <v>856</v>
      </c>
      <c r="AL384" s="38"/>
      <c r="AM38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4" s="37" t="s">
        <v>856</v>
      </c>
      <c r="AO384" s="41"/>
      <c r="AP38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4" s="37" t="s">
        <v>856</v>
      </c>
      <c r="AR384" s="37"/>
      <c r="AS38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4" s="41" cm="1">
        <f t="array" aca="1" ref="AT384" ca="1">INDEX('SAP Customer Data'!A:Z,MATCH(بيانات_العملاء[[#This Row],[رمز شريك الأعمال]],'SAP Customer Data'!B:B,0),CELL("col",Table_Customer_Data[[#Headers],[CreateDate]]))</f>
        <v>44221</v>
      </c>
      <c r="AU384" s="37"/>
      <c r="AV384" s="41"/>
      <c r="AW384" s="37" t="s">
        <v>2097</v>
      </c>
      <c r="AX384" s="37"/>
    </row>
    <row r="385" spans="1:50" x14ac:dyDescent="0.25">
      <c r="A385" s="36" t="str" cm="1">
        <f t="array" aca="1" ref="A385" ca="1">INDEX('SAP Customer Data'!$A:$AC,MATCH(بيانات_العملاء[[#This Row],[رمز شريك الأعمال]],'SAP Customer Data'!$B:$B,0),CELL("col",Table_Customer_Data[[#Headers],[GroupName]]))</f>
        <v>CS06</v>
      </c>
      <c r="B385" s="35" t="s">
        <v>728</v>
      </c>
      <c r="C385" s="37" t="str" cm="1">
        <f t="array" aca="1" ref="C385" ca="1">INDEX('SAP Customer Data'!$A:$AC,MATCH(بيانات_العملاء[[#This Row],[رمز شريك الأعمال]],'SAP Customer Data'!$B:$B,0),CELL("col",Table_Customer_Data[[#Headers],[CardName]]))</f>
        <v>مؤسسة المؤيد الجديد للتجارة -نقدي</v>
      </c>
      <c r="D385" s="37" t="str">
        <f ca="1">IF(بيانات_العملاء[[#This Row],[حد الائتمان على SAP]]&gt;0,"آجل","نقدى")</f>
        <v>نقدى</v>
      </c>
      <c r="E385" s="37" t="s">
        <v>1589</v>
      </c>
      <c r="F385" s="37" t="s">
        <v>1081</v>
      </c>
      <c r="G385" s="37" t="s">
        <v>918</v>
      </c>
      <c r="H38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5" s="37" t="s">
        <v>854</v>
      </c>
      <c r="J385" s="38">
        <v>44493</v>
      </c>
      <c r="K385" s="37" t="s">
        <v>855</v>
      </c>
      <c r="L385" s="37" t="str">
        <f ca="1">IF(AND(بيانات_العملاء[[#This Row],[السجل التجارى]]="موجود",TODAY()+'Other Data'!$B$23&lt;J385,بيانات_العملاء[[#This Row],[مطابقة اسم العميل بالاسم بالسجل التجارى]]="مطابق"), "سارى", "يجب اعادة طلبه")</f>
        <v>يجب اعادة طلبه</v>
      </c>
      <c r="M385" s="37" t="s">
        <v>854</v>
      </c>
      <c r="N385" s="39" t="str" cm="1">
        <f t="array" aca="1" ref="N385" ca="1">INDEX('SAP Customer Data'!$A:$AC,MATCH(بيانات_العملاء[[#This Row],[رمز شريك الأعمال]],'SAP Customer Data'!$B:$B,0),CELL("col",Table_Customer_Data[[#Headers],[LicTradNum]]))</f>
        <v>300893915100003</v>
      </c>
      <c r="O38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5" s="37" t="s">
        <v>856</v>
      </c>
      <c r="Q385" s="38"/>
      <c r="R38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5" s="37" t="s">
        <v>1080</v>
      </c>
      <c r="T385" s="40"/>
      <c r="U385" s="41"/>
      <c r="V38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85" s="37" cm="1">
        <f t="array" aca="1" ref="X385" ca="1">INDEX('SAP Customer Data'!$A:$AC,MATCH(بيانات_العملاء[[#This Row],[رمز شريك الأعمال]],'SAP Customer Data'!$B:$B,0),CELL("col",Table_Customer_Data[[#Headers],[CreditLine]]))</f>
        <v>0</v>
      </c>
      <c r="Y38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5" s="37"/>
      <c r="AA38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85" s="37" t="s">
        <v>856</v>
      </c>
      <c r="AC385" s="37"/>
      <c r="AD38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85" s="37" t="s">
        <v>856</v>
      </c>
      <c r="AF385" s="37"/>
      <c r="AG38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5" s="37" t="s">
        <v>856</v>
      </c>
      <c r="AI385" s="37"/>
      <c r="AJ38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5" s="37" t="s">
        <v>856</v>
      </c>
      <c r="AL385" s="38"/>
      <c r="AM38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5" s="37" t="s">
        <v>856</v>
      </c>
      <c r="AO385" s="41"/>
      <c r="AP38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5" s="37" t="s">
        <v>856</v>
      </c>
      <c r="AR385" s="37"/>
      <c r="AS38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5" s="41" cm="1">
        <f t="array" aca="1" ref="AT385" ca="1">INDEX('SAP Customer Data'!A:Z,MATCH(بيانات_العملاء[[#This Row],[رمز شريك الأعمال]],'SAP Customer Data'!B:B,0),CELL("col",Table_Customer_Data[[#Headers],[CreateDate]]))</f>
        <v>44775</v>
      </c>
      <c r="AU385" s="37"/>
      <c r="AV385" s="41"/>
      <c r="AW385" s="37" t="s">
        <v>2097</v>
      </c>
      <c r="AX385" s="37"/>
    </row>
    <row r="386" spans="1:50" x14ac:dyDescent="0.25">
      <c r="A386" s="36" t="str" cm="1">
        <f t="array" aca="1" ref="A386" ca="1">INDEX('SAP Customer Data'!$A:$AC,MATCH(بيانات_العملاء[[#This Row],[رمز شريك الأعمال]],'SAP Customer Data'!$B:$B,0),CELL("col",Table_Customer_Data[[#Headers],[GroupName]]))</f>
        <v>CS06</v>
      </c>
      <c r="B386" s="35" t="s">
        <v>722</v>
      </c>
      <c r="C386" s="37" t="str" cm="1">
        <f t="array" aca="1" ref="C386" ca="1">INDEX('SAP Customer Data'!$A:$AC,MATCH(بيانات_العملاء[[#This Row],[رمز شريك الأعمال]],'SAP Customer Data'!$B:$B,0),CELL("col",Table_Customer_Data[[#Headers],[CardName]]))</f>
        <v>مؤسسة الكابلات الحديثة للإنارة</v>
      </c>
      <c r="D386" s="37" t="str">
        <f>IF(بيانات_العملاء[[#This Row],[حد الائتمان على SAP]]&gt;0,"آجل","نقدى")</f>
        <v>آجل</v>
      </c>
      <c r="E386" s="37" t="s">
        <v>1591</v>
      </c>
      <c r="F386" s="37" t="s">
        <v>1081</v>
      </c>
      <c r="G386" s="37" t="s">
        <v>918</v>
      </c>
      <c r="H38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6" s="37" t="s">
        <v>854</v>
      </c>
      <c r="J386" s="38">
        <v>44985</v>
      </c>
      <c r="K386" s="37" t="s">
        <v>855</v>
      </c>
      <c r="L386" s="37" t="str">
        <f ca="1">IF(AND(بيانات_العملاء[[#This Row],[السجل التجارى]]="موجود",TODAY()+'Other Data'!$B$23&lt;J386,بيانات_العملاء[[#This Row],[مطابقة اسم العميل بالاسم بالسجل التجارى]]="مطابق"), "سارى", "يجب اعادة طلبه")</f>
        <v>يجب اعادة طلبه</v>
      </c>
      <c r="M386" s="37" t="s">
        <v>854</v>
      </c>
      <c r="N386" s="39" t="str" cm="1">
        <f t="array" aca="1" ref="N386" ca="1">INDEX('SAP Customer Data'!$A:$AC,MATCH(بيانات_العملاء[[#This Row],[رمز شريك الأعمال]],'SAP Customer Data'!$B:$B,0),CELL("col",Table_Customer_Data[[#Headers],[LicTradNum]]))</f>
        <v>301263475900003</v>
      </c>
      <c r="O38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6" s="37" t="s">
        <v>854</v>
      </c>
      <c r="Q386" s="38">
        <v>44767</v>
      </c>
      <c r="R38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6" s="37" t="s">
        <v>854</v>
      </c>
      <c r="T386" s="40">
        <v>50000</v>
      </c>
      <c r="U386" s="41"/>
      <c r="V38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386" s="37">
        <v>40000</v>
      </c>
      <c r="Y386" s="37" t="str">
        <f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6" s="37" t="s">
        <v>855</v>
      </c>
      <c r="AA38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86" s="37" t="s">
        <v>854</v>
      </c>
      <c r="AC386" s="37">
        <v>45009</v>
      </c>
      <c r="AD38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86" s="37" t="s">
        <v>856</v>
      </c>
      <c r="AF386" s="37"/>
      <c r="AG38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6" s="37" t="s">
        <v>856</v>
      </c>
      <c r="AI386" s="37"/>
      <c r="AJ38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6" s="37" t="s">
        <v>856</v>
      </c>
      <c r="AL386" s="38"/>
      <c r="AM38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6" s="37" t="s">
        <v>856</v>
      </c>
      <c r="AO386" s="41"/>
      <c r="AP38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6" s="37" t="s">
        <v>856</v>
      </c>
      <c r="AR386" s="37"/>
      <c r="AS38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6" s="41" cm="1">
        <f t="array" aca="1" ref="AT386" ca="1">INDEX('SAP Customer Data'!A:Z,MATCH(بيانات_العملاء[[#This Row],[رمز شريك الأعمال]],'SAP Customer Data'!B:B,0),CELL("col",Table_Customer_Data[[#Headers],[CreateDate]]))</f>
        <v>44739</v>
      </c>
      <c r="AU386" s="37"/>
      <c r="AV386" s="41"/>
      <c r="AW386" s="37" t="s">
        <v>2097</v>
      </c>
      <c r="AX386" s="37"/>
    </row>
    <row r="387" spans="1:50" x14ac:dyDescent="0.25">
      <c r="A387" s="36" t="str" cm="1">
        <f t="array" aca="1" ref="A387" ca="1">INDEX('SAP Customer Data'!$A:$AC,MATCH(بيانات_العملاء[[#This Row],[رمز شريك الأعمال]],'SAP Customer Data'!$B:$B,0),CELL("col",Table_Customer_Data[[#Headers],[GroupName]]))</f>
        <v>CS06</v>
      </c>
      <c r="B387" s="35" t="s">
        <v>632</v>
      </c>
      <c r="C387" s="37" t="str" cm="1">
        <f t="array" aca="1" ref="C387" ca="1">INDEX('SAP Customer Data'!$A:$AC,MATCH(بيانات_العملاء[[#This Row],[رمز شريك الأعمال]],'SAP Customer Data'!$B:$B,0),CELL("col",Table_Customer_Data[[#Headers],[CardName]]))</f>
        <v>شركة ساك الخليجية للتجارة</v>
      </c>
      <c r="D387" s="37" t="str">
        <f>IF(بيانات_العملاء[[#This Row],[حد الائتمان على SAP]]&gt;0,"آجل","نقدى")</f>
        <v>آجل</v>
      </c>
      <c r="E387" s="37"/>
      <c r="F387" s="37" t="s">
        <v>997</v>
      </c>
      <c r="G387" s="37" t="s">
        <v>918</v>
      </c>
      <c r="H38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7" s="37" t="s">
        <v>854</v>
      </c>
      <c r="J387" s="38">
        <v>44725</v>
      </c>
      <c r="K387" s="37" t="s">
        <v>855</v>
      </c>
      <c r="L387" s="37" t="str">
        <f ca="1">IF(AND(بيانات_العملاء[[#This Row],[السجل التجارى]]="موجود",TODAY()+'Other Data'!$B$23&lt;J387,بيانات_العملاء[[#This Row],[مطابقة اسم العميل بالاسم بالسجل التجارى]]="مطابق"), "سارى", "يجب اعادة طلبه")</f>
        <v>يجب اعادة طلبه</v>
      </c>
      <c r="M387" s="37" t="s">
        <v>854</v>
      </c>
      <c r="N387" s="39" t="str" cm="1">
        <f t="array" aca="1" ref="N387" ca="1">INDEX('SAP Customer Data'!$A:$AC,MATCH(بيانات_العملاء[[#This Row],[رمز شريك الأعمال]],'SAP Customer Data'!$B:$B,0),CELL("col",Table_Customer_Data[[#Headers],[LicTradNum]]))</f>
        <v>310121154200003</v>
      </c>
      <c r="O38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7" s="37" t="s">
        <v>856</v>
      </c>
      <c r="Q387" s="38"/>
      <c r="R38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7" s="37" t="s">
        <v>854</v>
      </c>
      <c r="T387" s="40">
        <v>20000</v>
      </c>
      <c r="U387" s="41"/>
      <c r="V38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387" s="37">
        <v>16000</v>
      </c>
      <c r="Y387" s="37" t="str">
        <f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7" s="37" t="s">
        <v>855</v>
      </c>
      <c r="AA38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87" s="37" t="s">
        <v>856</v>
      </c>
      <c r="AC387" s="37"/>
      <c r="AD38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87" s="37" t="s">
        <v>856</v>
      </c>
      <c r="AF387" s="37"/>
      <c r="AG38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7" s="37" t="s">
        <v>856</v>
      </c>
      <c r="AI387" s="37"/>
      <c r="AJ38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7" s="37" t="s">
        <v>856</v>
      </c>
      <c r="AL387" s="38"/>
      <c r="AM38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7" s="37" t="s">
        <v>856</v>
      </c>
      <c r="AO387" s="41"/>
      <c r="AP38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7" s="37" t="s">
        <v>856</v>
      </c>
      <c r="AR387" s="37"/>
      <c r="AS38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7" s="41" cm="1">
        <f t="array" aca="1" ref="AT387" ca="1">INDEX('SAP Customer Data'!A:Z,MATCH(بيانات_العملاء[[#This Row],[رمز شريك الأعمال]],'SAP Customer Data'!B:B,0),CELL("col",Table_Customer_Data[[#Headers],[CreateDate]]))</f>
        <v>44377</v>
      </c>
      <c r="AU387" s="37"/>
      <c r="AV387" s="41"/>
      <c r="AW387" s="37" t="s">
        <v>2097</v>
      </c>
      <c r="AX387" s="37"/>
    </row>
    <row r="388" spans="1:50" x14ac:dyDescent="0.25">
      <c r="A388" s="36" t="str" cm="1">
        <f t="array" aca="1" ref="A388" ca="1">INDEX('SAP Customer Data'!$A:$AC,MATCH(بيانات_العملاء[[#This Row],[رمز شريك الأعمال]],'SAP Customer Data'!$B:$B,0),CELL("col",Table_Customer_Data[[#Headers],[GroupName]]))</f>
        <v>CS06</v>
      </c>
      <c r="B388" s="35" t="s">
        <v>613</v>
      </c>
      <c r="C388" s="37" t="str" cm="1">
        <f t="array" aca="1" ref="C388" ca="1">INDEX('SAP Customer Data'!$A:$AC,MATCH(بيانات_العملاء[[#This Row],[رمز شريك الأعمال]],'SAP Customer Data'!$B:$B,0),CELL("col",Table_Customer_Data[[#Headers],[CardName]]))</f>
        <v>مؤسسة الاداء المحترف التجارية</v>
      </c>
      <c r="D388" s="37" t="str">
        <f>IF(بيانات_العملاء[[#This Row],[حد الائتمان على SAP]]&gt;0,"آجل","نقدى")</f>
        <v>آجل</v>
      </c>
      <c r="E388" s="37" t="s">
        <v>1600</v>
      </c>
      <c r="F388" s="37" t="s">
        <v>1081</v>
      </c>
      <c r="G388" s="37" t="s">
        <v>854</v>
      </c>
      <c r="H38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388" s="37" t="s">
        <v>854</v>
      </c>
      <c r="J388" s="38">
        <v>44978</v>
      </c>
      <c r="K388" s="37" t="s">
        <v>855</v>
      </c>
      <c r="L388" s="37" t="str">
        <f ca="1">IF(AND(بيانات_العملاء[[#This Row],[السجل التجارى]]="موجود",TODAY()+'Other Data'!$B$23&lt;J388,بيانات_العملاء[[#This Row],[مطابقة اسم العميل بالاسم بالسجل التجارى]]="مطابق"), "سارى", "يجب اعادة طلبه")</f>
        <v>يجب اعادة طلبه</v>
      </c>
      <c r="M388" s="37" t="s">
        <v>854</v>
      </c>
      <c r="N388" s="39" t="str" cm="1">
        <f t="array" aca="1" ref="N388" ca="1">INDEX('SAP Customer Data'!$A:$AC,MATCH(بيانات_العملاء[[#This Row],[رمز شريك الأعمال]],'SAP Customer Data'!$B:$B,0),CELL("col",Table_Customer_Data[[#Headers],[LicTradNum]]))</f>
        <v>310130531800003</v>
      </c>
      <c r="O38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8" s="37" t="s">
        <v>854</v>
      </c>
      <c r="Q388" s="38">
        <v>45019</v>
      </c>
      <c r="R38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8" s="37" t="s">
        <v>854</v>
      </c>
      <c r="T388" s="40">
        <v>20000</v>
      </c>
      <c r="U388" s="41"/>
      <c r="V38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388" s="37">
        <v>16000</v>
      </c>
      <c r="Y388" s="37" t="str">
        <f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8" s="37" t="s">
        <v>855</v>
      </c>
      <c r="AA38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388" s="37" t="s">
        <v>854</v>
      </c>
      <c r="AC388" s="37">
        <v>49806</v>
      </c>
      <c r="AD38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388" s="37" t="s">
        <v>856</v>
      </c>
      <c r="AF388" s="37"/>
      <c r="AG38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8" s="37" t="s">
        <v>856</v>
      </c>
      <c r="AI388" s="37"/>
      <c r="AJ38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8" s="37" t="s">
        <v>856</v>
      </c>
      <c r="AL388" s="38"/>
      <c r="AM38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8" s="37" t="s">
        <v>854</v>
      </c>
      <c r="AO388" s="41">
        <v>45020</v>
      </c>
      <c r="AP38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8" s="37" t="s">
        <v>856</v>
      </c>
      <c r="AR388" s="37"/>
      <c r="AS38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8" s="41" cm="1">
        <f t="array" aca="1" ref="AT388" ca="1">INDEX('SAP Customer Data'!A:Z,MATCH(بيانات_العملاء[[#This Row],[رمز شريك الأعمال]],'SAP Customer Data'!B:B,0),CELL("col",Table_Customer_Data[[#Headers],[CreateDate]]))</f>
        <v>44229</v>
      </c>
      <c r="AU388" s="37"/>
      <c r="AV388" s="41"/>
      <c r="AW388" s="37" t="s">
        <v>2097</v>
      </c>
      <c r="AX388" s="37"/>
    </row>
    <row r="389" spans="1:50" x14ac:dyDescent="0.25">
      <c r="A389" s="36" t="str" cm="1">
        <f t="array" aca="1" ref="A389" ca="1">INDEX('SAP Customer Data'!$A:$AC,MATCH(بيانات_العملاء[[#This Row],[رمز شريك الأعمال]],'SAP Customer Data'!$B:$B,0),CELL("col",Table_Customer_Data[[#Headers],[GroupName]]))</f>
        <v>CS06</v>
      </c>
      <c r="B389" s="35" t="s">
        <v>685</v>
      </c>
      <c r="C389" s="37" t="str" cm="1">
        <f t="array" aca="1" ref="C389" ca="1">INDEX('SAP Customer Data'!$A:$AC,MATCH(بيانات_العملاء[[#This Row],[رمز شريك الأعمال]],'SAP Customer Data'!$B:$B,0),CELL("col",Table_Customer_Data[[#Headers],[CardName]]))</f>
        <v>مؤسسة هشام زين احمد صالح التجارية-نقدي</v>
      </c>
      <c r="D389" s="37" t="str">
        <f ca="1">IF(بيانات_العملاء[[#This Row],[حد الائتمان على SAP]]&gt;0,"آجل","نقدى")</f>
        <v>نقدى</v>
      </c>
      <c r="E389" s="37" t="s">
        <v>1595</v>
      </c>
      <c r="F389" s="37" t="s">
        <v>1081</v>
      </c>
      <c r="G389" s="37" t="s">
        <v>856</v>
      </c>
      <c r="H38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89" s="37" t="s">
        <v>854</v>
      </c>
      <c r="J389" s="38">
        <v>46083</v>
      </c>
      <c r="K389" s="37" t="s">
        <v>855</v>
      </c>
      <c r="L389" s="37" t="str">
        <f ca="1">IF(AND(بيانات_العملاء[[#This Row],[السجل التجارى]]="موجود",TODAY()+'Other Data'!$B$23&lt;J389,بيانات_العملاء[[#This Row],[مطابقة اسم العميل بالاسم بالسجل التجارى]]="مطابق"), "سارى", "يجب اعادة طلبه")</f>
        <v>سارى</v>
      </c>
      <c r="M389" s="37" t="s">
        <v>854</v>
      </c>
      <c r="N389" s="39" t="str" cm="1">
        <f t="array" aca="1" ref="N389" ca="1">INDEX('SAP Customer Data'!$A:$AC,MATCH(بيانات_العملاء[[#This Row],[رمز شريك الأعمال]],'SAP Customer Data'!$B:$B,0),CELL("col",Table_Customer_Data[[#Headers],[LicTradNum]]))</f>
        <v>310160898300003</v>
      </c>
      <c r="O38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89" s="37" t="s">
        <v>856</v>
      </c>
      <c r="Q389" s="38"/>
      <c r="R38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89" s="37" t="s">
        <v>1080</v>
      </c>
      <c r="T389" s="40"/>
      <c r="U389" s="41"/>
      <c r="V38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8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89" s="37" cm="1">
        <f t="array" aca="1" ref="X389" ca="1">INDEX('SAP Customer Data'!$A:$AC,MATCH(بيانات_العملاء[[#This Row],[رمز شريك الأعمال]],'SAP Customer Data'!$B:$B,0),CELL("col",Table_Customer_Data[[#Headers],[CreditLine]]))</f>
        <v>0</v>
      </c>
      <c r="Y38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89" s="37"/>
      <c r="AA38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89" s="37" t="s">
        <v>856</v>
      </c>
      <c r="AC389" s="37"/>
      <c r="AD38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89" s="37" t="s">
        <v>856</v>
      </c>
      <c r="AF389" s="37"/>
      <c r="AG38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89" s="37" t="s">
        <v>856</v>
      </c>
      <c r="AI389" s="37"/>
      <c r="AJ38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89" s="37" t="s">
        <v>856</v>
      </c>
      <c r="AL389" s="38"/>
      <c r="AM38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89" s="37" t="s">
        <v>854</v>
      </c>
      <c r="AO389" s="41">
        <v>44703</v>
      </c>
      <c r="AP38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89" s="37" t="s">
        <v>856</v>
      </c>
      <c r="AR389" s="37"/>
      <c r="AS38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89" s="41" cm="1">
        <f t="array" aca="1" ref="AT389" ca="1">INDEX('SAP Customer Data'!A:Z,MATCH(بيانات_العملاء[[#This Row],[رمز شريك الأعمال]],'SAP Customer Data'!B:B,0),CELL("col",Table_Customer_Data[[#Headers],[CreateDate]]))</f>
        <v>44574</v>
      </c>
      <c r="AU389" s="37"/>
      <c r="AV389" s="41"/>
      <c r="AW389" s="37" t="s">
        <v>2097</v>
      </c>
      <c r="AX389" s="37"/>
    </row>
    <row r="390" spans="1:50" x14ac:dyDescent="0.25">
      <c r="A390" s="36" t="str" cm="1">
        <f t="array" aca="1" ref="A390" ca="1">INDEX('SAP Customer Data'!$A:$AC,MATCH(بيانات_العملاء[[#This Row],[رمز شريك الأعمال]],'SAP Customer Data'!$B:$B,0),CELL("col",Table_Customer_Data[[#Headers],[GroupName]]))</f>
        <v>CS06</v>
      </c>
      <c r="B390" s="35" t="s">
        <v>611</v>
      </c>
      <c r="C390" s="37" t="str" cm="1">
        <f t="array" aca="1" ref="C390" ca="1">INDEX('SAP Customer Data'!$A:$AC,MATCH(بيانات_العملاء[[#This Row],[رمز شريك الأعمال]],'SAP Customer Data'!$B:$B,0),CELL("col",Table_Customer_Data[[#Headers],[CardName]]))</f>
        <v>مؤسسة ثامر عبدالله محمد الغامدي التجارية - نقدي</v>
      </c>
      <c r="D390" s="37" t="str">
        <f ca="1">IF(بيانات_العملاء[[#This Row],[حد الائتمان على SAP]]&gt;0,"آجل","نقدى")</f>
        <v>نقدى</v>
      </c>
      <c r="E390" s="37"/>
      <c r="F390" s="37" t="s">
        <v>1082</v>
      </c>
      <c r="G390" s="37" t="s">
        <v>918</v>
      </c>
      <c r="H39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0" s="37" t="s">
        <v>856</v>
      </c>
      <c r="J390" s="38"/>
      <c r="K390" s="37"/>
      <c r="L390" s="37" t="str">
        <f ca="1">IF(AND(بيانات_العملاء[[#This Row],[السجل التجارى]]="موجود",TODAY()+'Other Data'!$B$23&lt;J390,بيانات_العملاء[[#This Row],[مطابقة اسم العميل بالاسم بالسجل التجارى]]="مطابق"), "سارى", "يجب اعادة طلبه")</f>
        <v>يجب اعادة طلبه</v>
      </c>
      <c r="M390" s="37" t="s">
        <v>854</v>
      </c>
      <c r="N390" s="39" t="str" cm="1">
        <f t="array" aca="1" ref="N390" ca="1">INDEX('SAP Customer Data'!$A:$AC,MATCH(بيانات_العملاء[[#This Row],[رمز شريك الأعمال]],'SAP Customer Data'!$B:$B,0),CELL("col",Table_Customer_Data[[#Headers],[LicTradNum]]))</f>
        <v>310650350500003</v>
      </c>
      <c r="O39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0" s="37" t="s">
        <v>856</v>
      </c>
      <c r="Q390" s="38"/>
      <c r="R39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0" s="37" t="s">
        <v>1080</v>
      </c>
      <c r="T390" s="40"/>
      <c r="U390" s="41"/>
      <c r="V39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0" s="37" cm="1">
        <f t="array" aca="1" ref="X390" ca="1">INDEX('SAP Customer Data'!$A:$AC,MATCH(بيانات_العملاء[[#This Row],[رمز شريك الأعمال]],'SAP Customer Data'!$B:$B,0),CELL("col",Table_Customer_Data[[#Headers],[CreditLine]]))</f>
        <v>0</v>
      </c>
      <c r="Y39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0" s="37"/>
      <c r="AA39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0" s="37" t="s">
        <v>856</v>
      </c>
      <c r="AC390" s="37"/>
      <c r="AD39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0" s="37" t="s">
        <v>856</v>
      </c>
      <c r="AF390" s="37"/>
      <c r="AG39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0" s="37" t="s">
        <v>856</v>
      </c>
      <c r="AI390" s="37"/>
      <c r="AJ39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0" s="37" t="s">
        <v>856</v>
      </c>
      <c r="AL390" s="38"/>
      <c r="AM39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0" s="37" t="s">
        <v>856</v>
      </c>
      <c r="AO390" s="41"/>
      <c r="AP39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0" s="37" t="s">
        <v>856</v>
      </c>
      <c r="AR390" s="37"/>
      <c r="AS39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0" s="41" cm="1">
        <f t="array" aca="1" ref="AT390" ca="1">INDEX('SAP Customer Data'!A:Z,MATCH(بيانات_العملاء[[#This Row],[رمز شريك الأعمال]],'SAP Customer Data'!B:B,0),CELL("col",Table_Customer_Data[[#Headers],[CreateDate]]))</f>
        <v>44229</v>
      </c>
      <c r="AU390" s="37"/>
      <c r="AV390" s="41"/>
      <c r="AW390" s="37" t="s">
        <v>2097</v>
      </c>
      <c r="AX390" s="37"/>
    </row>
    <row r="391" spans="1:50" x14ac:dyDescent="0.25">
      <c r="A391" s="36" t="str" cm="1">
        <f t="array" aca="1" ref="A391" ca="1">INDEX('SAP Customer Data'!$A:$AC,MATCH(بيانات_العملاء[[#This Row],[رمز شريك الأعمال]],'SAP Customer Data'!$B:$B,0),CELL("col",Table_Customer_Data[[#Headers],[GroupName]]))</f>
        <v>CS06</v>
      </c>
      <c r="B391" s="42" t="s">
        <v>636</v>
      </c>
      <c r="C391" s="37" t="str" cm="1">
        <f t="array" aca="1" ref="C391" ca="1">INDEX('SAP Customer Data'!$A:$AC,MATCH(بيانات_العملاء[[#This Row],[رمز شريك الأعمال]],'SAP Customer Data'!$B:$B,0),CELL("col",Table_Customer_Data[[#Headers],[CardName]]))</f>
        <v>مؤسسة اعالي الابداع للتجارة - نقدي</v>
      </c>
      <c r="D391" s="37" t="str">
        <f ca="1">IF(بيانات_العملاء[[#This Row],[حد الائتمان على SAP]]&gt;0,"آجل","نقدى")</f>
        <v>نقدى</v>
      </c>
      <c r="E391" s="37"/>
      <c r="F391" s="37" t="s">
        <v>1082</v>
      </c>
      <c r="G391" s="37"/>
      <c r="H39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1" s="37" t="s">
        <v>856</v>
      </c>
      <c r="J391" s="38"/>
      <c r="K391" s="37"/>
      <c r="L391" s="37" t="str">
        <f ca="1">IF(AND(بيانات_العملاء[[#This Row],[السجل التجارى]]="موجود",TODAY()+'Other Data'!$B$23&lt;J391,بيانات_العملاء[[#This Row],[مطابقة اسم العميل بالاسم بالسجل التجارى]]="مطابق"), "سارى", "يجب اعادة طلبه")</f>
        <v>يجب اعادة طلبه</v>
      </c>
      <c r="M391" s="37" t="s">
        <v>854</v>
      </c>
      <c r="N391" s="39" t="str" cm="1">
        <f t="array" aca="1" ref="N391" ca="1">INDEX('SAP Customer Data'!$A:$AC,MATCH(بيانات_العملاء[[#This Row],[رمز شريك الأعمال]],'SAP Customer Data'!$B:$B,0),CELL("col",Table_Customer_Data[[#Headers],[LicTradNum]]))</f>
        <v>310168989200003</v>
      </c>
      <c r="O39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1" s="37"/>
      <c r="Q391" s="38"/>
      <c r="R39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1" s="37" t="s">
        <v>1080</v>
      </c>
      <c r="T391" s="40"/>
      <c r="U391" s="41"/>
      <c r="V39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1" s="37" cm="1">
        <f t="array" aca="1" ref="X391" ca="1">INDEX('SAP Customer Data'!$A:$AC,MATCH(بيانات_العملاء[[#This Row],[رمز شريك الأعمال]],'SAP Customer Data'!$B:$B,0),CELL("col",Table_Customer_Data[[#Headers],[CreditLine]]))</f>
        <v>0</v>
      </c>
      <c r="Y39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1" s="37"/>
      <c r="AA39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1" s="37"/>
      <c r="AC391" s="37"/>
      <c r="AD39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1" s="37"/>
      <c r="AF391" s="37"/>
      <c r="AG39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1" s="37"/>
      <c r="AI391" s="37"/>
      <c r="AJ39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1" s="37"/>
      <c r="AL391" s="38"/>
      <c r="AM39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1" s="37"/>
      <c r="AO391" s="41"/>
      <c r="AP39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1" s="37"/>
      <c r="AR391" s="37"/>
      <c r="AS39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1" s="41" cm="1">
        <f t="array" aca="1" ref="AT391" ca="1">INDEX('SAP Customer Data'!A:Z,MATCH(بيانات_العملاء[[#This Row],[رمز شريك الأعمال]],'SAP Customer Data'!B:B,0),CELL("col",Table_Customer_Data[[#Headers],[CreateDate]]))</f>
        <v>44380</v>
      </c>
      <c r="AU391" s="37"/>
      <c r="AV391" s="41"/>
      <c r="AW391" s="37" t="s">
        <v>2097</v>
      </c>
      <c r="AX391" s="37"/>
    </row>
    <row r="392" spans="1:50" x14ac:dyDescent="0.25">
      <c r="A392" s="36" t="str" cm="1">
        <f t="array" aca="1" ref="A392" ca="1">INDEX('SAP Customer Data'!$A:$AC,MATCH(بيانات_العملاء[[#This Row],[رمز شريك الأعمال]],'SAP Customer Data'!$B:$B,0),CELL("col",Table_Customer_Data[[#Headers],[GroupName]]))</f>
        <v>CS06</v>
      </c>
      <c r="B392" s="35" t="s">
        <v>667</v>
      </c>
      <c r="C392" s="37" t="str" cm="1">
        <f t="array" aca="1" ref="C392" ca="1">INDEX('SAP Customer Data'!$A:$AC,MATCH(بيانات_العملاء[[#This Row],[رمز شريك الأعمال]],'SAP Customer Data'!$B:$B,0),CELL("col",Table_Customer_Data[[#Headers],[CardName]]))</f>
        <v>شركة عاصمة الكهرباء للتجارة</v>
      </c>
      <c r="D392" s="37" t="str">
        <f>IF(بيانات_العملاء[[#This Row],[حد الائتمان على SAP]]&gt;0,"آجل","نقدى")</f>
        <v>آجل</v>
      </c>
      <c r="E392" s="37"/>
      <c r="F392" s="37" t="s">
        <v>997</v>
      </c>
      <c r="G392" s="37" t="s">
        <v>918</v>
      </c>
      <c r="H39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2" s="37" t="s">
        <v>854</v>
      </c>
      <c r="J392" s="38">
        <v>44908</v>
      </c>
      <c r="K392" s="37" t="s">
        <v>855</v>
      </c>
      <c r="L392" s="37" t="str">
        <f ca="1">IF(AND(بيانات_العملاء[[#This Row],[السجل التجارى]]="موجود",TODAY()+'Other Data'!$B$23&lt;J392,بيانات_العملاء[[#This Row],[مطابقة اسم العميل بالاسم بالسجل التجارى]]="مطابق"), "سارى", "يجب اعادة طلبه")</f>
        <v>يجب اعادة طلبه</v>
      </c>
      <c r="M392" s="37" t="s">
        <v>854</v>
      </c>
      <c r="N392" s="39" t="str" cm="1">
        <f t="array" aca="1" ref="N392" ca="1">INDEX('SAP Customer Data'!$A:$AC,MATCH(بيانات_العملاء[[#This Row],[رمز شريك الأعمال]],'SAP Customer Data'!$B:$B,0),CELL("col",Table_Customer_Data[[#Headers],[LicTradNum]]))</f>
        <v>310827692200003</v>
      </c>
      <c r="O39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2" s="37" t="s">
        <v>856</v>
      </c>
      <c r="Q392" s="38"/>
      <c r="R39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2" s="37" t="s">
        <v>854</v>
      </c>
      <c r="T392" s="40">
        <v>100000</v>
      </c>
      <c r="U392" s="41">
        <v>44468</v>
      </c>
      <c r="V392" s="41">
        <f>IF(بيانات_العملاء[[#This Row],[تاريخ انشاء سند الامر او الاستثناء]]="",0,بيانات_العملاء[[#This Row],[تاريخ انشاء سند الامر او الاستثناء]]+365*3)</f>
        <v>45563</v>
      </c>
      <c r="W39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392" s="37">
        <v>60000</v>
      </c>
      <c r="Y392" s="37" t="str">
        <f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392" s="37" t="s">
        <v>855</v>
      </c>
      <c r="AA39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2" s="37" t="s">
        <v>856</v>
      </c>
      <c r="AC392" s="37"/>
      <c r="AD39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2" s="37" t="s">
        <v>856</v>
      </c>
      <c r="AF392" s="37"/>
      <c r="AG39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2" s="37" t="s">
        <v>856</v>
      </c>
      <c r="AI392" s="37"/>
      <c r="AJ39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2" s="37" t="s">
        <v>856</v>
      </c>
      <c r="AL392" s="38"/>
      <c r="AM39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2" s="37" t="s">
        <v>856</v>
      </c>
      <c r="AO392" s="41"/>
      <c r="AP39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2" s="37" t="s">
        <v>856</v>
      </c>
      <c r="AR392" s="37"/>
      <c r="AS39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2" s="41" cm="1">
        <f t="array" aca="1" ref="AT392" ca="1">INDEX('SAP Customer Data'!A:Z,MATCH(بيانات_العملاء[[#This Row],[رمز شريك الأعمال]],'SAP Customer Data'!B:B,0),CELL("col",Table_Customer_Data[[#Headers],[CreateDate]]))</f>
        <v>44457</v>
      </c>
      <c r="AU392" s="37"/>
      <c r="AV392" s="41"/>
      <c r="AW392" s="37" t="s">
        <v>2097</v>
      </c>
      <c r="AX392" s="37"/>
    </row>
    <row r="393" spans="1:50" x14ac:dyDescent="0.25">
      <c r="A393" s="36" t="str" cm="1">
        <f t="array" aca="1" ref="A393" ca="1">INDEX('SAP Customer Data'!$A:$AC,MATCH(بيانات_العملاء[[#This Row],[رمز شريك الأعمال]],'SAP Customer Data'!$B:$B,0),CELL("col",Table_Customer_Data[[#Headers],[GroupName]]))</f>
        <v>CS06</v>
      </c>
      <c r="B393" s="35" t="s">
        <v>644</v>
      </c>
      <c r="C393" s="37" t="str" cm="1">
        <f t="array" aca="1" ref="C393" ca="1">INDEX('SAP Customer Data'!$A:$AC,MATCH(بيانات_العملاء[[#This Row],[رمز شريك الأعمال]],'SAP Customer Data'!$B:$B,0),CELL("col",Table_Customer_Data[[#Headers],[CardName]]))</f>
        <v>شركة نقطة جسر الخليج التجارية</v>
      </c>
      <c r="D393" s="37" t="str">
        <f ca="1">IF(بيانات_العملاء[[#This Row],[حد الائتمان على SAP]]&gt;0,"آجل","نقدى")</f>
        <v>آجل</v>
      </c>
      <c r="E393" s="37"/>
      <c r="F393" s="37" t="s">
        <v>997</v>
      </c>
      <c r="G393" s="37" t="s">
        <v>918</v>
      </c>
      <c r="H39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3" s="37" t="s">
        <v>854</v>
      </c>
      <c r="J393" s="38">
        <v>44884</v>
      </c>
      <c r="K393" s="37" t="s">
        <v>855</v>
      </c>
      <c r="L393" s="37" t="str">
        <f ca="1">IF(AND(بيانات_العملاء[[#This Row],[السجل التجارى]]="موجود",TODAY()+'Other Data'!$B$23&lt;J393,بيانات_العملاء[[#This Row],[مطابقة اسم العميل بالاسم بالسجل التجارى]]="مطابق"), "سارى", "يجب اعادة طلبه")</f>
        <v>يجب اعادة طلبه</v>
      </c>
      <c r="M393" s="37" t="s">
        <v>854</v>
      </c>
      <c r="N393" s="39" t="str" cm="1">
        <f t="array" aca="1" ref="N393" ca="1">INDEX('SAP Customer Data'!$A:$AC,MATCH(بيانات_العملاء[[#This Row],[رمز شريك الأعمال]],'SAP Customer Data'!$B:$B,0),CELL("col",Table_Customer_Data[[#Headers],[LicTradNum]]))</f>
        <v>310846274900003</v>
      </c>
      <c r="O39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3" s="37" t="s">
        <v>856</v>
      </c>
      <c r="Q393" s="38"/>
      <c r="R39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3" s="37" t="s">
        <v>1075</v>
      </c>
      <c r="T393" s="40">
        <v>50000</v>
      </c>
      <c r="U393" s="41"/>
      <c r="V39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393" s="37" cm="1">
        <f t="array" aca="1" ref="X393" ca="1">INDEX('SAP Customer Data'!$A:$AC,MATCH(بيانات_العملاء[[#This Row],[رمز شريك الأعمال]],'SAP Customer Data'!$B:$B,0),CELL("col",Table_Customer_Data[[#Headers],[CreditLine]]))</f>
        <v>50000</v>
      </c>
      <c r="Y39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3" s="37"/>
      <c r="AA39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3" s="37" t="s">
        <v>856</v>
      </c>
      <c r="AC393" s="37"/>
      <c r="AD39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3" s="37" t="s">
        <v>856</v>
      </c>
      <c r="AF393" s="37"/>
      <c r="AG39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3" s="37" t="s">
        <v>856</v>
      </c>
      <c r="AI393" s="37"/>
      <c r="AJ39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3" s="37" t="s">
        <v>856</v>
      </c>
      <c r="AL393" s="38"/>
      <c r="AM39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3" s="37" t="s">
        <v>856</v>
      </c>
      <c r="AO393" s="41"/>
      <c r="AP39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3" s="37" t="s">
        <v>856</v>
      </c>
      <c r="AR393" s="37"/>
      <c r="AS39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3" s="41" cm="1">
        <f t="array" aca="1" ref="AT393" ca="1">INDEX('SAP Customer Data'!A:Z,MATCH(بيانات_العملاء[[#This Row],[رمز شريك الأعمال]],'SAP Customer Data'!B:B,0),CELL("col",Table_Customer_Data[[#Headers],[CreateDate]]))</f>
        <v>44409</v>
      </c>
      <c r="AU393" s="37"/>
      <c r="AV393" s="41"/>
      <c r="AW393" s="37" t="s">
        <v>2097</v>
      </c>
      <c r="AX393" s="37"/>
    </row>
    <row r="394" spans="1:50" x14ac:dyDescent="0.25">
      <c r="A394" s="36" t="str" cm="1">
        <f t="array" aca="1" ref="A394" ca="1">INDEX('SAP Customer Data'!$A:$AC,MATCH(بيانات_العملاء[[#This Row],[رمز شريك الأعمال]],'SAP Customer Data'!$B:$B,0),CELL("col",Table_Customer_Data[[#Headers],[GroupName]]))</f>
        <v>CS06</v>
      </c>
      <c r="B394" s="42" t="s">
        <v>654</v>
      </c>
      <c r="C394" s="37" t="str" cm="1">
        <f t="array" aca="1" ref="C394" ca="1">INDEX('SAP Customer Data'!$A:$AC,MATCH(بيانات_العملاء[[#This Row],[رمز شريك الأعمال]],'SAP Customer Data'!$B:$B,0),CELL("col",Table_Customer_Data[[#Headers],[CardName]]))</f>
        <v>مؤسسة لمسة القصورالتجارية - نقدي</v>
      </c>
      <c r="D394" s="37" t="str">
        <f ca="1">IF(بيانات_العملاء[[#This Row],[حد الائتمان على SAP]]&gt;0,"آجل","نقدى")</f>
        <v>نقدى</v>
      </c>
      <c r="E394" s="37"/>
      <c r="F394" s="37" t="s">
        <v>1082</v>
      </c>
      <c r="G394" s="37"/>
      <c r="H39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4" s="37" t="s">
        <v>856</v>
      </c>
      <c r="J394" s="38"/>
      <c r="K394" s="37"/>
      <c r="L394" s="37" t="str">
        <f ca="1">IF(AND(بيانات_العملاء[[#This Row],[السجل التجارى]]="موجود",TODAY()+'Other Data'!$B$23&lt;J394,بيانات_العملاء[[#This Row],[مطابقة اسم العميل بالاسم بالسجل التجارى]]="مطابق"), "سارى", "يجب اعادة طلبه")</f>
        <v>يجب اعادة طلبه</v>
      </c>
      <c r="M394" s="37" t="s">
        <v>854</v>
      </c>
      <c r="N394" s="39" t="str" cm="1">
        <f t="array" aca="1" ref="N394" ca="1">INDEX('SAP Customer Data'!$A:$AC,MATCH(بيانات_العملاء[[#This Row],[رمز شريك الأعمال]],'SAP Customer Data'!$B:$B,0),CELL("col",Table_Customer_Data[[#Headers],[LicTradNum]]))</f>
        <v>310225892600003</v>
      </c>
      <c r="O39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4" s="37"/>
      <c r="Q394" s="38"/>
      <c r="R39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4" s="37" t="s">
        <v>1080</v>
      </c>
      <c r="T394" s="40"/>
      <c r="U394" s="41"/>
      <c r="V39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4" s="37" cm="1">
        <f t="array" aca="1" ref="X394" ca="1">INDEX('SAP Customer Data'!$A:$AC,MATCH(بيانات_العملاء[[#This Row],[رمز شريك الأعمال]],'SAP Customer Data'!$B:$B,0),CELL("col",Table_Customer_Data[[#Headers],[CreditLine]]))</f>
        <v>0</v>
      </c>
      <c r="Y39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4" s="37"/>
      <c r="AA39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4" s="37"/>
      <c r="AC394" s="37"/>
      <c r="AD39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4" s="37"/>
      <c r="AF394" s="37"/>
      <c r="AG39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4" s="37"/>
      <c r="AI394" s="37"/>
      <c r="AJ39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4" s="37"/>
      <c r="AL394" s="38"/>
      <c r="AM39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4" s="37"/>
      <c r="AO394" s="41"/>
      <c r="AP39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4" s="37"/>
      <c r="AR394" s="37"/>
      <c r="AS39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4" s="41" cm="1">
        <f t="array" aca="1" ref="AT394" ca="1">INDEX('SAP Customer Data'!A:Z,MATCH(بيانات_العملاء[[#This Row],[رمز شريك الأعمال]],'SAP Customer Data'!B:B,0),CELL("col",Table_Customer_Data[[#Headers],[CreateDate]]))</f>
        <v>44424</v>
      </c>
      <c r="AU394" s="37"/>
      <c r="AV394" s="41"/>
      <c r="AW394" s="37" t="s">
        <v>2097</v>
      </c>
      <c r="AX394" s="37"/>
    </row>
    <row r="395" spans="1:50" x14ac:dyDescent="0.25">
      <c r="A395" s="36" t="str" cm="1">
        <f t="array" aca="1" ref="A395" ca="1">INDEX('SAP Customer Data'!$A:$AC,MATCH(بيانات_العملاء[[#This Row],[رمز شريك الأعمال]],'SAP Customer Data'!$B:$B,0),CELL("col",Table_Customer_Data[[#Headers],[GroupName]]))</f>
        <v>CS06</v>
      </c>
      <c r="B395" s="35" t="s">
        <v>720</v>
      </c>
      <c r="C395" s="37" t="str" cm="1">
        <f t="array" aca="1" ref="C395" ca="1">INDEX('SAP Customer Data'!$A:$AC,MATCH(بيانات_العملاء[[#This Row],[رمز شريك الأعمال]],'SAP Customer Data'!$B:$B,0),CELL("col",Table_Customer_Data[[#Headers],[CardName]]))</f>
        <v>مؤسسة القصور المضيئة التجارية-نقدي</v>
      </c>
      <c r="D395" s="37" t="str">
        <f ca="1">IF(بيانات_العملاء[[#This Row],[حد الائتمان على SAP]]&gt;0,"آجل","نقدى")</f>
        <v>نقدى</v>
      </c>
      <c r="E395" s="37" t="s">
        <v>1590</v>
      </c>
      <c r="F395" s="37" t="s">
        <v>1081</v>
      </c>
      <c r="G395" s="37" t="s">
        <v>856</v>
      </c>
      <c r="H39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5" s="37" t="s">
        <v>854</v>
      </c>
      <c r="J395" s="38">
        <v>44943</v>
      </c>
      <c r="K395" s="37" t="s">
        <v>855</v>
      </c>
      <c r="L395" s="37" t="str">
        <f ca="1">IF(AND(بيانات_العملاء[[#This Row],[السجل التجارى]]="موجود",TODAY()+'Other Data'!$B$23&lt;J395,بيانات_العملاء[[#This Row],[مطابقة اسم العميل بالاسم بالسجل التجارى]]="مطابق"), "سارى", "يجب اعادة طلبه")</f>
        <v>يجب اعادة طلبه</v>
      </c>
      <c r="M395" s="37" t="s">
        <v>854</v>
      </c>
      <c r="N395" s="39" t="str" cm="1">
        <f t="array" aca="1" ref="N395" ca="1">INDEX('SAP Customer Data'!$A:$AC,MATCH(بيانات_العملاء[[#This Row],[رمز شريك الأعمال]],'SAP Customer Data'!$B:$B,0),CELL("col",Table_Customer_Data[[#Headers],[LicTradNum]]))</f>
        <v>310892113800003</v>
      </c>
      <c r="O39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5" s="37" t="s">
        <v>856</v>
      </c>
      <c r="Q395" s="38"/>
      <c r="R39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5" s="37" t="s">
        <v>1080</v>
      </c>
      <c r="T395" s="40"/>
      <c r="U395" s="41"/>
      <c r="V39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5" s="37" cm="1">
        <f t="array" aca="1" ref="X395" ca="1">INDEX('SAP Customer Data'!$A:$AC,MATCH(بيانات_العملاء[[#This Row],[رمز شريك الأعمال]],'SAP Customer Data'!$B:$B,0),CELL("col",Table_Customer_Data[[#Headers],[CreditLine]]))</f>
        <v>0</v>
      </c>
      <c r="Y39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5" s="37"/>
      <c r="AA39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5" s="37" t="s">
        <v>856</v>
      </c>
      <c r="AC395" s="37"/>
      <c r="AD39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5" s="37" t="s">
        <v>856</v>
      </c>
      <c r="AF395" s="37"/>
      <c r="AG39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5" s="37" t="s">
        <v>856</v>
      </c>
      <c r="AI395" s="37"/>
      <c r="AJ39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5" s="37" t="s">
        <v>856</v>
      </c>
      <c r="AL395" s="38"/>
      <c r="AM39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5" s="37" t="s">
        <v>856</v>
      </c>
      <c r="AO395" s="41"/>
      <c r="AP39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5" s="37" t="s">
        <v>856</v>
      </c>
      <c r="AR395" s="37"/>
      <c r="AS39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5" s="41" cm="1">
        <f t="array" aca="1" ref="AT395" ca="1">INDEX('SAP Customer Data'!A:Z,MATCH(بيانات_العملاء[[#This Row],[رمز شريك الأعمال]],'SAP Customer Data'!B:B,0),CELL("col",Table_Customer_Data[[#Headers],[CreateDate]]))</f>
        <v>44726</v>
      </c>
      <c r="AU395" s="37"/>
      <c r="AV395" s="41"/>
      <c r="AW395" s="37" t="s">
        <v>2097</v>
      </c>
      <c r="AX395" s="37"/>
    </row>
    <row r="396" spans="1:50" x14ac:dyDescent="0.25">
      <c r="A396" s="36" t="str" cm="1">
        <f t="array" aca="1" ref="A396" ca="1">INDEX('SAP Customer Data'!$A:$AC,MATCH(بيانات_العملاء[[#This Row],[رمز شريك الأعمال]],'SAP Customer Data'!$B:$B,0),CELL("col",Table_Customer_Data[[#Headers],[GroupName]]))</f>
        <v>CS06</v>
      </c>
      <c r="B396" s="42" t="s">
        <v>650</v>
      </c>
      <c r="C396" s="37" t="str" cm="1">
        <f t="array" aca="1" ref="C396" ca="1">INDEX('SAP Customer Data'!$A:$AC,MATCH(بيانات_العملاء[[#This Row],[رمز شريك الأعمال]],'SAP Customer Data'!$B:$B,0),CELL("col",Table_Customer_Data[[#Headers],[CardName]]))</f>
        <v>مؤسسة توهج الاضاءة التجارية - نقدي</v>
      </c>
      <c r="D396" s="37" t="str">
        <f ca="1">IF(بيانات_العملاء[[#This Row],[حد الائتمان على SAP]]&gt;0,"آجل","نقدى")</f>
        <v>نقدى</v>
      </c>
      <c r="E396" s="37"/>
      <c r="F396" s="37" t="s">
        <v>1082</v>
      </c>
      <c r="G396" s="37"/>
      <c r="H39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6" s="37" t="s">
        <v>856</v>
      </c>
      <c r="J396" s="38"/>
      <c r="K396" s="37"/>
      <c r="L396" s="37" t="str">
        <f ca="1">IF(AND(بيانات_العملاء[[#This Row],[السجل التجارى]]="موجود",TODAY()+'Other Data'!$B$23&lt;J396,بيانات_العملاء[[#This Row],[مطابقة اسم العميل بالاسم بالسجل التجارى]]="مطابق"), "سارى", "يجب اعادة طلبه")</f>
        <v>يجب اعادة طلبه</v>
      </c>
      <c r="M396" s="37" t="s">
        <v>854</v>
      </c>
      <c r="N396" s="39" t="str" cm="1">
        <f t="array" aca="1" ref="N396" ca="1">INDEX('SAP Customer Data'!$A:$AC,MATCH(بيانات_العملاء[[#This Row],[رمز شريك الأعمال]],'SAP Customer Data'!$B:$B,0),CELL("col",Table_Customer_Data[[#Headers],[LicTradNum]]))</f>
        <v>310239914500003</v>
      </c>
      <c r="O39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6" s="37"/>
      <c r="Q396" s="38"/>
      <c r="R39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6" s="37" t="s">
        <v>1080</v>
      </c>
      <c r="T396" s="40"/>
      <c r="U396" s="41"/>
      <c r="V39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6" s="37" cm="1">
        <f t="array" aca="1" ref="X396" ca="1">INDEX('SAP Customer Data'!$A:$AC,MATCH(بيانات_العملاء[[#This Row],[رمز شريك الأعمال]],'SAP Customer Data'!$B:$B,0),CELL("col",Table_Customer_Data[[#Headers],[CreditLine]]))</f>
        <v>0</v>
      </c>
      <c r="Y39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6" s="37"/>
      <c r="AA39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6" s="37"/>
      <c r="AC396" s="37"/>
      <c r="AD39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6" s="37"/>
      <c r="AF396" s="37"/>
      <c r="AG39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6" s="37"/>
      <c r="AI396" s="37"/>
      <c r="AJ39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6" s="37"/>
      <c r="AL396" s="38"/>
      <c r="AM39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6" s="37"/>
      <c r="AO396" s="41"/>
      <c r="AP39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6" s="37"/>
      <c r="AR396" s="37"/>
      <c r="AS39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6" s="41" cm="1">
        <f t="array" aca="1" ref="AT396" ca="1">INDEX('SAP Customer Data'!A:Z,MATCH(بيانات_العملاء[[#This Row],[رمز شريك الأعمال]],'SAP Customer Data'!B:B,0),CELL("col",Table_Customer_Data[[#Headers],[CreateDate]]))</f>
        <v>44415</v>
      </c>
      <c r="AU396" s="37"/>
      <c r="AV396" s="41"/>
      <c r="AW396" s="37" t="s">
        <v>2097</v>
      </c>
      <c r="AX396" s="37"/>
    </row>
    <row r="397" spans="1:50" s="71" customFormat="1" x14ac:dyDescent="0.25">
      <c r="A397" s="36" t="str" cm="1">
        <f t="array" aca="1" ref="A397" ca="1">INDEX('SAP Customer Data'!$A:$AC,MATCH(بيانات_العملاء[[#This Row],[رمز شريك الأعمال]],'SAP Customer Data'!$B:$B,0),CELL("col",Table_Customer_Data[[#Headers],[GroupName]]))</f>
        <v>CS06</v>
      </c>
      <c r="B397" s="35" t="s">
        <v>730</v>
      </c>
      <c r="C397" s="37" t="str" cm="1">
        <f t="array" aca="1" ref="C397" ca="1">INDEX('SAP Customer Data'!$A:$AC,MATCH(بيانات_العملاء[[#This Row],[رمز شريك الأعمال]],'SAP Customer Data'!$B:$B,0),CELL("col",Table_Customer_Data[[#Headers],[CardName]]))</f>
        <v>شركة القناعة الحديثة التجارية -نقدي</v>
      </c>
      <c r="D397" s="37" t="str">
        <f ca="1">IF(بيانات_العملاء[[#This Row],[حد الائتمان على SAP]]&gt;0,"آجل","نقدى")</f>
        <v>نقدى</v>
      </c>
      <c r="E397" s="37"/>
      <c r="F397" s="37" t="s">
        <v>908</v>
      </c>
      <c r="G397" s="37" t="s">
        <v>856</v>
      </c>
      <c r="H39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7" s="37" t="s">
        <v>854</v>
      </c>
      <c r="J397" s="38">
        <v>44983</v>
      </c>
      <c r="K397" s="37" t="s">
        <v>855</v>
      </c>
      <c r="L397" s="37" t="str">
        <f ca="1">IF(AND(بيانات_العملاء[[#This Row],[السجل التجارى]]="موجود",TODAY()+'Other Data'!$B$23&lt;J397,بيانات_العملاء[[#This Row],[مطابقة اسم العميل بالاسم بالسجل التجارى]]="مطابق"), "سارى", "يجب اعادة طلبه")</f>
        <v>يجب اعادة طلبه</v>
      </c>
      <c r="M397" s="37" t="s">
        <v>854</v>
      </c>
      <c r="N397" s="39" t="str" cm="1">
        <f t="array" aca="1" ref="N397" ca="1">INDEX('SAP Customer Data'!$A:$AC,MATCH(بيانات_العملاء[[#This Row],[رمز شريك الأعمال]],'SAP Customer Data'!$B:$B,0),CELL("col",Table_Customer_Data[[#Headers],[LicTradNum]]))</f>
        <v>311227034400003</v>
      </c>
      <c r="O39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7" s="37" t="s">
        <v>854</v>
      </c>
      <c r="Q397" s="38">
        <v>44854</v>
      </c>
      <c r="R39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397" s="37" t="s">
        <v>1080</v>
      </c>
      <c r="T397" s="40"/>
      <c r="U397" s="41"/>
      <c r="V39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7" s="37" cm="1">
        <f t="array" aca="1" ref="X397" ca="1">INDEX('SAP Customer Data'!$A:$AC,MATCH(بيانات_العملاء[[#This Row],[رمز شريك الأعمال]],'SAP Customer Data'!$B:$B,0),CELL("col",Table_Customer_Data[[#Headers],[CreditLine]]))</f>
        <v>0</v>
      </c>
      <c r="Y39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7" s="37"/>
      <c r="AA39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7" s="37" t="s">
        <v>856</v>
      </c>
      <c r="AC397" s="37"/>
      <c r="AD39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7" s="37" t="s">
        <v>856</v>
      </c>
      <c r="AF397" s="37"/>
      <c r="AG39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7" s="37" t="s">
        <v>856</v>
      </c>
      <c r="AI397" s="37"/>
      <c r="AJ39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7" s="37" t="s">
        <v>856</v>
      </c>
      <c r="AL397" s="38"/>
      <c r="AM39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7" s="37" t="s">
        <v>856</v>
      </c>
      <c r="AO397" s="41"/>
      <c r="AP39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7" s="37" t="s">
        <v>856</v>
      </c>
      <c r="AR397" s="37"/>
      <c r="AS39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7" s="41" cm="1">
        <f t="array" aca="1" ref="AT397" ca="1">INDEX('SAP Customer Data'!A:Z,MATCH(بيانات_العملاء[[#This Row],[رمز شريك الأعمال]],'SAP Customer Data'!B:B,0),CELL("col",Table_Customer_Data[[#Headers],[CreateDate]]))</f>
        <v>44775</v>
      </c>
      <c r="AU397" s="37"/>
      <c r="AV397" s="41"/>
      <c r="AW397" s="37" t="s">
        <v>2097</v>
      </c>
      <c r="AX397" s="37"/>
    </row>
    <row r="398" spans="1:50" x14ac:dyDescent="0.25">
      <c r="A398" s="36" t="str" cm="1">
        <f t="array" aca="1" ref="A398" ca="1">INDEX('SAP Customer Data'!$A:$AC,MATCH(بيانات_العملاء[[#This Row],[رمز شريك الأعمال]],'SAP Customer Data'!$B:$B,0),CELL("col",Table_Customer_Data[[#Headers],[GroupName]]))</f>
        <v>CS06</v>
      </c>
      <c r="B398" s="35" t="s">
        <v>634</v>
      </c>
      <c r="C398" s="37" t="str" cm="1">
        <f t="array" aca="1" ref="C398" ca="1">INDEX('SAP Customer Data'!$A:$AC,MATCH(بيانات_العملاء[[#This Row],[رمز شريك الأعمال]],'SAP Customer Data'!$B:$B,0),CELL("col",Table_Customer_Data[[#Headers],[CardName]]))</f>
        <v>مؤسسة ميسان العربية للتجارة - نقدي</v>
      </c>
      <c r="D398" s="37" t="str">
        <f ca="1">IF(بيانات_العملاء[[#This Row],[حد الائتمان على SAP]]&gt;0,"آجل","نقدى")</f>
        <v>نقدى</v>
      </c>
      <c r="E398" s="37" t="s">
        <v>1599</v>
      </c>
      <c r="F398" s="37" t="s">
        <v>1081</v>
      </c>
      <c r="G398" s="37" t="s">
        <v>856</v>
      </c>
      <c r="H39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8" s="37" t="s">
        <v>854</v>
      </c>
      <c r="J398" s="38">
        <v>44993</v>
      </c>
      <c r="K398" s="37" t="s">
        <v>859</v>
      </c>
      <c r="L398" s="37" t="str">
        <f ca="1">IF(AND(بيانات_العملاء[[#This Row],[السجل التجارى]]="موجود",TODAY()+'Other Data'!$B$23&lt;J398,بيانات_العملاء[[#This Row],[مطابقة اسم العميل بالاسم بالسجل التجارى]]="مطابق"), "سارى", "يجب اعادة طلبه")</f>
        <v>يجب اعادة طلبه</v>
      </c>
      <c r="M398" s="37" t="s">
        <v>854</v>
      </c>
      <c r="N398" s="39" t="str" cm="1">
        <f t="array" aca="1" ref="N398" ca="1">INDEX('SAP Customer Data'!$A:$AC,MATCH(بيانات_العملاء[[#This Row],[رمز شريك الأعمال]],'SAP Customer Data'!$B:$B,0),CELL("col",Table_Customer_Data[[#Headers],[LicTradNum]]))</f>
        <v>311230827400003</v>
      </c>
      <c r="O39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8" s="37" t="s">
        <v>854</v>
      </c>
      <c r="Q398" s="38">
        <v>45238</v>
      </c>
      <c r="R39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398" s="37" t="s">
        <v>1080</v>
      </c>
      <c r="T398" s="40"/>
      <c r="U398" s="41"/>
      <c r="V39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8" s="37" cm="1">
        <f t="array" aca="1" ref="X398" ca="1">INDEX('SAP Customer Data'!$A:$AC,MATCH(بيانات_العملاء[[#This Row],[رمز شريك الأعمال]],'SAP Customer Data'!$B:$B,0),CELL("col",Table_Customer_Data[[#Headers],[CreditLine]]))</f>
        <v>0</v>
      </c>
      <c r="Y39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8" s="37"/>
      <c r="AA39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8" s="37" t="s">
        <v>856</v>
      </c>
      <c r="AC398" s="37"/>
      <c r="AD39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8" s="37" t="s">
        <v>856</v>
      </c>
      <c r="AF398" s="37"/>
      <c r="AG39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398" s="37" t="s">
        <v>856</v>
      </c>
      <c r="AI398" s="37"/>
      <c r="AJ39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398" s="37" t="s">
        <v>856</v>
      </c>
      <c r="AL398" s="38"/>
      <c r="AM39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8" s="37" t="s">
        <v>856</v>
      </c>
      <c r="AO398" s="41"/>
      <c r="AP39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8" s="37" t="s">
        <v>856</v>
      </c>
      <c r="AR398" s="37"/>
      <c r="AS39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398" s="41" cm="1">
        <f t="array" aca="1" ref="AT398" ca="1">INDEX('SAP Customer Data'!A:Z,MATCH(بيانات_العملاء[[#This Row],[رمز شريك الأعمال]],'SAP Customer Data'!B:B,0),CELL("col",Table_Customer_Data[[#Headers],[CreateDate]]))</f>
        <v>44377</v>
      </c>
      <c r="AU398" s="37"/>
      <c r="AV398" s="41" t="s">
        <v>2273</v>
      </c>
      <c r="AW398" s="37" t="s">
        <v>2097</v>
      </c>
      <c r="AX398" s="37"/>
    </row>
    <row r="399" spans="1:50" x14ac:dyDescent="0.25">
      <c r="A399" s="36" t="str" cm="1">
        <f t="array" aca="1" ref="A399" ca="1">INDEX('SAP Customer Data'!$A:$AC,MATCH(بيانات_العملاء[[#This Row],[رمز شريك الأعمال]],'SAP Customer Data'!$B:$B,0),CELL("col",Table_Customer_Data[[#Headers],[GroupName]]))</f>
        <v>CS06</v>
      </c>
      <c r="B399" s="35" t="s">
        <v>621</v>
      </c>
      <c r="C399" s="37" t="s">
        <v>622</v>
      </c>
      <c r="D399" s="37" t="str">
        <f ca="1">IF(بيانات_العملاء[[#This Row],[حد الائتمان على SAP]]&gt;0,"آجل","نقدى")</f>
        <v>نقدى</v>
      </c>
      <c r="E399" s="37" t="s">
        <v>2192</v>
      </c>
      <c r="F399" s="37" t="s">
        <v>1081</v>
      </c>
      <c r="G399" s="37" t="s">
        <v>856</v>
      </c>
      <c r="H39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399" s="37" t="s">
        <v>854</v>
      </c>
      <c r="J399" s="38">
        <v>44577</v>
      </c>
      <c r="K399" s="41" t="s">
        <v>855</v>
      </c>
      <c r="L399" s="37" t="str">
        <f ca="1">IF(AND(بيانات_العملاء[[#This Row],[السجل التجارى]]="موجود",TODAY()+'Other Data'!$B$23&lt;J399,بيانات_العملاء[[#This Row],[مطابقة اسم العميل بالاسم بالسجل التجارى]]="مطابق"), "سارى", "يجب اعادة طلبه")</f>
        <v>يجب اعادة طلبه</v>
      </c>
      <c r="M399" s="37" t="s">
        <v>854</v>
      </c>
      <c r="N399" s="39" t="str" cm="1">
        <f t="array" aca="1" ref="N399" ca="1">INDEX('SAP Customer Data'!$A:$AC,MATCH(بيانات_العملاء[[#This Row],[رمز شريك الأعمال]],'SAP Customer Data'!$B:$B,0),CELL("col",Table_Customer_Data[[#Headers],[LicTradNum]]))</f>
        <v>300452901700003</v>
      </c>
      <c r="O39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399" s="37" t="s">
        <v>854</v>
      </c>
      <c r="Q399" s="38">
        <v>44996</v>
      </c>
      <c r="R399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399" s="37" t="s">
        <v>1080</v>
      </c>
      <c r="T399" s="40"/>
      <c r="U399" s="41"/>
      <c r="V39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39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399" s="37" cm="1">
        <f t="array" aca="1" ref="X399" ca="1">INDEX('SAP Customer Data'!$A:$AC,MATCH(بيانات_العملاء[[#This Row],[رمز شريك الأعمال]],'SAP Customer Data'!$B:$B,0),CELL("col",Table_Customer_Data[[#Headers],[CreditLine]]))</f>
        <v>0</v>
      </c>
      <c r="Y39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399" s="37"/>
      <c r="AA39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399" s="37" t="s">
        <v>856</v>
      </c>
      <c r="AC399" s="37"/>
      <c r="AD399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399" s="37" t="s">
        <v>856</v>
      </c>
      <c r="AF399" s="37"/>
      <c r="AG39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399" s="37" t="s">
        <v>856</v>
      </c>
      <c r="AI399" s="37"/>
      <c r="AJ39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399" s="37" t="s">
        <v>856</v>
      </c>
      <c r="AL399" s="38"/>
      <c r="AM39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399" s="37" t="s">
        <v>856</v>
      </c>
      <c r="AO399" s="41"/>
      <c r="AP39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399" s="37" t="s">
        <v>856</v>
      </c>
      <c r="AR399" s="37"/>
      <c r="AS39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399" s="41" cm="1">
        <f t="array" aca="1" ref="AT399" ca="1">INDEX('SAP Customer Data'!A:Z,MATCH(بيانات_العملاء[[#This Row],[رمز شريك الأعمال]],'SAP Customer Data'!B:B,0),CELL("col",Table_Customer_Data[[#Headers],[CreateDate]]))</f>
        <v>44229</v>
      </c>
      <c r="AU399" s="41"/>
      <c r="AV399" s="41"/>
      <c r="AW399" s="37"/>
      <c r="AX399" s="37"/>
    </row>
    <row r="400" spans="1:50" x14ac:dyDescent="0.25">
      <c r="A400" s="36" t="str" cm="1">
        <f t="array" aca="1" ref="A400" ca="1">INDEX('SAP Customer Data'!$A:$AC,MATCH(بيانات_العملاء[[#This Row],[رمز شريك الأعمال]],'SAP Customer Data'!$B:$B,0),CELL("col",Table_Customer_Data[[#Headers],[GroupName]]))</f>
        <v>CS06</v>
      </c>
      <c r="B400" s="35" t="s">
        <v>1406</v>
      </c>
      <c r="C400" s="37" t="str" cm="1">
        <f t="array" aca="1" ref="C400" ca="1">INDEX('SAP Customer Data'!$A:$AC,MATCH(بيانات_العملاء[[#This Row],[رمز شريك الأعمال]],'SAP Customer Data'!$B:$B,0),CELL("col",Table_Customer_Data[[#Headers],[CardName]]))</f>
        <v>عميل بضمان المندوب CS06</v>
      </c>
      <c r="D400" s="37" t="str">
        <f ca="1">IF(بيانات_العملاء[[#This Row],[حد الائتمان على SAP]]&gt;0,"آجل","نقدى")</f>
        <v>نقدى</v>
      </c>
      <c r="E400" s="37"/>
      <c r="F400" s="37"/>
      <c r="G400" s="37"/>
      <c r="H40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0" s="37"/>
      <c r="J400" s="38"/>
      <c r="K400" s="41" t="str">
        <f>IF(بيانات_العملاء[[#This Row],[السجل التجارى]]="غير موجود", "غير مطابق", "")</f>
        <v/>
      </c>
      <c r="L400" s="37" t="str">
        <f ca="1">IF(AND(بيانات_العملاء[[#This Row],[السجل التجارى]]="موجود",TODAY()+'Other Data'!$B$23&lt;J400,بيانات_العملاء[[#This Row],[مطابقة اسم العميل بالاسم بالسجل التجارى]]="مطابق"), "سارى", "يجب اعادة طلبه")</f>
        <v>يجب اعادة طلبه</v>
      </c>
      <c r="M400" s="37"/>
      <c r="N400" s="39" t="str" cm="1">
        <f t="array" aca="1" ref="N400" ca="1">INDEX('SAP Customer Data'!$A:$AC,MATCH(بيانات_العملاء[[#This Row],[رمز شريك الأعمال]],'SAP Customer Data'!$B:$B,0),CELL("col",Table_Customer_Data[[#Headers],[LicTradNum]]))</f>
        <v>حازم</v>
      </c>
      <c r="O40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00" s="37"/>
      <c r="Q400" s="38"/>
      <c r="R400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00" s="37" t="s">
        <v>1080</v>
      </c>
      <c r="T400" s="40"/>
      <c r="U400" s="41"/>
      <c r="V40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0" s="37" cm="1">
        <f t="array" aca="1" ref="X400" ca="1">INDEX('SAP Customer Data'!$A:$AC,MATCH(بيانات_العملاء[[#This Row],[رمز شريك الأعمال]],'SAP Customer Data'!$B:$B,0),CELL("col",Table_Customer_Data[[#Headers],[CreditLine]]))</f>
        <v>0</v>
      </c>
      <c r="Y40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0" s="37"/>
      <c r="AA40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0" s="37"/>
      <c r="AC400" s="37"/>
      <c r="AD400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0" s="37"/>
      <c r="AF400" s="37"/>
      <c r="AG40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00" s="37"/>
      <c r="AI400" s="37"/>
      <c r="AJ40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00" s="37"/>
      <c r="AL400" s="38"/>
      <c r="AM40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0" s="37"/>
      <c r="AO400" s="41"/>
      <c r="AP40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0" s="37"/>
      <c r="AR400" s="37"/>
      <c r="AS40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00" s="41" cm="1">
        <f t="array" aca="1" ref="AT400" ca="1">INDEX('SAP Customer Data'!A:Z,MATCH(بيانات_العملاء[[#This Row],[رمز شريك الأعمال]],'SAP Customer Data'!B:B,0),CELL("col",Table_Customer_Data[[#Headers],[CreateDate]]))</f>
        <v>44305</v>
      </c>
      <c r="AU400" s="41"/>
      <c r="AV400" s="41"/>
      <c r="AW400" s="37" t="s">
        <v>2097</v>
      </c>
      <c r="AX400" s="37"/>
    </row>
    <row r="401" spans="1:50" x14ac:dyDescent="0.25">
      <c r="A401" s="36" t="str" cm="1">
        <f t="array" aca="1" ref="A401" ca="1">INDEX('SAP Customer Data'!$A:$AC,MATCH(بيانات_العملاء[[#This Row],[رمز شريك الأعمال]],'SAP Customer Data'!$B:$B,0),CELL("col",Table_Customer_Data[[#Headers],[GroupName]]))</f>
        <v>CS06</v>
      </c>
      <c r="B401" s="35" t="s">
        <v>687</v>
      </c>
      <c r="C401" s="37" t="str" cm="1">
        <f t="array" aca="1" ref="C401" ca="1">INDEX('SAP Customer Data'!$A:$AC,MATCH(بيانات_العملاء[[#This Row],[رمز شريك الأعمال]],'SAP Customer Data'!$B:$B,0),CELL("col",Table_Customer_Data[[#Headers],[CardName]]))</f>
        <v>مؤسسة الراقية انارة التجارية-نقدي</v>
      </c>
      <c r="D401" s="37" t="str">
        <f ca="1">IF(بيانات_العملاء[[#This Row],[حد الائتمان على SAP]]&gt;0,"آجل","نقدى")</f>
        <v>نقدى</v>
      </c>
      <c r="E401" s="37" t="s">
        <v>2221</v>
      </c>
      <c r="F401" s="37" t="s">
        <v>1081</v>
      </c>
      <c r="G401" s="37" t="s">
        <v>856</v>
      </c>
      <c r="H40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1" s="37" t="s">
        <v>854</v>
      </c>
      <c r="J401" s="38">
        <v>44875</v>
      </c>
      <c r="K401" s="37" t="s">
        <v>855</v>
      </c>
      <c r="L401" s="37" t="str">
        <f ca="1">IF(AND(بيانات_العملاء[[#This Row],[السجل التجارى]]="موجود",TODAY()+'Other Data'!$B$23&lt;J401,بيانات_العملاء[[#This Row],[مطابقة اسم العميل بالاسم بالسجل التجارى]]="مطابق"), "سارى", "يجب اعادة طلبه")</f>
        <v>يجب اعادة طلبه</v>
      </c>
      <c r="M401" s="37" t="s">
        <v>854</v>
      </c>
      <c r="N401" s="39" t="str" cm="1">
        <f t="array" aca="1" ref="N401" ca="1">INDEX('SAP Customer Data'!$A:$AC,MATCH(بيانات_العملاء[[#This Row],[رمز شريك الأعمال]],'SAP Customer Data'!$B:$B,0),CELL("col",Table_Customer_Data[[#Headers],[LicTradNum]]))</f>
        <v>310158422800003</v>
      </c>
      <c r="O40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1" s="37" t="s">
        <v>856</v>
      </c>
      <c r="Q401" s="38"/>
      <c r="R40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1" s="37" t="s">
        <v>1080</v>
      </c>
      <c r="T401" s="40"/>
      <c r="U401" s="41"/>
      <c r="V40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1" s="37" cm="1">
        <f t="array" aca="1" ref="X401" ca="1">INDEX('SAP Customer Data'!$A:$AC,MATCH(بيانات_العملاء[[#This Row],[رمز شريك الأعمال]],'SAP Customer Data'!$B:$B,0),CELL("col",Table_Customer_Data[[#Headers],[CreditLine]]))</f>
        <v>0</v>
      </c>
      <c r="Y40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1" s="37"/>
      <c r="AA40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1" s="37"/>
      <c r="AC401" s="37"/>
      <c r="AD40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1" s="37"/>
      <c r="AF401" s="37"/>
      <c r="AG40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1" s="37"/>
      <c r="AI401" s="37"/>
      <c r="AJ40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1" s="37"/>
      <c r="AL401" s="38"/>
      <c r="AM40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1" s="37" t="s">
        <v>856</v>
      </c>
      <c r="AO401" s="41"/>
      <c r="AP40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1" s="37"/>
      <c r="AR401" s="37"/>
      <c r="AS40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1" s="41" cm="1">
        <f t="array" aca="1" ref="AT401" ca="1">INDEX('SAP Customer Data'!A:Z,MATCH(بيانات_العملاء[[#This Row],[رمز شريك الأعمال]],'SAP Customer Data'!B:B,0),CELL("col",Table_Customer_Data[[#Headers],[CreateDate]]))</f>
        <v>44576</v>
      </c>
      <c r="AU401" s="37"/>
      <c r="AV401" s="41"/>
      <c r="AW401" s="37" t="s">
        <v>2097</v>
      </c>
      <c r="AX401" s="37"/>
    </row>
    <row r="402" spans="1:50" x14ac:dyDescent="0.25">
      <c r="A402" s="36" t="str" cm="1">
        <f t="array" aca="1" ref="A402" ca="1">INDEX('SAP Customer Data'!$A:$AC,MATCH(بيانات_العملاء[[#This Row],[رمز شريك الأعمال]],'SAP Customer Data'!$B:$B,0),CELL("col",Table_Customer_Data[[#Headers],[GroupName]]))</f>
        <v>CS06</v>
      </c>
      <c r="B402" s="42" t="s">
        <v>623</v>
      </c>
      <c r="C402" s="37" t="str" cm="1">
        <f t="array" aca="1" ref="C402" ca="1">INDEX('SAP Customer Data'!$A:$AC,MATCH(بيانات_العملاء[[#This Row],[رمز شريك الأعمال]],'SAP Customer Data'!$B:$B,0),CELL("col",Table_Customer_Data[[#Headers],[CardName]]))</f>
        <v>مؤسسة مخازن الطاقة للتجارة - نقدي</v>
      </c>
      <c r="D402" s="37" t="str">
        <f ca="1">IF(بيانات_العملاء[[#This Row],[حد الائتمان على SAP]]&gt;0,"آجل","نقدى")</f>
        <v>نقدى</v>
      </c>
      <c r="E402" s="37"/>
      <c r="F402" s="37" t="s">
        <v>1082</v>
      </c>
      <c r="G402" s="37"/>
      <c r="H40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2" s="37" t="s">
        <v>856</v>
      </c>
      <c r="J402" s="38"/>
      <c r="K402" s="37"/>
      <c r="L402" s="37" t="str">
        <f ca="1">IF(AND(بيانات_العملاء[[#This Row],[السجل التجارى]]="موجود",TODAY()+'Other Data'!$B$23&lt;J402,بيانات_العملاء[[#This Row],[مطابقة اسم العميل بالاسم بالسجل التجارى]]="مطابق"), "سارى", "يجب اعادة طلبه")</f>
        <v>يجب اعادة طلبه</v>
      </c>
      <c r="M402" s="37" t="s">
        <v>854</v>
      </c>
      <c r="N402" s="39" t="str" cm="1">
        <f t="array" aca="1" ref="N402" ca="1">INDEX('SAP Customer Data'!$A:$AC,MATCH(بيانات_العملاء[[#This Row],[رمز شريك الأعمال]],'SAP Customer Data'!$B:$B,0),CELL("col",Table_Customer_Data[[#Headers],[LicTradNum]]))</f>
        <v>310344083600003</v>
      </c>
      <c r="O40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2" s="37"/>
      <c r="Q402" s="38"/>
      <c r="R40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2" s="37" t="s">
        <v>1080</v>
      </c>
      <c r="T402" s="40"/>
      <c r="U402" s="41"/>
      <c r="V40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2" s="37" cm="1">
        <f t="array" aca="1" ref="X402" ca="1">INDEX('SAP Customer Data'!$A:$AC,MATCH(بيانات_العملاء[[#This Row],[رمز شريك الأعمال]],'SAP Customer Data'!$B:$B,0),CELL("col",Table_Customer_Data[[#Headers],[CreditLine]]))</f>
        <v>0</v>
      </c>
      <c r="Y40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2" s="37"/>
      <c r="AA40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2" s="37"/>
      <c r="AC402" s="37"/>
      <c r="AD40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2" s="37"/>
      <c r="AF402" s="37"/>
      <c r="AG40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2" s="37"/>
      <c r="AI402" s="37"/>
      <c r="AJ40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2" s="37"/>
      <c r="AL402" s="38"/>
      <c r="AM40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2" s="37"/>
      <c r="AO402" s="41"/>
      <c r="AP40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2" s="37"/>
      <c r="AR402" s="37"/>
      <c r="AS40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2" s="41" cm="1">
        <f t="array" aca="1" ref="AT402" ca="1">INDEX('SAP Customer Data'!A:Z,MATCH(بيانات_العملاء[[#This Row],[رمز شريك الأعمال]],'SAP Customer Data'!B:B,0),CELL("col",Table_Customer_Data[[#Headers],[CreateDate]]))</f>
        <v>44249</v>
      </c>
      <c r="AU402" s="37"/>
      <c r="AV402" s="41"/>
      <c r="AW402" s="37" t="s">
        <v>2097</v>
      </c>
      <c r="AX402" s="37"/>
    </row>
    <row r="403" spans="1:50" x14ac:dyDescent="0.25">
      <c r="A403" s="36" t="str" cm="1">
        <f t="array" aca="1" ref="A403" ca="1">INDEX('SAP Customer Data'!$A:$AC,MATCH(بيانات_العملاء[[#This Row],[رمز شريك الأعمال]],'SAP Customer Data'!$B:$B,0),CELL("col",Table_Customer_Data[[#Headers],[GroupName]]))</f>
        <v>CS06</v>
      </c>
      <c r="B403" s="35" t="s">
        <v>689</v>
      </c>
      <c r="C403" s="37" t="str" cm="1">
        <f t="array" aca="1" ref="C403" ca="1">INDEX('SAP Customer Data'!$A:$AC,MATCH(بيانات_العملاء[[#This Row],[رمز شريك الأعمال]],'SAP Customer Data'!$B:$B,0),CELL("col",Table_Customer_Data[[#Headers],[CardName]]))</f>
        <v>مؤسسة ديار القمة التجارية-نقدي</v>
      </c>
      <c r="D403" s="37" t="str">
        <f ca="1">IF(بيانات_العملاء[[#This Row],[حد الائتمان على SAP]]&gt;0,"آجل","نقدى")</f>
        <v>نقدى</v>
      </c>
      <c r="E403" s="37" t="s">
        <v>2222</v>
      </c>
      <c r="F403" s="37" t="s">
        <v>1081</v>
      </c>
      <c r="G403" s="37" t="s">
        <v>856</v>
      </c>
      <c r="H40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3" s="37" t="s">
        <v>854</v>
      </c>
      <c r="J403" s="38">
        <v>44926</v>
      </c>
      <c r="K403" s="37" t="s">
        <v>855</v>
      </c>
      <c r="L403" s="37" t="str">
        <f ca="1">IF(AND(بيانات_العملاء[[#This Row],[السجل التجارى]]="موجود",TODAY()+'Other Data'!$B$23&lt;J403,بيانات_العملاء[[#This Row],[مطابقة اسم العميل بالاسم بالسجل التجارى]]="مطابق"), "سارى", "يجب اعادة طلبه")</f>
        <v>يجب اعادة طلبه</v>
      </c>
      <c r="M403" s="37" t="s">
        <v>854</v>
      </c>
      <c r="N403" s="39" t="str" cm="1">
        <f t="array" aca="1" ref="N403" ca="1">INDEX('SAP Customer Data'!$A:$AC,MATCH(بيانات_العملاء[[#This Row],[رمز شريك الأعمال]],'SAP Customer Data'!$B:$B,0),CELL("col",Table_Customer_Data[[#Headers],[LicTradNum]]))</f>
        <v>300147057900003</v>
      </c>
      <c r="O40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3" s="37" t="s">
        <v>856</v>
      </c>
      <c r="Q403" s="38"/>
      <c r="R40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3" s="37" t="s">
        <v>1080</v>
      </c>
      <c r="T403" s="40"/>
      <c r="U403" s="41"/>
      <c r="V40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3" s="37" cm="1">
        <f t="array" aca="1" ref="X403" ca="1">INDEX('SAP Customer Data'!$A:$AC,MATCH(بيانات_العملاء[[#This Row],[رمز شريك الأعمال]],'SAP Customer Data'!$B:$B,0),CELL("col",Table_Customer_Data[[#Headers],[CreditLine]]))</f>
        <v>0</v>
      </c>
      <c r="Y40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3" s="37"/>
      <c r="AA40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3" s="37"/>
      <c r="AC403" s="37"/>
      <c r="AD40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3" s="37"/>
      <c r="AF403" s="37"/>
      <c r="AG40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3" s="37"/>
      <c r="AI403" s="37"/>
      <c r="AJ40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3" s="37"/>
      <c r="AL403" s="38"/>
      <c r="AM40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3" s="37" t="s">
        <v>856</v>
      </c>
      <c r="AO403" s="41"/>
      <c r="AP40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3" s="37"/>
      <c r="AR403" s="37"/>
      <c r="AS40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3" s="41" cm="1">
        <f t="array" aca="1" ref="AT403" ca="1">INDEX('SAP Customer Data'!A:Z,MATCH(بيانات_العملاء[[#This Row],[رمز شريك الأعمال]],'SAP Customer Data'!B:B,0),CELL("col",Table_Customer_Data[[#Headers],[CreateDate]]))</f>
        <v>44583</v>
      </c>
      <c r="AU403" s="37"/>
      <c r="AV403" s="41"/>
      <c r="AW403" s="37" t="s">
        <v>2097</v>
      </c>
      <c r="AX403" s="37"/>
    </row>
    <row r="404" spans="1:50" x14ac:dyDescent="0.25">
      <c r="A404" s="36" t="str" cm="1">
        <f t="array" aca="1" ref="A404" ca="1">INDEX('SAP Customer Data'!$A:$AC,MATCH(بيانات_العملاء[[#This Row],[رمز شريك الأعمال]],'SAP Customer Data'!$B:$B,0),CELL("col",Table_Customer_Data[[#Headers],[GroupName]]))</f>
        <v>CS06</v>
      </c>
      <c r="B404" s="35" t="s">
        <v>693</v>
      </c>
      <c r="C404" s="37" t="str" cm="1">
        <f t="array" aca="1" ref="C404" ca="1">INDEX('SAP Customer Data'!$A:$AC,MATCH(بيانات_العملاء[[#This Row],[رمز شريك الأعمال]],'SAP Customer Data'!$B:$B,0),CELL("col",Table_Customer_Data[[#Headers],[CardName]]))</f>
        <v>مؤسسة تقنية الانارة الحديثة التجارية-نقدي</v>
      </c>
      <c r="D404" s="37" t="str">
        <f ca="1">IF(بيانات_العملاء[[#This Row],[حد الائتمان على SAP]]&gt;0,"آجل","نقدى")</f>
        <v>نقدى</v>
      </c>
      <c r="E404" s="37" t="s">
        <v>2223</v>
      </c>
      <c r="F404" s="37" t="s">
        <v>1081</v>
      </c>
      <c r="G404" s="37" t="s">
        <v>856</v>
      </c>
      <c r="H40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4" s="37" t="s">
        <v>854</v>
      </c>
      <c r="J404" s="38">
        <v>44742</v>
      </c>
      <c r="K404" s="37" t="s">
        <v>855</v>
      </c>
      <c r="L404" s="37" t="str">
        <f ca="1">IF(AND(بيانات_العملاء[[#This Row],[السجل التجارى]]="موجود",TODAY()+'Other Data'!$B$23&lt;J404,بيانات_العملاء[[#This Row],[مطابقة اسم العميل بالاسم بالسجل التجارى]]="مطابق"), "سارى", "يجب اعادة طلبه")</f>
        <v>يجب اعادة طلبه</v>
      </c>
      <c r="M404" s="37" t="s">
        <v>854</v>
      </c>
      <c r="N404" s="39" t="str" cm="1">
        <f t="array" aca="1" ref="N404" ca="1">INDEX('SAP Customer Data'!$A:$AC,MATCH(بيانات_العملاء[[#This Row],[رمز شريك الأعمال]],'SAP Customer Data'!$B:$B,0),CELL("col",Table_Customer_Data[[#Headers],[LicTradNum]]))</f>
        <v>300130461400003</v>
      </c>
      <c r="O40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4" s="37" t="s">
        <v>856</v>
      </c>
      <c r="Q404" s="38"/>
      <c r="R40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4" s="37" t="s">
        <v>1080</v>
      </c>
      <c r="T404" s="40"/>
      <c r="U404" s="41"/>
      <c r="V40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4" s="37" cm="1">
        <f t="array" aca="1" ref="X404" ca="1">INDEX('SAP Customer Data'!$A:$AC,MATCH(بيانات_العملاء[[#This Row],[رمز شريك الأعمال]],'SAP Customer Data'!$B:$B,0),CELL("col",Table_Customer_Data[[#Headers],[CreditLine]]))</f>
        <v>0</v>
      </c>
      <c r="Y40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4" s="37"/>
      <c r="AA40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4" s="37"/>
      <c r="AC404" s="37"/>
      <c r="AD40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4" s="37"/>
      <c r="AF404" s="37"/>
      <c r="AG40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4" s="37"/>
      <c r="AI404" s="37"/>
      <c r="AJ40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4" s="37"/>
      <c r="AL404" s="38"/>
      <c r="AM40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4" s="37" t="s">
        <v>856</v>
      </c>
      <c r="AO404" s="41"/>
      <c r="AP40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4" s="37"/>
      <c r="AR404" s="37"/>
      <c r="AS40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4" s="41" cm="1">
        <f t="array" aca="1" ref="AT404" ca="1">INDEX('SAP Customer Data'!A:Z,MATCH(بيانات_العملاء[[#This Row],[رمز شريك الأعمال]],'SAP Customer Data'!B:B,0),CELL("col",Table_Customer_Data[[#Headers],[CreateDate]]))</f>
        <v>44591</v>
      </c>
      <c r="AU404" s="37"/>
      <c r="AV404" s="41"/>
      <c r="AW404" s="37" t="s">
        <v>2097</v>
      </c>
      <c r="AX404" s="37"/>
    </row>
    <row r="405" spans="1:50" x14ac:dyDescent="0.25">
      <c r="A405" s="36" t="str" cm="1">
        <f t="array" aca="1" ref="A405" ca="1">INDEX('SAP Customer Data'!$A:$AC,MATCH(بيانات_العملاء[[#This Row],[رمز شريك الأعمال]],'SAP Customer Data'!$B:$B,0),CELL("col",Table_Customer_Data[[#Headers],[GroupName]]))</f>
        <v>CS06</v>
      </c>
      <c r="B405" s="42" t="s">
        <v>669</v>
      </c>
      <c r="C405" s="37" t="str" cm="1">
        <f t="array" aca="1" ref="C405" ca="1">INDEX('SAP Customer Data'!$A:$AC,MATCH(بيانات_العملاء[[#This Row],[رمز شريك الأعمال]],'SAP Customer Data'!$B:$B,0),CELL("col",Table_Customer_Data[[#Headers],[CardName]]))</f>
        <v>مؤسسة شروق للإنارة التجارية - نقدي</v>
      </c>
      <c r="D405" s="37" t="str">
        <f ca="1">IF(بيانات_العملاء[[#This Row],[حد الائتمان على SAP]]&gt;0,"آجل","نقدى")</f>
        <v>نقدى</v>
      </c>
      <c r="E405" s="37"/>
      <c r="F405" s="37" t="s">
        <v>1082</v>
      </c>
      <c r="G405" s="37"/>
      <c r="H40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5" s="37" t="s">
        <v>856</v>
      </c>
      <c r="J405" s="38"/>
      <c r="K405" s="37"/>
      <c r="L405" s="37" t="str">
        <f ca="1">IF(AND(بيانات_العملاء[[#This Row],[السجل التجارى]]="موجود",TODAY()+'Other Data'!$B$23&lt;J405,بيانات_العملاء[[#This Row],[مطابقة اسم العميل بالاسم بالسجل التجارى]]="مطابق"), "سارى", "يجب اعادة طلبه")</f>
        <v>يجب اعادة طلبه</v>
      </c>
      <c r="M405" s="37" t="s">
        <v>854</v>
      </c>
      <c r="N405" s="39" t="str" cm="1">
        <f t="array" aca="1" ref="N405" ca="1">INDEX('SAP Customer Data'!$A:$AC,MATCH(بيانات_العملاء[[#This Row],[رمز شريك الأعمال]],'SAP Customer Data'!$B:$B,0),CELL("col",Table_Customer_Data[[#Headers],[LicTradNum]]))</f>
        <v>310523644200003</v>
      </c>
      <c r="O40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5" s="37"/>
      <c r="Q405" s="38"/>
      <c r="R40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5" s="37" t="s">
        <v>1080</v>
      </c>
      <c r="T405" s="40"/>
      <c r="U405" s="41"/>
      <c r="V40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5" s="37" cm="1">
        <f t="array" aca="1" ref="X405" ca="1">INDEX('SAP Customer Data'!$A:$AC,MATCH(بيانات_العملاء[[#This Row],[رمز شريك الأعمال]],'SAP Customer Data'!$B:$B,0),CELL("col",Table_Customer_Data[[#Headers],[CreditLine]]))</f>
        <v>0</v>
      </c>
      <c r="Y40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5" s="37"/>
      <c r="AA40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5" s="37"/>
      <c r="AC405" s="37"/>
      <c r="AD40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5" s="37"/>
      <c r="AF405" s="37"/>
      <c r="AG40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5" s="37"/>
      <c r="AI405" s="37"/>
      <c r="AJ40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5" s="37"/>
      <c r="AL405" s="38"/>
      <c r="AM40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5" s="37"/>
      <c r="AO405" s="41"/>
      <c r="AP40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5" s="37"/>
      <c r="AR405" s="37"/>
      <c r="AS40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5" s="41" cm="1">
        <f t="array" aca="1" ref="AT405" ca="1">INDEX('SAP Customer Data'!A:Z,MATCH(بيانات_العملاء[[#This Row],[رمز شريك الأعمال]],'SAP Customer Data'!B:B,0),CELL("col",Table_Customer_Data[[#Headers],[CreateDate]]))</f>
        <v>44474</v>
      </c>
      <c r="AU405" s="37"/>
      <c r="AV405" s="41"/>
      <c r="AW405" s="37" t="s">
        <v>2097</v>
      </c>
      <c r="AX405" s="37"/>
    </row>
    <row r="406" spans="1:50" x14ac:dyDescent="0.25">
      <c r="A406" s="36" t="str" cm="1">
        <f t="array" aca="1" ref="A406" ca="1">INDEX('SAP Customer Data'!$A:$AC,MATCH(بيانات_العملاء[[#This Row],[رمز شريك الأعمال]],'SAP Customer Data'!$B:$B,0),CELL("col",Table_Customer_Data[[#Headers],[GroupName]]))</f>
        <v>CS06</v>
      </c>
      <c r="B406" s="35" t="s">
        <v>695</v>
      </c>
      <c r="C406" s="37" t="str" cm="1">
        <f t="array" aca="1" ref="C406" ca="1">INDEX('SAP Customer Data'!$A:$AC,MATCH(بيانات_العملاء[[#This Row],[رمز شريك الأعمال]],'SAP Customer Data'!$B:$B,0),CELL("col",Table_Customer_Data[[#Headers],[CardName]]))</f>
        <v>مؤسسةخالد قويدر الحسن عبدالحق للتجلرة-نقدي</v>
      </c>
      <c r="D406" s="37" t="str">
        <f ca="1">IF(بيانات_العملاء[[#This Row],[حد الائتمان على SAP]]&gt;0,"آجل","نقدى")</f>
        <v>نقدى</v>
      </c>
      <c r="E406" s="37" t="s">
        <v>2224</v>
      </c>
      <c r="F406" s="37" t="s">
        <v>1081</v>
      </c>
      <c r="G406" s="37" t="s">
        <v>856</v>
      </c>
      <c r="H40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6" s="37" t="s">
        <v>854</v>
      </c>
      <c r="J406" s="38">
        <v>44372</v>
      </c>
      <c r="K406" s="37" t="s">
        <v>855</v>
      </c>
      <c r="L406" s="37" t="str">
        <f ca="1">IF(AND(بيانات_العملاء[[#This Row],[السجل التجارى]]="موجود",TODAY()+'Other Data'!$B$23&lt;J406,بيانات_العملاء[[#This Row],[مطابقة اسم العميل بالاسم بالسجل التجارى]]="مطابق"), "سارى", "يجب اعادة طلبه")</f>
        <v>يجب اعادة طلبه</v>
      </c>
      <c r="M406" s="37" t="s">
        <v>854</v>
      </c>
      <c r="N406" s="39" t="str" cm="1">
        <f t="array" aca="1" ref="N406" ca="1">INDEX('SAP Customer Data'!$A:$AC,MATCH(بيانات_العملاء[[#This Row],[رمز شريك الأعمال]],'SAP Customer Data'!$B:$B,0),CELL("col",Table_Customer_Data[[#Headers],[LicTradNum]]))</f>
        <v>300558868700003</v>
      </c>
      <c r="O40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6" s="37" t="s">
        <v>856</v>
      </c>
      <c r="Q406" s="38"/>
      <c r="R40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6" s="37" t="s">
        <v>1080</v>
      </c>
      <c r="T406" s="40"/>
      <c r="U406" s="41"/>
      <c r="V40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6" s="37" cm="1">
        <f t="array" aca="1" ref="X406" ca="1">INDEX('SAP Customer Data'!$A:$AC,MATCH(بيانات_العملاء[[#This Row],[رمز شريك الأعمال]],'SAP Customer Data'!$B:$B,0),CELL("col",Table_Customer_Data[[#Headers],[CreditLine]]))</f>
        <v>0</v>
      </c>
      <c r="Y40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6" s="37"/>
      <c r="AA40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6" s="37"/>
      <c r="AC406" s="37"/>
      <c r="AD40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6" s="37"/>
      <c r="AF406" s="37"/>
      <c r="AG40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6" s="37"/>
      <c r="AI406" s="37"/>
      <c r="AJ40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6" s="37"/>
      <c r="AL406" s="38"/>
      <c r="AM40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6" s="37" t="s">
        <v>856</v>
      </c>
      <c r="AO406" s="41"/>
      <c r="AP40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6" s="37"/>
      <c r="AR406" s="37"/>
      <c r="AS40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6" s="41" cm="1">
        <f t="array" aca="1" ref="AT406" ca="1">INDEX('SAP Customer Data'!A:Z,MATCH(بيانات_العملاء[[#This Row],[رمز شريك الأعمال]],'SAP Customer Data'!B:B,0),CELL("col",Table_Customer_Data[[#Headers],[CreateDate]]))</f>
        <v>44598</v>
      </c>
      <c r="AU406" s="37"/>
      <c r="AV406" s="41"/>
      <c r="AW406" s="37" t="s">
        <v>2097</v>
      </c>
      <c r="AX406" s="37"/>
    </row>
    <row r="407" spans="1:50" x14ac:dyDescent="0.25">
      <c r="A407" s="36" t="str" cm="1">
        <f t="array" aca="1" ref="A407" ca="1">INDEX('SAP Customer Data'!$A:$AC,MATCH(بيانات_العملاء[[#This Row],[رمز شريك الأعمال]],'SAP Customer Data'!$B:$B,0),CELL("col",Table_Customer_Data[[#Headers],[GroupName]]))</f>
        <v>CS06</v>
      </c>
      <c r="B407" s="42" t="s">
        <v>675</v>
      </c>
      <c r="C407" s="37" t="str" cm="1">
        <f t="array" aca="1" ref="C407" ca="1">INDEX('SAP Customer Data'!$A:$AC,MATCH(بيانات_العملاء[[#This Row],[رمز شريك الأعمال]],'SAP Customer Data'!$B:$B,0),CELL("col",Table_Customer_Data[[#Headers],[CardName]]))</f>
        <v>مؤسسة مها بنت جعفر ابن كرامة العامري   - نقدي</v>
      </c>
      <c r="D407" s="37" t="str">
        <f ca="1">IF(بيانات_العملاء[[#This Row],[حد الائتمان على SAP]]&gt;0,"آجل","نقدى")</f>
        <v>نقدى</v>
      </c>
      <c r="E407" s="37"/>
      <c r="F407" s="37" t="s">
        <v>1082</v>
      </c>
      <c r="G407" s="37"/>
      <c r="H40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7" s="37" t="s">
        <v>856</v>
      </c>
      <c r="J407" s="38"/>
      <c r="K407" s="37"/>
      <c r="L407" s="37" t="str">
        <f ca="1">IF(AND(بيانات_العملاء[[#This Row],[السجل التجارى]]="موجود",TODAY()+'Other Data'!$B$23&lt;J407,بيانات_العملاء[[#This Row],[مطابقة اسم العميل بالاسم بالسجل التجارى]]="مطابق"), "سارى", "يجب اعادة طلبه")</f>
        <v>يجب اعادة طلبه</v>
      </c>
      <c r="M407" s="37" t="s">
        <v>854</v>
      </c>
      <c r="N407" s="39" t="str" cm="1">
        <f t="array" aca="1" ref="N407" ca="1">INDEX('SAP Customer Data'!$A:$AC,MATCH(بيانات_العملاء[[#This Row],[رمز شريك الأعمال]],'SAP Customer Data'!$B:$B,0),CELL("col",Table_Customer_Data[[#Headers],[LicTradNum]]))</f>
        <v>310576929200003</v>
      </c>
      <c r="O40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7" s="37"/>
      <c r="Q407" s="38"/>
      <c r="R40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7" s="37" t="s">
        <v>1080</v>
      </c>
      <c r="T407" s="40"/>
      <c r="U407" s="41"/>
      <c r="V40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7" s="37" cm="1">
        <f t="array" aca="1" ref="X407" ca="1">INDEX('SAP Customer Data'!$A:$AC,MATCH(بيانات_العملاء[[#This Row],[رمز شريك الأعمال]],'SAP Customer Data'!$B:$B,0),CELL("col",Table_Customer_Data[[#Headers],[CreditLine]]))</f>
        <v>0</v>
      </c>
      <c r="Y40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7" s="37"/>
      <c r="AA40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7" s="37"/>
      <c r="AC407" s="37"/>
      <c r="AD40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7" s="37"/>
      <c r="AF407" s="37"/>
      <c r="AG40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7" s="37"/>
      <c r="AI407" s="37"/>
      <c r="AJ40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7" s="37"/>
      <c r="AL407" s="38"/>
      <c r="AM40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7" s="37"/>
      <c r="AO407" s="41"/>
      <c r="AP40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7" s="37"/>
      <c r="AR407" s="37"/>
      <c r="AS40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7" s="41" cm="1">
        <f t="array" aca="1" ref="AT407" ca="1">INDEX('SAP Customer Data'!A:Z,MATCH(بيانات_العملاء[[#This Row],[رمز شريك الأعمال]],'SAP Customer Data'!B:B,0),CELL("col",Table_Customer_Data[[#Headers],[CreateDate]]))</f>
        <v>44531</v>
      </c>
      <c r="AU407" s="37"/>
      <c r="AV407" s="41"/>
      <c r="AW407" s="37" t="s">
        <v>2097</v>
      </c>
      <c r="AX407" s="37"/>
    </row>
    <row r="408" spans="1:50" x14ac:dyDescent="0.25">
      <c r="A408" s="36" t="str" cm="1">
        <f t="array" aca="1" ref="A408" ca="1">INDEX('SAP Customer Data'!$A:$AC,MATCH(بيانات_العملاء[[#This Row],[رمز شريك الأعمال]],'SAP Customer Data'!$B:$B,0),CELL("col",Table_Customer_Data[[#Headers],[GroupName]]))</f>
        <v>CS06</v>
      </c>
      <c r="B408" s="42" t="s">
        <v>683</v>
      </c>
      <c r="C408" s="37" t="str" cm="1">
        <f t="array" aca="1" ref="C408" ca="1">INDEX('SAP Customer Data'!$A:$AC,MATCH(بيانات_العملاء[[#This Row],[رمز شريك الأعمال]],'SAP Customer Data'!$B:$B,0),CELL("col",Table_Customer_Data[[#Headers],[CardName]]))</f>
        <v>مؤسسة سليماء علي سعدالقرني-نقدي</v>
      </c>
      <c r="D408" s="37" t="str">
        <f ca="1">IF(بيانات_العملاء[[#This Row],[حد الائتمان على SAP]]&gt;0,"آجل","نقدى")</f>
        <v>نقدى</v>
      </c>
      <c r="E408" s="37"/>
      <c r="F408" s="37" t="s">
        <v>1082</v>
      </c>
      <c r="G408" s="37"/>
      <c r="H40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8" s="37" t="s">
        <v>856</v>
      </c>
      <c r="J408" s="38"/>
      <c r="K408" s="37"/>
      <c r="L408" s="37" t="str">
        <f ca="1">IF(AND(بيانات_العملاء[[#This Row],[السجل التجارى]]="موجود",TODAY()+'Other Data'!$B$23&lt;J408,بيانات_العملاء[[#This Row],[مطابقة اسم العميل بالاسم بالسجل التجارى]]="مطابق"), "سارى", "يجب اعادة طلبه")</f>
        <v>يجب اعادة طلبه</v>
      </c>
      <c r="M408" s="37" t="s">
        <v>854</v>
      </c>
      <c r="N408" s="39" t="str" cm="1">
        <f t="array" aca="1" ref="N408" ca="1">INDEX('SAP Customer Data'!$A:$AC,MATCH(بيانات_العملاء[[#This Row],[رمز شريك الأعمال]],'SAP Customer Data'!$B:$B,0),CELL("col",Table_Customer_Data[[#Headers],[LicTradNum]]))</f>
        <v>310734275200003</v>
      </c>
      <c r="O40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8" s="37"/>
      <c r="Q408" s="38"/>
      <c r="R40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8" s="37" t="s">
        <v>1080</v>
      </c>
      <c r="T408" s="40"/>
      <c r="U408" s="41"/>
      <c r="V40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8" s="37" cm="1">
        <f t="array" aca="1" ref="X408" ca="1">INDEX('SAP Customer Data'!$A:$AC,MATCH(بيانات_العملاء[[#This Row],[رمز شريك الأعمال]],'SAP Customer Data'!$B:$B,0),CELL("col",Table_Customer_Data[[#Headers],[CreditLine]]))</f>
        <v>0</v>
      </c>
      <c r="Y40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8" s="37"/>
      <c r="AA40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8" s="37"/>
      <c r="AC408" s="37"/>
      <c r="AD40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8" s="37"/>
      <c r="AF408" s="37"/>
      <c r="AG40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8" s="37"/>
      <c r="AI408" s="37"/>
      <c r="AJ40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8" s="37"/>
      <c r="AL408" s="38"/>
      <c r="AM40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8" s="37"/>
      <c r="AO408" s="41"/>
      <c r="AP40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8" s="37"/>
      <c r="AR408" s="37"/>
      <c r="AS40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8" s="41" cm="1">
        <f t="array" aca="1" ref="AT408" ca="1">INDEX('SAP Customer Data'!A:Z,MATCH(بيانات_العملاء[[#This Row],[رمز شريك الأعمال]],'SAP Customer Data'!B:B,0),CELL("col",Table_Customer_Data[[#Headers],[CreateDate]]))</f>
        <v>44555</v>
      </c>
      <c r="AU408" s="37"/>
      <c r="AV408" s="41"/>
      <c r="AW408" s="37" t="s">
        <v>2097</v>
      </c>
      <c r="AX408" s="37"/>
    </row>
    <row r="409" spans="1:50" x14ac:dyDescent="0.25">
      <c r="A409" s="36" t="str" cm="1">
        <f t="array" aca="1" ref="A409" ca="1">INDEX('SAP Customer Data'!$A:$AC,MATCH(بيانات_العملاء[[#This Row],[رمز شريك الأعمال]],'SAP Customer Data'!$B:$B,0),CELL("col",Table_Customer_Data[[#Headers],[GroupName]]))</f>
        <v>CS06</v>
      </c>
      <c r="B409" s="35" t="s">
        <v>699</v>
      </c>
      <c r="C409" s="37" t="str" cm="1">
        <f t="array" aca="1" ref="C409" ca="1">INDEX('SAP Customer Data'!$A:$AC,MATCH(بيانات_العملاء[[#This Row],[رمز شريك الأعمال]],'SAP Customer Data'!$B:$B,0),CELL("col",Table_Customer_Data[[#Headers],[CardName]]))</f>
        <v>مؤسسةمشاري الحسين الشريف التجارية-نقدي</v>
      </c>
      <c r="D409" s="37" t="str">
        <f ca="1">IF(بيانات_العملاء[[#This Row],[حد الائتمان على SAP]]&gt;0,"آجل","نقدى")</f>
        <v>نقدى</v>
      </c>
      <c r="E409" s="37"/>
      <c r="F409" s="37" t="s">
        <v>1082</v>
      </c>
      <c r="G409" s="37" t="s">
        <v>856</v>
      </c>
      <c r="H40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09" s="37" t="s">
        <v>856</v>
      </c>
      <c r="J409" s="38"/>
      <c r="K409" s="37"/>
      <c r="L409" s="37" t="str">
        <f ca="1">IF(AND(بيانات_العملاء[[#This Row],[السجل التجارى]]="موجود",TODAY()+'Other Data'!$B$23&lt;J409,بيانات_العملاء[[#This Row],[مطابقة اسم العميل بالاسم بالسجل التجارى]]="مطابق"), "سارى", "يجب اعادة طلبه")</f>
        <v>يجب اعادة طلبه</v>
      </c>
      <c r="M409" s="37" t="s">
        <v>854</v>
      </c>
      <c r="N409" s="39" t="str" cm="1">
        <f t="array" aca="1" ref="N409" ca="1">INDEX('SAP Customer Data'!$A:$AC,MATCH(بيانات_العملاء[[#This Row],[رمز شريك الأعمال]],'SAP Customer Data'!$B:$B,0),CELL("col",Table_Customer_Data[[#Headers],[LicTradNum]]))</f>
        <v>302058154900003</v>
      </c>
      <c r="O40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09" s="37" t="s">
        <v>854</v>
      </c>
      <c r="Q409" s="38">
        <v>44146</v>
      </c>
      <c r="R40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09" s="37" t="s">
        <v>1080</v>
      </c>
      <c r="T409" s="40"/>
      <c r="U409" s="41"/>
      <c r="V40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0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09" s="37" cm="1">
        <f t="array" aca="1" ref="X409" ca="1">INDEX('SAP Customer Data'!$A:$AC,MATCH(بيانات_العملاء[[#This Row],[رمز شريك الأعمال]],'SAP Customer Data'!$B:$B,0),CELL("col",Table_Customer_Data[[#Headers],[CreditLine]]))</f>
        <v>0</v>
      </c>
      <c r="Y40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09" s="37"/>
      <c r="AA40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09" s="37"/>
      <c r="AC409" s="37"/>
      <c r="AD40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09" s="37"/>
      <c r="AF409" s="37"/>
      <c r="AG40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09" s="37"/>
      <c r="AI409" s="37"/>
      <c r="AJ40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09" s="37"/>
      <c r="AL409" s="38"/>
      <c r="AM40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09" s="37" t="s">
        <v>856</v>
      </c>
      <c r="AO409" s="41"/>
      <c r="AP40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09" s="37"/>
      <c r="AR409" s="37"/>
      <c r="AS40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09" s="41" cm="1">
        <f t="array" aca="1" ref="AT409" ca="1">INDEX('SAP Customer Data'!A:Z,MATCH(بيانات_العملاء[[#This Row],[رمز شريك الأعمال]],'SAP Customer Data'!B:B,0),CELL("col",Table_Customer_Data[[#Headers],[CreateDate]]))</f>
        <v>44606</v>
      </c>
      <c r="AU409" s="37"/>
      <c r="AV409" s="41"/>
      <c r="AW409" s="37" t="s">
        <v>2097</v>
      </c>
      <c r="AX409" s="37"/>
    </row>
    <row r="410" spans="1:50" x14ac:dyDescent="0.25">
      <c r="A410" s="36" t="str" cm="1">
        <f t="array" aca="1" ref="A410" ca="1">INDEX('SAP Customer Data'!$A:$AC,MATCH(بيانات_العملاء[[#This Row],[رمز شريك الأعمال]],'SAP Customer Data'!$B:$B,0),CELL("col",Table_Customer_Data[[#Headers],[GroupName]]))</f>
        <v>CS06</v>
      </c>
      <c r="B410" s="35" t="s">
        <v>697</v>
      </c>
      <c r="C410" s="37" t="str" cm="1">
        <f t="array" aca="1" ref="C410" ca="1">INDEX('SAP Customer Data'!$A:$AC,MATCH(بيانات_العملاء[[#This Row],[رمز شريك الأعمال]],'SAP Customer Data'!$B:$B,0),CELL("col",Table_Customer_Data[[#Headers],[CardName]]))</f>
        <v>مؤسسةحسن عبدالله محسن العطاس للتجارة-نقدي</v>
      </c>
      <c r="D410" s="37" t="str">
        <f ca="1">IF(بيانات_العملاء[[#This Row],[حد الائتمان على SAP]]&gt;0,"آجل","نقدى")</f>
        <v>نقدى</v>
      </c>
      <c r="E410" s="37" t="s">
        <v>2225</v>
      </c>
      <c r="F410" s="37" t="s">
        <v>1081</v>
      </c>
      <c r="G410" s="37" t="s">
        <v>856</v>
      </c>
      <c r="H41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0" s="37" t="s">
        <v>854</v>
      </c>
      <c r="J410" s="38">
        <v>45267</v>
      </c>
      <c r="K410" s="37" t="s">
        <v>855</v>
      </c>
      <c r="L410" s="37" t="str">
        <f ca="1">IF(AND(بيانات_العملاء[[#This Row],[السجل التجارى]]="موجود",TODAY()+'Other Data'!$B$23&lt;J410,بيانات_العملاء[[#This Row],[مطابقة اسم العميل بالاسم بالسجل التجارى]]="مطابق"), "سارى", "يجب اعادة طلبه")</f>
        <v>سارى</v>
      </c>
      <c r="M410" s="37" t="s">
        <v>854</v>
      </c>
      <c r="N410" s="39" t="str" cm="1">
        <f t="array" aca="1" ref="N410" ca="1">INDEX('SAP Customer Data'!$A:$AC,MATCH(بيانات_العملاء[[#This Row],[رمز شريك الأعمال]],'SAP Customer Data'!$B:$B,0),CELL("col",Table_Customer_Data[[#Headers],[LicTradNum]]))</f>
        <v>310306624800003</v>
      </c>
      <c r="O41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0" s="37" t="s">
        <v>856</v>
      </c>
      <c r="Q410" s="38"/>
      <c r="R41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0" s="37" t="s">
        <v>1080</v>
      </c>
      <c r="T410" s="40"/>
      <c r="U410" s="41"/>
      <c r="V41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0" s="37" cm="1">
        <f t="array" aca="1" ref="X410" ca="1">INDEX('SAP Customer Data'!$A:$AC,MATCH(بيانات_العملاء[[#This Row],[رمز شريك الأعمال]],'SAP Customer Data'!$B:$B,0),CELL("col",Table_Customer_Data[[#Headers],[CreditLine]]))</f>
        <v>0</v>
      </c>
      <c r="Y41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0" s="37"/>
      <c r="AA41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0" s="37"/>
      <c r="AC410" s="37"/>
      <c r="AD41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0" s="37"/>
      <c r="AF410" s="37"/>
      <c r="AG41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0" s="37"/>
      <c r="AI410" s="37"/>
      <c r="AJ41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0" s="37"/>
      <c r="AL410" s="38"/>
      <c r="AM41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0" s="37" t="s">
        <v>856</v>
      </c>
      <c r="AO410" s="41"/>
      <c r="AP41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0" s="37"/>
      <c r="AR410" s="37"/>
      <c r="AS41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0" s="41" cm="1">
        <f t="array" aca="1" ref="AT410" ca="1">INDEX('SAP Customer Data'!A:Z,MATCH(بيانات_العملاء[[#This Row],[رمز شريك الأعمال]],'SAP Customer Data'!B:B,0),CELL("col",Table_Customer_Data[[#Headers],[CreateDate]]))</f>
        <v>44606</v>
      </c>
      <c r="AU410" s="37"/>
      <c r="AV410" s="41"/>
      <c r="AW410" s="37" t="s">
        <v>2097</v>
      </c>
      <c r="AX410" s="37"/>
    </row>
    <row r="411" spans="1:50" x14ac:dyDescent="0.25">
      <c r="A411" s="36" t="str" cm="1">
        <f t="array" aca="1" ref="A411" ca="1">INDEX('SAP Customer Data'!$A:$AC,MATCH(بيانات_العملاء[[#This Row],[رمز شريك الأعمال]],'SAP Customer Data'!$B:$B,0),CELL("col",Table_Customer_Data[[#Headers],[GroupName]]))</f>
        <v>CS06</v>
      </c>
      <c r="B411" s="35" t="s">
        <v>701</v>
      </c>
      <c r="C411" s="37" t="str" cm="1">
        <f t="array" aca="1" ref="C411" ca="1">INDEX('SAP Customer Data'!$A:$AC,MATCH(بيانات_العملاء[[#This Row],[رمز شريك الأعمال]],'SAP Customer Data'!$B:$B,0),CELL("col",Table_Customer_Data[[#Headers],[CardName]]))</f>
        <v>مؤسسة ريفان لتنظيم المعارض والمؤتمرات-نقدي</v>
      </c>
      <c r="D411" s="37" t="str">
        <f ca="1">IF(بيانات_العملاء[[#This Row],[حد الائتمان على SAP]]&gt;0,"آجل","نقدى")</f>
        <v>نقدى</v>
      </c>
      <c r="E411" s="37" t="s">
        <v>2226</v>
      </c>
      <c r="F411" s="37" t="s">
        <v>1081</v>
      </c>
      <c r="G411" s="37" t="s">
        <v>856</v>
      </c>
      <c r="H41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1" s="37" t="s">
        <v>854</v>
      </c>
      <c r="J411" s="38">
        <v>44830</v>
      </c>
      <c r="K411" s="37" t="s">
        <v>855</v>
      </c>
      <c r="L411" s="37" t="str">
        <f ca="1">IF(AND(بيانات_العملاء[[#This Row],[السجل التجارى]]="موجود",TODAY()+'Other Data'!$B$23&lt;J411,بيانات_العملاء[[#This Row],[مطابقة اسم العميل بالاسم بالسجل التجارى]]="مطابق"), "سارى", "يجب اعادة طلبه")</f>
        <v>يجب اعادة طلبه</v>
      </c>
      <c r="M411" s="37" t="s">
        <v>854</v>
      </c>
      <c r="N411" s="39" t="str" cm="1">
        <f t="array" aca="1" ref="N411" ca="1">INDEX('SAP Customer Data'!$A:$AC,MATCH(بيانات_العملاء[[#This Row],[رمز شريك الأعمال]],'SAP Customer Data'!$B:$B,0),CELL("col",Table_Customer_Data[[#Headers],[LicTradNum]]))</f>
        <v>300879138900003</v>
      </c>
      <c r="O41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1" s="37" t="s">
        <v>856</v>
      </c>
      <c r="Q411" s="38"/>
      <c r="R41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1" s="37" t="s">
        <v>1080</v>
      </c>
      <c r="T411" s="40"/>
      <c r="U411" s="41"/>
      <c r="V41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1" s="37" cm="1">
        <f t="array" aca="1" ref="X411" ca="1">INDEX('SAP Customer Data'!$A:$AC,MATCH(بيانات_العملاء[[#This Row],[رمز شريك الأعمال]],'SAP Customer Data'!$B:$B,0),CELL("col",Table_Customer_Data[[#Headers],[CreditLine]]))</f>
        <v>0</v>
      </c>
      <c r="Y41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1" s="37"/>
      <c r="AA41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1" s="37"/>
      <c r="AC411" s="37"/>
      <c r="AD41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1" s="37"/>
      <c r="AF411" s="37"/>
      <c r="AG41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1" s="37"/>
      <c r="AI411" s="37"/>
      <c r="AJ41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1" s="37"/>
      <c r="AL411" s="38"/>
      <c r="AM41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1" s="37" t="s">
        <v>856</v>
      </c>
      <c r="AO411" s="41"/>
      <c r="AP41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1" s="37"/>
      <c r="AR411" s="37"/>
      <c r="AS41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1" s="41" cm="1">
        <f t="array" aca="1" ref="AT411" ca="1">INDEX('SAP Customer Data'!A:Z,MATCH(بيانات_العملاء[[#This Row],[رمز شريك الأعمال]],'SAP Customer Data'!B:B,0),CELL("col",Table_Customer_Data[[#Headers],[CreateDate]]))</f>
        <v>44626</v>
      </c>
      <c r="AU411" s="37"/>
      <c r="AV411" s="41"/>
      <c r="AW411" s="37" t="s">
        <v>2097</v>
      </c>
      <c r="AX411" s="37"/>
    </row>
    <row r="412" spans="1:50" x14ac:dyDescent="0.25">
      <c r="A412" s="36" t="str" cm="1">
        <f t="array" aca="1" ref="A412" ca="1">INDEX('SAP Customer Data'!$A:$AC,MATCH(بيانات_العملاء[[#This Row],[رمز شريك الأعمال]],'SAP Customer Data'!$B:$B,0),CELL("col",Table_Customer_Data[[#Headers],[GroupName]]))</f>
        <v>CS06</v>
      </c>
      <c r="B412" s="35" t="s">
        <v>710</v>
      </c>
      <c r="C412" s="37" t="str" cm="1">
        <f t="array" aca="1" ref="C412" ca="1">INDEX('SAP Customer Data'!$A:$AC,MATCH(بيانات_العملاء[[#This Row],[رمز شريك الأعمال]],'SAP Customer Data'!$B:$B,0),CELL("col",Table_Customer_Data[[#Headers],[CardName]]))</f>
        <v>مؤسسة انارة لوما التجارية-نقدي</v>
      </c>
      <c r="D412" s="37" t="str">
        <f ca="1">IF(بيانات_العملاء[[#This Row],[حد الائتمان على SAP]]&gt;0,"آجل","نقدى")</f>
        <v>نقدى</v>
      </c>
      <c r="E412" s="37" t="s">
        <v>2227</v>
      </c>
      <c r="F412" s="37" t="s">
        <v>1081</v>
      </c>
      <c r="G412" s="37" t="s">
        <v>856</v>
      </c>
      <c r="H41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2" s="37" t="s">
        <v>854</v>
      </c>
      <c r="J412" s="38">
        <v>45558</v>
      </c>
      <c r="K412" s="37" t="s">
        <v>855</v>
      </c>
      <c r="L412" s="37" t="str">
        <f ca="1">IF(AND(بيانات_العملاء[[#This Row],[السجل التجارى]]="موجود",TODAY()+'Other Data'!$B$23&lt;J412,بيانات_العملاء[[#This Row],[مطابقة اسم العميل بالاسم بالسجل التجارى]]="مطابق"), "سارى", "يجب اعادة طلبه")</f>
        <v>سارى</v>
      </c>
      <c r="M412" s="37" t="s">
        <v>854</v>
      </c>
      <c r="N412" s="39" t="str" cm="1">
        <f t="array" aca="1" ref="N412" ca="1">INDEX('SAP Customer Data'!$A:$AC,MATCH(بيانات_العملاء[[#This Row],[رمز شريك الأعمال]],'SAP Customer Data'!$B:$B,0),CELL("col",Table_Customer_Data[[#Headers],[LicTradNum]]))</f>
        <v>310525790800003</v>
      </c>
      <c r="O41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2" s="37" t="s">
        <v>856</v>
      </c>
      <c r="Q412" s="38"/>
      <c r="R41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2" s="37" t="s">
        <v>1080</v>
      </c>
      <c r="T412" s="40"/>
      <c r="U412" s="41"/>
      <c r="V41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2" s="37" cm="1">
        <f t="array" aca="1" ref="X412" ca="1">INDEX('SAP Customer Data'!$A:$AC,MATCH(بيانات_العملاء[[#This Row],[رمز شريك الأعمال]],'SAP Customer Data'!$B:$B,0),CELL("col",Table_Customer_Data[[#Headers],[CreditLine]]))</f>
        <v>0</v>
      </c>
      <c r="Y41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2" s="37"/>
      <c r="AA41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2" s="37"/>
      <c r="AC412" s="37"/>
      <c r="AD41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2" s="37"/>
      <c r="AF412" s="37"/>
      <c r="AG41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2" s="37"/>
      <c r="AI412" s="37"/>
      <c r="AJ41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2" s="37"/>
      <c r="AL412" s="38"/>
      <c r="AM41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2" s="37" t="s">
        <v>856</v>
      </c>
      <c r="AO412" s="41"/>
      <c r="AP41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2" s="37"/>
      <c r="AR412" s="37"/>
      <c r="AS41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2" s="41" cm="1">
        <f t="array" aca="1" ref="AT412" ca="1">INDEX('SAP Customer Data'!A:Z,MATCH(بيانات_العملاء[[#This Row],[رمز شريك الأعمال]],'SAP Customer Data'!B:B,0),CELL("col",Table_Customer_Data[[#Headers],[CreateDate]]))</f>
        <v>44695</v>
      </c>
      <c r="AU412" s="37"/>
      <c r="AV412" s="41"/>
      <c r="AW412" s="37" t="s">
        <v>2097</v>
      </c>
      <c r="AX412" s="37"/>
    </row>
    <row r="413" spans="1:50" x14ac:dyDescent="0.25">
      <c r="A413" s="36" t="str" cm="1">
        <f t="array" aca="1" ref="A413" ca="1">INDEX('SAP Customer Data'!$A:$AC,MATCH(بيانات_العملاء[[#This Row],[رمز شريك الأعمال]],'SAP Customer Data'!$B:$B,0),CELL("col",Table_Customer_Data[[#Headers],[GroupName]]))</f>
        <v>CS06</v>
      </c>
      <c r="B413" s="35" t="s">
        <v>712</v>
      </c>
      <c r="C413" s="37" t="str" cm="1">
        <f t="array" aca="1" ref="C413" ca="1">INDEX('SAP Customer Data'!$A:$AC,MATCH(بيانات_العملاء[[#This Row],[رمز شريك الأعمال]],'SAP Customer Data'!$B:$B,0),CELL("col",Table_Customer_Data[[#Headers],[CardName]]))</f>
        <v>مؤسسة جسر الكهرباء التجارية -نقدي</v>
      </c>
      <c r="D413" s="37" t="str">
        <f ca="1">IF(بيانات_العملاء[[#This Row],[حد الائتمان على SAP]]&gt;0,"آجل","نقدى")</f>
        <v>نقدى</v>
      </c>
      <c r="E413" s="37" t="s">
        <v>2228</v>
      </c>
      <c r="F413" s="37" t="s">
        <v>1081</v>
      </c>
      <c r="G413" s="37" t="s">
        <v>856</v>
      </c>
      <c r="H41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3" s="37" t="s">
        <v>854</v>
      </c>
      <c r="J413" s="38">
        <v>44915</v>
      </c>
      <c r="K413" s="37" t="s">
        <v>855</v>
      </c>
      <c r="L413" s="37" t="str">
        <f ca="1">IF(AND(بيانات_العملاء[[#This Row],[السجل التجارى]]="موجود",TODAY()+'Other Data'!$B$23&lt;J413,بيانات_العملاء[[#This Row],[مطابقة اسم العميل بالاسم بالسجل التجارى]]="مطابق"), "سارى", "يجب اعادة طلبه")</f>
        <v>يجب اعادة طلبه</v>
      </c>
      <c r="M413" s="37" t="s">
        <v>854</v>
      </c>
      <c r="N413" s="39" t="str" cm="1">
        <f t="array" aca="1" ref="N413" ca="1">INDEX('SAP Customer Data'!$A:$AC,MATCH(بيانات_العملاء[[#This Row],[رمز شريك الأعمال]],'SAP Customer Data'!$B:$B,0),CELL("col",Table_Customer_Data[[#Headers],[LicTradNum]]))</f>
        <v>310260425400003</v>
      </c>
      <c r="O41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3" s="37" t="s">
        <v>856</v>
      </c>
      <c r="Q413" s="38"/>
      <c r="R41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3" s="37" t="s">
        <v>1080</v>
      </c>
      <c r="T413" s="40"/>
      <c r="U413" s="41"/>
      <c r="V41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3" s="37" cm="1">
        <f t="array" aca="1" ref="X413" ca="1">INDEX('SAP Customer Data'!$A:$AC,MATCH(بيانات_العملاء[[#This Row],[رمز شريك الأعمال]],'SAP Customer Data'!$B:$B,0),CELL("col",Table_Customer_Data[[#Headers],[CreditLine]]))</f>
        <v>0</v>
      </c>
      <c r="Y41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3" s="37"/>
      <c r="AA41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3" s="37"/>
      <c r="AC413" s="37"/>
      <c r="AD41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3" s="37"/>
      <c r="AF413" s="37"/>
      <c r="AG41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3" s="37"/>
      <c r="AI413" s="37"/>
      <c r="AJ41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3" s="37"/>
      <c r="AL413" s="38"/>
      <c r="AM41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3" s="37" t="s">
        <v>854</v>
      </c>
      <c r="AO413" s="41">
        <v>44729</v>
      </c>
      <c r="AP41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3" s="37"/>
      <c r="AR413" s="37"/>
      <c r="AS41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3" s="41" cm="1">
        <f t="array" aca="1" ref="AT413" ca="1">INDEX('SAP Customer Data'!A:Z,MATCH(بيانات_العملاء[[#This Row],[رمز شريك الأعمال]],'SAP Customer Data'!B:B,0),CELL("col",Table_Customer_Data[[#Headers],[CreateDate]]))</f>
        <v>44702</v>
      </c>
      <c r="AU413" s="37"/>
      <c r="AV413" s="41"/>
      <c r="AW413" s="37" t="s">
        <v>2097</v>
      </c>
      <c r="AX413" s="37"/>
    </row>
    <row r="414" spans="1:50" x14ac:dyDescent="0.25">
      <c r="A414" s="36" t="str" cm="1">
        <f t="array" aca="1" ref="A414" ca="1">INDEX('SAP Customer Data'!$A:$AC,MATCH(بيانات_العملاء[[#This Row],[رمز شريك الأعمال]],'SAP Customer Data'!$B:$B,0),CELL("col",Table_Customer_Data[[#Headers],[GroupName]]))</f>
        <v>CS06</v>
      </c>
      <c r="B414" s="42" t="s">
        <v>671</v>
      </c>
      <c r="C414" s="37" t="str" cm="1">
        <f t="array" aca="1" ref="C414" ca="1">INDEX('SAP Customer Data'!$A:$AC,MATCH(بيانات_العملاء[[#This Row],[رمز شريك الأعمال]],'SAP Customer Data'!$B:$B,0),CELL("col",Table_Customer_Data[[#Headers],[CardName]]))</f>
        <v>مؤسسة ابيات المميزة للتجارة - نقدي</v>
      </c>
      <c r="D414" s="37" t="str">
        <f ca="1">IF(بيانات_العملاء[[#This Row],[حد الائتمان على SAP]]&gt;0,"آجل","نقدى")</f>
        <v>نقدى</v>
      </c>
      <c r="E414" s="37"/>
      <c r="F414" s="37" t="s">
        <v>1082</v>
      </c>
      <c r="G414" s="37"/>
      <c r="H41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4" s="37" t="s">
        <v>856</v>
      </c>
      <c r="J414" s="38"/>
      <c r="K414" s="37"/>
      <c r="L414" s="37" t="str">
        <f ca="1">IF(AND(بيانات_العملاء[[#This Row],[السجل التجارى]]="موجود",TODAY()+'Other Data'!$B$23&lt;J414,بيانات_العملاء[[#This Row],[مطابقة اسم العميل بالاسم بالسجل التجارى]]="مطابق"), "سارى", "يجب اعادة طلبه")</f>
        <v>يجب اعادة طلبه</v>
      </c>
      <c r="M414" s="37" t="s">
        <v>854</v>
      </c>
      <c r="N414" s="39" t="str" cm="1">
        <f t="array" aca="1" ref="N414" ca="1">INDEX('SAP Customer Data'!$A:$AC,MATCH(بيانات_العملاء[[#This Row],[رمز شريك الأعمال]],'SAP Customer Data'!$B:$B,0),CELL("col",Table_Customer_Data[[#Headers],[LicTradNum]]))</f>
        <v>311021227100003</v>
      </c>
      <c r="O41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4" s="37"/>
      <c r="Q414" s="38"/>
      <c r="R41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4" s="37" t="s">
        <v>1080</v>
      </c>
      <c r="T414" s="40"/>
      <c r="U414" s="41"/>
      <c r="V41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4" s="37" cm="1">
        <f t="array" aca="1" ref="X414" ca="1">INDEX('SAP Customer Data'!$A:$AC,MATCH(بيانات_العملاء[[#This Row],[رمز شريك الأعمال]],'SAP Customer Data'!$B:$B,0),CELL("col",Table_Customer_Data[[#Headers],[CreditLine]]))</f>
        <v>0</v>
      </c>
      <c r="Y41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4" s="37"/>
      <c r="AA41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4" s="37"/>
      <c r="AC414" s="37"/>
      <c r="AD41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4" s="37"/>
      <c r="AF414" s="37"/>
      <c r="AG41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4" s="37"/>
      <c r="AI414" s="37"/>
      <c r="AJ41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4" s="37"/>
      <c r="AL414" s="38"/>
      <c r="AM41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4" s="37"/>
      <c r="AO414" s="41"/>
      <c r="AP41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4" s="37"/>
      <c r="AR414" s="37"/>
      <c r="AS41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4" s="41" cm="1">
        <f t="array" aca="1" ref="AT414" ca="1">INDEX('SAP Customer Data'!A:Z,MATCH(بيانات_العملاء[[#This Row],[رمز شريك الأعمال]],'SAP Customer Data'!B:B,0),CELL("col",Table_Customer_Data[[#Headers],[CreateDate]]))</f>
        <v>44492</v>
      </c>
      <c r="AU414" s="37"/>
      <c r="AV414" s="41"/>
      <c r="AW414" s="37" t="s">
        <v>2097</v>
      </c>
      <c r="AX414" s="37"/>
    </row>
    <row r="415" spans="1:50" x14ac:dyDescent="0.25">
      <c r="A415" s="36" t="str" cm="1">
        <f t="array" aca="1" ref="A415" ca="1">INDEX('SAP Customer Data'!$A:$AC,MATCH(بيانات_العملاء[[#This Row],[رمز شريك الأعمال]],'SAP Customer Data'!$B:$B,0),CELL("col",Table_Customer_Data[[#Headers],[GroupName]]))</f>
        <v>CS06</v>
      </c>
      <c r="B415" s="35" t="s">
        <v>714</v>
      </c>
      <c r="C415" s="37" t="str" cm="1">
        <f t="array" aca="1" ref="C415" ca="1">INDEX('SAP Customer Data'!$A:$AC,MATCH(بيانات_العملاء[[#This Row],[رمز شريك الأعمال]],'SAP Customer Data'!$B:$B,0),CELL("col",Table_Customer_Data[[#Headers],[CardName]]))</f>
        <v>شركة منارة الشاهين للتجارة -نقدي</v>
      </c>
      <c r="D415" s="37" t="str">
        <f ca="1">IF(بيانات_العملاء[[#This Row],[حد الائتمان على SAP]]&gt;0,"آجل","نقدى")</f>
        <v>نقدى</v>
      </c>
      <c r="E415" s="37"/>
      <c r="F415" s="37"/>
      <c r="G415" s="37" t="s">
        <v>856</v>
      </c>
      <c r="H41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5" s="37" t="s">
        <v>856</v>
      </c>
      <c r="J415" s="38"/>
      <c r="K415" s="37"/>
      <c r="L415" s="37" t="str">
        <f ca="1">IF(AND(بيانات_العملاء[[#This Row],[السجل التجارى]]="موجود",TODAY()+'Other Data'!$B$23&lt;J415,بيانات_العملاء[[#This Row],[مطابقة اسم العميل بالاسم بالسجل التجارى]]="مطابق"), "سارى", "يجب اعادة طلبه")</f>
        <v>يجب اعادة طلبه</v>
      </c>
      <c r="M415" s="37" t="s">
        <v>854</v>
      </c>
      <c r="N415" s="39" t="str" cm="1">
        <f t="array" aca="1" ref="N415" ca="1">INDEX('SAP Customer Data'!$A:$AC,MATCH(بيانات_العملاء[[#This Row],[رمز شريك الأعمال]],'SAP Customer Data'!$B:$B,0),CELL("col",Table_Customer_Data[[#Headers],[LicTradNum]]))</f>
        <v>311265811700003</v>
      </c>
      <c r="O41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5" s="37" t="s">
        <v>854</v>
      </c>
      <c r="Q415" s="38">
        <v>45023</v>
      </c>
      <c r="R41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5" s="37" t="s">
        <v>1080</v>
      </c>
      <c r="T415" s="40"/>
      <c r="U415" s="41"/>
      <c r="V41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5" s="37" cm="1">
        <f t="array" aca="1" ref="X415" ca="1">INDEX('SAP Customer Data'!$A:$AC,MATCH(بيانات_العملاء[[#This Row],[رمز شريك الأعمال]],'SAP Customer Data'!$B:$B,0),CELL("col",Table_Customer_Data[[#Headers],[CreditLine]]))</f>
        <v>0</v>
      </c>
      <c r="Y41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5" s="37"/>
      <c r="AA41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5" s="37"/>
      <c r="AC415" s="37"/>
      <c r="AD41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5" s="37"/>
      <c r="AF415" s="37"/>
      <c r="AG41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5" s="37"/>
      <c r="AI415" s="37"/>
      <c r="AJ41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5" s="37"/>
      <c r="AL415" s="38"/>
      <c r="AM41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5" s="37" t="s">
        <v>854</v>
      </c>
      <c r="AO415" s="41">
        <v>45024</v>
      </c>
      <c r="AP41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5" s="37"/>
      <c r="AR415" s="37"/>
      <c r="AS41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5" s="41" cm="1">
        <f t="array" aca="1" ref="AT415" ca="1">INDEX('SAP Customer Data'!A:Z,MATCH(بيانات_العملاء[[#This Row],[رمز شريك الأعمال]],'SAP Customer Data'!B:B,0),CELL("col",Table_Customer_Data[[#Headers],[CreateDate]]))</f>
        <v>44710</v>
      </c>
      <c r="AU415" s="37"/>
      <c r="AV415" s="41"/>
      <c r="AW415" s="37" t="s">
        <v>2097</v>
      </c>
      <c r="AX415" s="37"/>
    </row>
    <row r="416" spans="1:50" x14ac:dyDescent="0.25">
      <c r="A416" s="36" t="str" cm="1">
        <f t="array" aca="1" ref="A416" ca="1">INDEX('SAP Customer Data'!$A:$AC,MATCH(بيانات_العملاء[[#This Row],[رمز شريك الأعمال]],'SAP Customer Data'!$B:$B,0),CELL("col",Table_Customer_Data[[#Headers],[GroupName]]))</f>
        <v>CS06</v>
      </c>
      <c r="B416" s="35" t="s">
        <v>716</v>
      </c>
      <c r="C416" s="37" t="str" cm="1">
        <f t="array" aca="1" ref="C416" ca="1">INDEX('SAP Customer Data'!$A:$AC,MATCH(بيانات_العملاء[[#This Row],[رمز شريك الأعمال]],'SAP Customer Data'!$B:$B,0),CELL("col",Table_Customer_Data[[#Headers],[CardName]]))</f>
        <v>مؤسسة سليمان عطاالله اللقماني الحربي التجاري-نقدي</v>
      </c>
      <c r="D416" s="37" t="str">
        <f ca="1">IF(بيانات_العملاء[[#This Row],[حد الائتمان على SAP]]&gt;0,"آجل","نقدى")</f>
        <v>نقدى</v>
      </c>
      <c r="E416" s="37" t="s">
        <v>2229</v>
      </c>
      <c r="F416" s="37" t="s">
        <v>1081</v>
      </c>
      <c r="G416" s="37" t="s">
        <v>856</v>
      </c>
      <c r="H41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6" s="37" t="s">
        <v>854</v>
      </c>
      <c r="J416" s="38">
        <v>45760</v>
      </c>
      <c r="K416" s="37" t="s">
        <v>855</v>
      </c>
      <c r="L416" s="37" t="str">
        <f ca="1">IF(AND(بيانات_العملاء[[#This Row],[السجل التجارى]]="موجود",TODAY()+'Other Data'!$B$23&lt;J416,بيانات_العملاء[[#This Row],[مطابقة اسم العميل بالاسم بالسجل التجارى]]="مطابق"), "سارى", "يجب اعادة طلبه")</f>
        <v>سارى</v>
      </c>
      <c r="M416" s="37" t="s">
        <v>854</v>
      </c>
      <c r="N416" s="39" t="str" cm="1">
        <f t="array" aca="1" ref="N416" ca="1">INDEX('SAP Customer Data'!$A:$AC,MATCH(بيانات_العملاء[[#This Row],[رمز شريك الأعمال]],'SAP Customer Data'!$B:$B,0),CELL("col",Table_Customer_Data[[#Headers],[LicTradNum]]))</f>
        <v>300113172100003</v>
      </c>
      <c r="O41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6" s="37" t="s">
        <v>854</v>
      </c>
      <c r="Q416" s="38">
        <v>45301</v>
      </c>
      <c r="R41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16" s="37" t="s">
        <v>1080</v>
      </c>
      <c r="T416" s="40"/>
      <c r="U416" s="41"/>
      <c r="V41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6" s="37" cm="1">
        <f t="array" aca="1" ref="X416" ca="1">INDEX('SAP Customer Data'!$A:$AC,MATCH(بيانات_العملاء[[#This Row],[رمز شريك الأعمال]],'SAP Customer Data'!$B:$B,0),CELL("col",Table_Customer_Data[[#Headers],[CreditLine]]))</f>
        <v>0</v>
      </c>
      <c r="Y41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6" s="37"/>
      <c r="AA41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6" s="37"/>
      <c r="AC416" s="37"/>
      <c r="AD41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6" s="37"/>
      <c r="AF416" s="37"/>
      <c r="AG41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6" s="37"/>
      <c r="AI416" s="37"/>
      <c r="AJ41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6" s="37"/>
      <c r="AL416" s="38"/>
      <c r="AM41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6" s="37" t="s">
        <v>854</v>
      </c>
      <c r="AO416" s="41">
        <v>44994</v>
      </c>
      <c r="AP41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6" s="37"/>
      <c r="AR416" s="37"/>
      <c r="AS41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6" s="41" cm="1">
        <f t="array" aca="1" ref="AT416" ca="1">INDEX('SAP Customer Data'!A:Z,MATCH(بيانات_العملاء[[#This Row],[رمز شريك الأعمال]],'SAP Customer Data'!B:B,0),CELL("col",Table_Customer_Data[[#Headers],[CreateDate]]))</f>
        <v>44713</v>
      </c>
      <c r="AU416" s="37"/>
      <c r="AV416" s="41"/>
      <c r="AW416" s="37" t="s">
        <v>2097</v>
      </c>
      <c r="AX416" s="37"/>
    </row>
    <row r="417" spans="1:50" x14ac:dyDescent="0.25">
      <c r="A417" s="36" t="str" cm="1">
        <f t="array" aca="1" ref="A417" ca="1">INDEX('SAP Customer Data'!$A:$AC,MATCH(بيانات_العملاء[[#This Row],[رمز شريك الأعمال]],'SAP Customer Data'!$B:$B,0),CELL("col",Table_Customer_Data[[#Headers],[GroupName]]))</f>
        <v>CS06</v>
      </c>
      <c r="B417" s="42" t="s">
        <v>619</v>
      </c>
      <c r="C417" s="37" t="str" cm="1">
        <f t="array" aca="1" ref="C417" ca="1">INDEX('SAP Customer Data'!$A:$AC,MATCH(بيانات_العملاء[[#This Row],[رمز شريك الأعمال]],'SAP Customer Data'!$B:$B,0),CELL("col",Table_Customer_Data[[#Headers],[CardName]]))</f>
        <v>مؤسسة التقنية العملاقة التجارية - نقدي</v>
      </c>
      <c r="D417" s="37" t="str">
        <f ca="1">IF(بيانات_العملاء[[#This Row],[حد الائتمان على SAP]]&gt;0,"آجل","نقدى")</f>
        <v>نقدى</v>
      </c>
      <c r="E417" s="37"/>
      <c r="F417" s="37" t="s">
        <v>1082</v>
      </c>
      <c r="G417" s="37"/>
      <c r="H41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7" s="37" t="s">
        <v>856</v>
      </c>
      <c r="J417" s="38"/>
      <c r="K417" s="37"/>
      <c r="L417" s="37" t="str">
        <f ca="1">IF(AND(بيانات_العملاء[[#This Row],[السجل التجارى]]="موجود",TODAY()+'Other Data'!$B$23&lt;J417,بيانات_العملاء[[#This Row],[مطابقة اسم العميل بالاسم بالسجل التجارى]]="مطابق"), "سارى", "يجب اعادة طلبه")</f>
        <v>يجب اعادة طلبه</v>
      </c>
      <c r="M417" s="37" t="s">
        <v>854</v>
      </c>
      <c r="N417" s="39" t="str" cm="1">
        <f t="array" aca="1" ref="N417" ca="1">INDEX('SAP Customer Data'!$A:$AC,MATCH(بيانات_العملاء[[#This Row],[رمز شريك الأعمال]],'SAP Customer Data'!$B:$B,0),CELL("col",Table_Customer_Data[[#Headers],[LicTradNum]]))</f>
        <v>403031284100003</v>
      </c>
      <c r="O41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7" s="37"/>
      <c r="Q417" s="38"/>
      <c r="R41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7" s="37" t="s">
        <v>1080</v>
      </c>
      <c r="T417" s="40"/>
      <c r="U417" s="41"/>
      <c r="V41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7" s="37" cm="1">
        <f t="array" aca="1" ref="X417" ca="1">INDEX('SAP Customer Data'!$A:$AC,MATCH(بيانات_العملاء[[#This Row],[رمز شريك الأعمال]],'SAP Customer Data'!$B:$B,0),CELL("col",Table_Customer_Data[[#Headers],[CreditLine]]))</f>
        <v>0</v>
      </c>
      <c r="Y41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7" s="37"/>
      <c r="AA41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7" s="37"/>
      <c r="AC417" s="37"/>
      <c r="AD41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7" s="37"/>
      <c r="AF417" s="37"/>
      <c r="AG41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7" s="37"/>
      <c r="AI417" s="37"/>
      <c r="AJ41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7" s="37"/>
      <c r="AL417" s="38"/>
      <c r="AM41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7" s="37"/>
      <c r="AO417" s="41"/>
      <c r="AP41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7" s="37"/>
      <c r="AR417" s="37"/>
      <c r="AS41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7" s="41" cm="1">
        <f t="array" aca="1" ref="AT417" ca="1">INDEX('SAP Customer Data'!A:Z,MATCH(بيانات_العملاء[[#This Row],[رمز شريك الأعمال]],'SAP Customer Data'!B:B,0),CELL("col",Table_Customer_Data[[#Headers],[CreateDate]]))</f>
        <v>44249</v>
      </c>
      <c r="AU417" s="37"/>
      <c r="AV417" s="41"/>
      <c r="AW417" s="37" t="s">
        <v>2097</v>
      </c>
      <c r="AX417" s="37"/>
    </row>
    <row r="418" spans="1:50" x14ac:dyDescent="0.25">
      <c r="A418" s="36" t="str" cm="1">
        <f t="array" aca="1" ref="A418" ca="1">INDEX('SAP Customer Data'!$A:$AC,MATCH(بيانات_العملاء[[#This Row],[رمز شريك الأعمال]],'SAP Customer Data'!$B:$B,0),CELL("col",Table_Customer_Data[[#Headers],[GroupName]]))</f>
        <v>CS06</v>
      </c>
      <c r="B418" s="42" t="s">
        <v>625</v>
      </c>
      <c r="C418" s="37" t="str" cm="1">
        <f t="array" aca="1" ref="C418" ca="1">INDEX('SAP Customer Data'!$A:$AC,MATCH(بيانات_العملاء[[#This Row],[رمز شريك الأعمال]],'SAP Customer Data'!$B:$B,0),CELL("col",Table_Customer_Data[[#Headers],[CardName]]))</f>
        <v>مؤسسة لمعة البرق للتجارة - نقدي</v>
      </c>
      <c r="D418" s="37" t="str">
        <f ca="1">IF(بيانات_العملاء[[#This Row],[حد الائتمان على SAP]]&gt;0,"آجل","نقدى")</f>
        <v>نقدى</v>
      </c>
      <c r="E418" s="37"/>
      <c r="F418" s="37" t="s">
        <v>1082</v>
      </c>
      <c r="G418" s="37"/>
      <c r="H41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8" s="37" t="s">
        <v>856</v>
      </c>
      <c r="J418" s="38"/>
      <c r="K418" s="37"/>
      <c r="L418" s="37" t="str">
        <f ca="1">IF(AND(بيانات_العملاء[[#This Row],[السجل التجارى]]="موجود",TODAY()+'Other Data'!$B$23&lt;J418,بيانات_العملاء[[#This Row],[مطابقة اسم العميل بالاسم بالسجل التجارى]]="مطابق"), "سارى", "يجب اعادة طلبه")</f>
        <v>يجب اعادة طلبه</v>
      </c>
      <c r="M418" s="37" t="s">
        <v>854</v>
      </c>
      <c r="N418" s="39" t="str" cm="1">
        <f t="array" aca="1" ref="N418" ca="1">INDEX('SAP Customer Data'!$A:$AC,MATCH(بيانات_العملاء[[#This Row],[رمز شريك الأعمال]],'SAP Customer Data'!$B:$B,0),CELL("col",Table_Customer_Data[[#Headers],[LicTradNum]]))</f>
        <v>403037842700004</v>
      </c>
      <c r="O41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8" s="37"/>
      <c r="Q418" s="38"/>
      <c r="R41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8" s="37" t="s">
        <v>1080</v>
      </c>
      <c r="T418" s="40"/>
      <c r="U418" s="41"/>
      <c r="V41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8" s="37" cm="1">
        <f t="array" aca="1" ref="X418" ca="1">INDEX('SAP Customer Data'!$A:$AC,MATCH(بيانات_العملاء[[#This Row],[رمز شريك الأعمال]],'SAP Customer Data'!$B:$B,0),CELL("col",Table_Customer_Data[[#Headers],[CreditLine]]))</f>
        <v>0</v>
      </c>
      <c r="Y41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8" s="37"/>
      <c r="AA41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8" s="37"/>
      <c r="AC418" s="37"/>
      <c r="AD41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8" s="37"/>
      <c r="AF418" s="37"/>
      <c r="AG41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8" s="37"/>
      <c r="AI418" s="37"/>
      <c r="AJ41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8" s="37"/>
      <c r="AL418" s="38"/>
      <c r="AM41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8" s="37"/>
      <c r="AO418" s="41"/>
      <c r="AP41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8" s="37"/>
      <c r="AR418" s="37"/>
      <c r="AS41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8" s="41" cm="1">
        <f t="array" aca="1" ref="AT418" ca="1">INDEX('SAP Customer Data'!A:Z,MATCH(بيانات_العملاء[[#This Row],[رمز شريك الأعمال]],'SAP Customer Data'!B:B,0),CELL("col",Table_Customer_Data[[#Headers],[CreateDate]]))</f>
        <v>44249</v>
      </c>
      <c r="AU418" s="37"/>
      <c r="AV418" s="41"/>
      <c r="AW418" s="37" t="s">
        <v>2097</v>
      </c>
      <c r="AX418" s="37"/>
    </row>
    <row r="419" spans="1:50" x14ac:dyDescent="0.25">
      <c r="A419" s="36" t="str" cm="1">
        <f t="array" aca="1" ref="A419" ca="1">INDEX('SAP Customer Data'!$A:$AC,MATCH(بيانات_العملاء[[#This Row],[رمز شريك الأعمال]],'SAP Customer Data'!$B:$B,0),CELL("col",Table_Customer_Data[[#Headers],[GroupName]]))</f>
        <v>CS08</v>
      </c>
      <c r="B419" s="35" t="s">
        <v>808</v>
      </c>
      <c r="C419" s="37" t="str" cm="1">
        <f t="array" aca="1" ref="C419" ca="1">INDEX('SAP Customer Data'!$A:$AC,MATCH(بيانات_العملاء[[#This Row],[رمز شريك الأعمال]],'SAP Customer Data'!$B:$B,0),CELL("col",Table_Customer_Data[[#Headers],[CardName]]))</f>
        <v>شركة معارض السلام العالمية للكهرباء المحدودة -نقدي</v>
      </c>
      <c r="D419" s="37" t="str">
        <f ca="1">IF(بيانات_العملاء[[#This Row],[حد الائتمان على SAP]]&gt;0,"آجل","نقدى")</f>
        <v>نقدى</v>
      </c>
      <c r="E419" s="37"/>
      <c r="F419" s="37" t="s">
        <v>997</v>
      </c>
      <c r="G419" s="37" t="s">
        <v>856</v>
      </c>
      <c r="H41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19" s="37" t="s">
        <v>854</v>
      </c>
      <c r="J419" s="38">
        <v>44577</v>
      </c>
      <c r="K419" s="37" t="s">
        <v>855</v>
      </c>
      <c r="L419" s="37" t="str">
        <f ca="1">IF(AND(بيانات_العملاء[[#This Row],[السجل التجارى]]="موجود",TODAY()+'Other Data'!$B$23&lt;J419,بيانات_العملاء[[#This Row],[مطابقة اسم العميل بالاسم بالسجل التجارى]]="مطابق"), "سارى", "يجب اعادة طلبه")</f>
        <v>يجب اعادة طلبه</v>
      </c>
      <c r="M419" s="37" t="s">
        <v>854</v>
      </c>
      <c r="N419" s="39" t="str" cm="1">
        <f t="array" aca="1" ref="N419" ca="1">INDEX('SAP Customer Data'!$A:$AC,MATCH(بيانات_العملاء[[#This Row],[رمز شريك الأعمال]],'SAP Customer Data'!$B:$B,0),CELL("col",Table_Customer_Data[[#Headers],[LicTradNum]]))</f>
        <v>300099481500003</v>
      </c>
      <c r="O41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19" s="37" t="s">
        <v>856</v>
      </c>
      <c r="Q419" s="38"/>
      <c r="R41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19" s="37" t="s">
        <v>1080</v>
      </c>
      <c r="T419" s="40"/>
      <c r="U419" s="41"/>
      <c r="V41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1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19" s="37" cm="1">
        <f t="array" aca="1" ref="X419" ca="1">INDEX('SAP Customer Data'!$A:$AC,MATCH(بيانات_العملاء[[#This Row],[رمز شريك الأعمال]],'SAP Customer Data'!$B:$B,0),CELL("col",Table_Customer_Data[[#Headers],[CreditLine]]))</f>
        <v>0</v>
      </c>
      <c r="Y41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19" s="37"/>
      <c r="AA41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19" s="37" t="s">
        <v>856</v>
      </c>
      <c r="AC419" s="37"/>
      <c r="AD41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19" s="37" t="s">
        <v>856</v>
      </c>
      <c r="AF419" s="37"/>
      <c r="AG41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19" s="37" t="s">
        <v>856</v>
      </c>
      <c r="AI419" s="37"/>
      <c r="AJ41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19" s="37"/>
      <c r="AL419" s="38"/>
      <c r="AM41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19" s="37" t="s">
        <v>854</v>
      </c>
      <c r="AO419" s="41"/>
      <c r="AP41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19" s="37" t="s">
        <v>856</v>
      </c>
      <c r="AR419" s="37"/>
      <c r="AS41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19" s="41" cm="1">
        <f t="array" aca="1" ref="AT419" ca="1">INDEX('SAP Customer Data'!A:Z,MATCH(بيانات_العملاء[[#This Row],[رمز شريك الأعمال]],'SAP Customer Data'!B:B,0),CELL("col",Table_Customer_Data[[#Headers],[CreateDate]]))</f>
        <v>44730</v>
      </c>
      <c r="AU419" s="37"/>
      <c r="AV419" s="41"/>
      <c r="AW419" s="37" t="s">
        <v>2097</v>
      </c>
      <c r="AX419" s="37"/>
    </row>
    <row r="420" spans="1:50" x14ac:dyDescent="0.25">
      <c r="A420" s="36" t="str" cm="1">
        <f t="array" aca="1" ref="A420" ca="1">INDEX('SAP Customer Data'!$A:$AC,MATCH(بيانات_العملاء[[#This Row],[رمز شريك الأعمال]],'SAP Customer Data'!$B:$B,0),CELL("col",Table_Customer_Data[[#Headers],[GroupName]]))</f>
        <v>CS08</v>
      </c>
      <c r="B420" s="35" t="s">
        <v>949</v>
      </c>
      <c r="C420" s="37" t="str" cm="1">
        <f t="array" aca="1" ref="C420" ca="1">INDEX('SAP Customer Data'!$A:$AC,MATCH(بيانات_العملاء[[#This Row],[رمز شريك الأعمال]],'SAP Customer Data'!$B:$B,0),CELL("col",Table_Customer_Data[[#Headers],[CardName]]))</f>
        <v>مؤسسة رضى على محمد حسن التجارية - نقدى</v>
      </c>
      <c r="D420" s="37" t="str">
        <f ca="1">IF(بيانات_العملاء[[#This Row],[حد الائتمان على SAP]]&gt;0,"آجل","نقدى")</f>
        <v>نقدى</v>
      </c>
      <c r="E420" s="37" t="s">
        <v>1004</v>
      </c>
      <c r="F420" s="37" t="s">
        <v>1081</v>
      </c>
      <c r="G420" s="37" t="s">
        <v>856</v>
      </c>
      <c r="H42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20" s="37" t="s">
        <v>854</v>
      </c>
      <c r="J420" s="38">
        <v>45216</v>
      </c>
      <c r="K420" s="37" t="s">
        <v>855</v>
      </c>
      <c r="L420" s="37" t="str">
        <f ca="1">IF(AND(بيانات_العملاء[[#This Row],[السجل التجارى]]="موجود",TODAY()+'Other Data'!$B$23&lt;J420,بيانات_العملاء[[#This Row],[مطابقة اسم العميل بالاسم بالسجل التجارى]]="مطابق"), "سارى", "يجب اعادة طلبه")</f>
        <v>سارى</v>
      </c>
      <c r="M420" s="37" t="s">
        <v>854</v>
      </c>
      <c r="N420" s="39" t="str" cm="1">
        <f t="array" aca="1" ref="N420" ca="1">INDEX('SAP Customer Data'!$A:$AC,MATCH(بيانات_العملاء[[#This Row],[رمز شريك الأعمال]],'SAP Customer Data'!$B:$B,0),CELL("col",Table_Customer_Data[[#Headers],[LicTradNum]]))</f>
        <v>300460829900003</v>
      </c>
      <c r="O42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20" s="37" t="s">
        <v>856</v>
      </c>
      <c r="Q420" s="38"/>
      <c r="R42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0" s="37" t="s">
        <v>1080</v>
      </c>
      <c r="T420" s="40"/>
      <c r="U420" s="41"/>
      <c r="V42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20" s="37" cm="1">
        <f t="array" aca="1" ref="X420" ca="1">INDEX('SAP Customer Data'!$A:$AC,MATCH(بيانات_العملاء[[#This Row],[رمز شريك الأعمال]],'SAP Customer Data'!$B:$B,0),CELL("col",Table_Customer_Data[[#Headers],[CreditLine]]))</f>
        <v>0</v>
      </c>
      <c r="Y42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0" s="37"/>
      <c r="AA42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20" s="37" t="s">
        <v>856</v>
      </c>
      <c r="AC420" s="37"/>
      <c r="AD42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0" s="37" t="s">
        <v>856</v>
      </c>
      <c r="AF420" s="37"/>
      <c r="AG42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0" s="37" t="s">
        <v>856</v>
      </c>
      <c r="AI420" s="37"/>
      <c r="AJ42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0" s="37"/>
      <c r="AL420" s="38"/>
      <c r="AM42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0" s="37" t="s">
        <v>856</v>
      </c>
      <c r="AO420" s="41"/>
      <c r="AP42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0" s="37" t="s">
        <v>856</v>
      </c>
      <c r="AR420" s="37"/>
      <c r="AS42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0" s="41" cm="1">
        <f t="array" aca="1" ref="AT420" ca="1">INDEX('SAP Customer Data'!A:Z,MATCH(بيانات_العملاء[[#This Row],[رمز شريك الأعمال]],'SAP Customer Data'!B:B,0),CELL("col",Table_Customer_Data[[#Headers],[CreateDate]]))</f>
        <v>44963</v>
      </c>
      <c r="AU420" s="37"/>
      <c r="AV420" s="41"/>
      <c r="AW420" s="37" t="s">
        <v>2097</v>
      </c>
      <c r="AX420" s="37"/>
    </row>
    <row r="421" spans="1:50" x14ac:dyDescent="0.25">
      <c r="A421" s="36" t="str" cm="1">
        <f t="array" aca="1" ref="A421" ca="1">INDEX('SAP Customer Data'!$A:$AC,MATCH(بيانات_العملاء[[#This Row],[رمز شريك الأعمال]],'SAP Customer Data'!$B:$B,0),CELL("col",Table_Customer_Data[[#Headers],[GroupName]]))</f>
        <v>CS08</v>
      </c>
      <c r="B421" s="35" t="s">
        <v>947</v>
      </c>
      <c r="C421" s="37" t="str" cm="1">
        <f t="array" aca="1" ref="C421" ca="1">INDEX('SAP Customer Data'!$A:$AC,MATCH(بيانات_العملاء[[#This Row],[رمز شريك الأعمال]],'SAP Customer Data'!$B:$B,0),CELL("col",Table_Customer_Data[[#Headers],[CardName]]))</f>
        <v>محل خالد مسلم المهرى للتجارة - نقدى</v>
      </c>
      <c r="D421" s="37" t="str">
        <f ca="1">IF(بيانات_العملاء[[#This Row],[حد الائتمان على SAP]]&gt;0,"آجل","نقدى")</f>
        <v>نقدى</v>
      </c>
      <c r="E421" s="37" t="s">
        <v>1002</v>
      </c>
      <c r="F421" s="37" t="s">
        <v>1081</v>
      </c>
      <c r="G421" s="37" t="s">
        <v>856</v>
      </c>
      <c r="H42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21" s="37" t="s">
        <v>854</v>
      </c>
      <c r="J421" s="38">
        <v>45290</v>
      </c>
      <c r="K421" s="37" t="s">
        <v>855</v>
      </c>
      <c r="L421" s="37" t="str">
        <f ca="1">IF(AND(بيانات_العملاء[[#This Row],[السجل التجارى]]="موجود",TODAY()+'Other Data'!$B$23&lt;J421,بيانات_العملاء[[#This Row],[مطابقة اسم العميل بالاسم بالسجل التجارى]]="مطابق"), "سارى", "يجب اعادة طلبه")</f>
        <v>سارى</v>
      </c>
      <c r="M421" s="37" t="s">
        <v>854</v>
      </c>
      <c r="N421" s="39" t="str" cm="1">
        <f t="array" aca="1" ref="N421" ca="1">INDEX('SAP Customer Data'!$A:$AC,MATCH(بيانات_العملاء[[#This Row],[رمز شريك الأعمال]],'SAP Customer Data'!$B:$B,0),CELL("col",Table_Customer_Data[[#Headers],[LicTradNum]]))</f>
        <v>300507793400003</v>
      </c>
      <c r="O42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21" s="37" t="s">
        <v>854</v>
      </c>
      <c r="Q421" s="38">
        <v>45005</v>
      </c>
      <c r="R42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1" s="37" t="s">
        <v>1080</v>
      </c>
      <c r="T421" s="40"/>
      <c r="U421" s="41"/>
      <c r="V42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21" s="37" cm="1">
        <f t="array" aca="1" ref="X421" ca="1">INDEX('SAP Customer Data'!$A:$AC,MATCH(بيانات_العملاء[[#This Row],[رمز شريك الأعمال]],'SAP Customer Data'!$B:$B,0),CELL("col",Table_Customer_Data[[#Headers],[CreditLine]]))</f>
        <v>0</v>
      </c>
      <c r="Y42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1" s="37"/>
      <c r="AA42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21" s="37" t="s">
        <v>856</v>
      </c>
      <c r="AC421" s="37"/>
      <c r="AD42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1" s="37" t="s">
        <v>856</v>
      </c>
      <c r="AF421" s="37"/>
      <c r="AG42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1" s="37" t="s">
        <v>856</v>
      </c>
      <c r="AI421" s="37"/>
      <c r="AJ42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1" s="37"/>
      <c r="AL421" s="38"/>
      <c r="AM42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1" s="37" t="s">
        <v>856</v>
      </c>
      <c r="AO421" s="41"/>
      <c r="AP42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1" s="37" t="s">
        <v>856</v>
      </c>
      <c r="AR421" s="37"/>
      <c r="AS42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1" s="41" cm="1">
        <f t="array" aca="1" ref="AT421" ca="1">INDEX('SAP Customer Data'!A:Z,MATCH(بيانات_العملاء[[#This Row],[رمز شريك الأعمال]],'SAP Customer Data'!B:B,0),CELL("col",Table_Customer_Data[[#Headers],[CreateDate]]))</f>
        <v>44942</v>
      </c>
      <c r="AU421" s="37"/>
      <c r="AV421" s="41"/>
      <c r="AW421" s="37" t="s">
        <v>2097</v>
      </c>
      <c r="AX421" s="37"/>
    </row>
    <row r="422" spans="1:50" x14ac:dyDescent="0.25">
      <c r="A422" s="36" t="str" cm="1">
        <f t="array" aca="1" ref="A422" ca="1">INDEX('SAP Customer Data'!$A:$AC,MATCH(بيانات_العملاء[[#This Row],[رمز شريك الأعمال]],'SAP Customer Data'!$B:$B,0),CELL("col",Table_Customer_Data[[#Headers],[GroupName]]))</f>
        <v>CS08</v>
      </c>
      <c r="B422" s="35" t="s">
        <v>814</v>
      </c>
      <c r="C422" s="37" t="str" cm="1">
        <f t="array" aca="1" ref="C422" ca="1">INDEX('SAP Customer Data'!$A:$AC,MATCH(بيانات_العملاء[[#This Row],[رمز شريك الأعمال]],'SAP Customer Data'!$B:$B,0),CELL("col",Table_Customer_Data[[#Headers],[CardName]]))</f>
        <v>مؤسسة اعماق الانارة للتجارة - نقدي</v>
      </c>
      <c r="D422" s="37" t="str">
        <f ca="1">IF(بيانات_العملاء[[#This Row],[حد الائتمان على SAP]]&gt;0,"آجل","نقدى")</f>
        <v>نقدى</v>
      </c>
      <c r="E422" s="37" t="s">
        <v>1061</v>
      </c>
      <c r="F422" s="37" t="s">
        <v>1081</v>
      </c>
      <c r="G422" s="37" t="s">
        <v>856</v>
      </c>
      <c r="H42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22" s="37" t="s">
        <v>854</v>
      </c>
      <c r="J422" s="38">
        <v>44863</v>
      </c>
      <c r="K422" s="37" t="s">
        <v>855</v>
      </c>
      <c r="L422" s="37" t="str">
        <f ca="1">IF(AND(بيانات_العملاء[[#This Row],[السجل التجارى]]="موجود",TODAY()+'Other Data'!$B$23&lt;J422,بيانات_العملاء[[#This Row],[مطابقة اسم العميل بالاسم بالسجل التجارى]]="مطابق"), "سارى", "يجب اعادة طلبه")</f>
        <v>يجب اعادة طلبه</v>
      </c>
      <c r="M422" s="37" t="s">
        <v>854</v>
      </c>
      <c r="N422" s="39" t="str" cm="1">
        <f t="array" aca="1" ref="N422" ca="1">INDEX('SAP Customer Data'!$A:$AC,MATCH(بيانات_العملاء[[#This Row],[رمز شريك الأعمال]],'SAP Customer Data'!$B:$B,0),CELL("col",Table_Customer_Data[[#Headers],[LicTradNum]]))</f>
        <v>301108976400003</v>
      </c>
      <c r="O42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22" s="37" t="s">
        <v>856</v>
      </c>
      <c r="Q422" s="38"/>
      <c r="R42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2" s="37" t="s">
        <v>1080</v>
      </c>
      <c r="T422" s="40"/>
      <c r="U422" s="41"/>
      <c r="V42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22" s="37" cm="1">
        <f t="array" aca="1" ref="X422" ca="1">INDEX('SAP Customer Data'!$A:$AC,MATCH(بيانات_العملاء[[#This Row],[رمز شريك الأعمال]],'SAP Customer Data'!$B:$B,0),CELL("col",Table_Customer_Data[[#Headers],[CreditLine]]))</f>
        <v>0</v>
      </c>
      <c r="Y42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2" s="37"/>
      <c r="AA42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22" s="37"/>
      <c r="AC422" s="37"/>
      <c r="AD42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2" s="37"/>
      <c r="AF422" s="37"/>
      <c r="AG42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2" s="37"/>
      <c r="AI422" s="37"/>
      <c r="AJ42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2" s="37"/>
      <c r="AL422" s="38"/>
      <c r="AM42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2" s="37"/>
      <c r="AO422" s="41"/>
      <c r="AP42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2" s="37"/>
      <c r="AR422" s="37"/>
      <c r="AS42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2" s="41" cm="1">
        <f t="array" aca="1" ref="AT422" ca="1">INDEX('SAP Customer Data'!A:Z,MATCH(بيانات_العملاء[[#This Row],[رمز شريك الأعمال]],'SAP Customer Data'!B:B,0),CELL("col",Table_Customer_Data[[#Headers],[CreateDate]]))</f>
        <v>44744</v>
      </c>
      <c r="AU422" s="37"/>
      <c r="AV422" s="41"/>
      <c r="AW422" s="37" t="s">
        <v>2097</v>
      </c>
      <c r="AX422" s="37"/>
    </row>
    <row r="423" spans="1:50" x14ac:dyDescent="0.25">
      <c r="A423" s="36" t="str" cm="1">
        <f t="array" aca="1" ref="A423" ca="1">INDEX('SAP Customer Data'!$A:$AC,MATCH(بيانات_العملاء[[#This Row],[رمز شريك الأعمال]],'SAP Customer Data'!$B:$B,0),CELL("col",Table_Customer_Data[[#Headers],[GroupName]]))</f>
        <v>CS08</v>
      </c>
      <c r="B423" s="35" t="s">
        <v>804</v>
      </c>
      <c r="C423" s="37" t="str" cm="1">
        <f t="array" aca="1" ref="C423" ca="1">INDEX('SAP Customer Data'!$A:$AC,MATCH(بيانات_العملاء[[#This Row],[رمز شريك الأعمال]],'SAP Customer Data'!$B:$B,0),CELL("col",Table_Customer_Data[[#Headers],[CardName]]))</f>
        <v>مؤسسة محمد عبد اللطيف بن دخيل الله الحربي التجارية</v>
      </c>
      <c r="D423" s="37" t="str">
        <f ca="1">IF(بيانات_العملاء[[#This Row],[حد الائتمان على SAP]]&gt;0,"آجل","نقدى")</f>
        <v>آجل</v>
      </c>
      <c r="E423" s="37" t="s">
        <v>2108</v>
      </c>
      <c r="F423" s="37" t="s">
        <v>1081</v>
      </c>
      <c r="G423" s="37" t="s">
        <v>854</v>
      </c>
      <c r="H42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23" s="37" t="s">
        <v>854</v>
      </c>
      <c r="J423" s="38">
        <v>44919</v>
      </c>
      <c r="K423" s="37" t="s">
        <v>855</v>
      </c>
      <c r="L423" s="37" t="str">
        <f ca="1">IF(AND(بيانات_العملاء[[#This Row],[السجل التجارى]]="موجود",TODAY()+'Other Data'!$B$23&lt;J423,بيانات_العملاء[[#This Row],[مطابقة اسم العميل بالاسم بالسجل التجارى]]="مطابق"), "سارى", "يجب اعادة طلبه")</f>
        <v>يجب اعادة طلبه</v>
      </c>
      <c r="M423" s="37" t="s">
        <v>856</v>
      </c>
      <c r="N423" s="39" t="str" cm="1">
        <f t="array" aca="1" ref="N423" ca="1">INDEX('SAP Customer Data'!$A:$AC,MATCH(بيانات_العملاء[[#This Row],[رمز شريك الأعمال]],'SAP Customer Data'!$B:$B,0),CELL("col",Table_Customer_Data[[#Headers],[LicTradNum]]))</f>
        <v>302194520200003</v>
      </c>
      <c r="O42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23" s="37" t="s">
        <v>856</v>
      </c>
      <c r="Q423" s="38"/>
      <c r="R42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3" s="37" t="s">
        <v>854</v>
      </c>
      <c r="T423" s="40">
        <v>100000</v>
      </c>
      <c r="U423" s="41"/>
      <c r="V42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423" s="37" cm="1">
        <f t="array" aca="1" ref="X423" ca="1">INDEX('SAP Customer Data'!$A:$AC,MATCH(بيانات_العملاء[[#This Row],[رمز شريك الأعمال]],'SAP Customer Data'!$B:$B,0),CELL("col",Table_Customer_Data[[#Headers],[CreditLine]]))</f>
        <v>80000</v>
      </c>
      <c r="Y42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3" s="37" t="s">
        <v>855</v>
      </c>
      <c r="AA42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23" s="37" t="s">
        <v>856</v>
      </c>
      <c r="AC423" s="37"/>
      <c r="AD42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3" s="37" t="s">
        <v>856</v>
      </c>
      <c r="AF423" s="37"/>
      <c r="AG42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3" s="37" t="s">
        <v>856</v>
      </c>
      <c r="AI423" s="37"/>
      <c r="AJ42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3" s="37"/>
      <c r="AL423" s="38"/>
      <c r="AM42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3" s="37" t="s">
        <v>856</v>
      </c>
      <c r="AO423" s="41"/>
      <c r="AP42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3" s="37" t="s">
        <v>856</v>
      </c>
      <c r="AR423" s="37"/>
      <c r="AS42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3" s="41" cm="1">
        <f t="array" aca="1" ref="AT423" ca="1">INDEX('SAP Customer Data'!A:Z,MATCH(بيانات_العملاء[[#This Row],[رمز شريك الأعمال]],'SAP Customer Data'!B:B,0),CELL("col",Table_Customer_Data[[#Headers],[CreateDate]]))</f>
        <v>44728</v>
      </c>
      <c r="AU423" s="37"/>
      <c r="AV423" s="41"/>
      <c r="AW423" s="37" t="s">
        <v>2097</v>
      </c>
      <c r="AX423" s="37"/>
    </row>
    <row r="424" spans="1:50" x14ac:dyDescent="0.25">
      <c r="A424" s="36" t="str" cm="1">
        <f t="array" aca="1" ref="A424" ca="1">INDEX('SAP Customer Data'!$A:$AC,MATCH(بيانات_العملاء[[#This Row],[رمز شريك الأعمال]],'SAP Customer Data'!$B:$B,0),CELL("col",Table_Customer_Data[[#Headers],[GroupName]]))</f>
        <v>CS08</v>
      </c>
      <c r="B424" s="35" t="s">
        <v>816</v>
      </c>
      <c r="C424" s="37" t="str" cm="1">
        <f t="array" aca="1" ref="C424" ca="1">INDEX('SAP Customer Data'!$A:$AC,MATCH(بيانات_العملاء[[#This Row],[رمز شريك الأعمال]],'SAP Customer Data'!$B:$B,0),CELL("col",Table_Customer_Data[[#Headers],[CardName]]))</f>
        <v>مؤسسة الابراج الحديديه لمواد البناء - نقدي</v>
      </c>
      <c r="D424" s="37" t="str">
        <f ca="1">IF(بيانات_العملاء[[#This Row],[حد الائتمان على SAP]]&gt;0,"آجل","نقدى")</f>
        <v>نقدى</v>
      </c>
      <c r="E424" s="37" t="s">
        <v>2390</v>
      </c>
      <c r="F424" s="37" t="s">
        <v>1081</v>
      </c>
      <c r="G424" s="37" t="s">
        <v>856</v>
      </c>
      <c r="H42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24" s="37" t="s">
        <v>854</v>
      </c>
      <c r="J424" s="38">
        <v>44672</v>
      </c>
      <c r="K424" s="37" t="s">
        <v>855</v>
      </c>
      <c r="L424" s="37" t="str">
        <f ca="1">IF(AND(بيانات_العملاء[[#This Row],[السجل التجارى]]="موجود",TODAY()+'Other Data'!$B$23&lt;J424,بيانات_العملاء[[#This Row],[مطابقة اسم العميل بالاسم بالسجل التجارى]]="مطابق"), "سارى", "يجب اعادة طلبه")</f>
        <v>يجب اعادة طلبه</v>
      </c>
      <c r="M424" s="37" t="s">
        <v>856</v>
      </c>
      <c r="N424" s="39" t="str" cm="1">
        <f t="array" aca="1" ref="N424" ca="1">INDEX('SAP Customer Data'!$A:$AC,MATCH(بيانات_العملاء[[#This Row],[رمز شريك الأعمال]],'SAP Customer Data'!$B:$B,0),CELL("col",Table_Customer_Data[[#Headers],[LicTradNum]]))</f>
        <v>302284346600003</v>
      </c>
      <c r="O42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24" s="37" t="s">
        <v>856</v>
      </c>
      <c r="Q424" s="38"/>
      <c r="R42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4" s="37" t="s">
        <v>1080</v>
      </c>
      <c r="T424" s="40"/>
      <c r="U424" s="41"/>
      <c r="V42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24" s="37" cm="1">
        <f t="array" aca="1" ref="X424" ca="1">INDEX('SAP Customer Data'!$A:$AC,MATCH(بيانات_العملاء[[#This Row],[رمز شريك الأعمال]],'SAP Customer Data'!$B:$B,0),CELL("col",Table_Customer_Data[[#Headers],[CreditLine]]))</f>
        <v>0</v>
      </c>
      <c r="Y42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4" s="37"/>
      <c r="AA42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24" s="37"/>
      <c r="AC424" s="37"/>
      <c r="AD42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4" s="37"/>
      <c r="AF424" s="37"/>
      <c r="AG42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4" s="37"/>
      <c r="AI424" s="37"/>
      <c r="AJ42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4" s="37"/>
      <c r="AL424" s="38"/>
      <c r="AM42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4" s="37"/>
      <c r="AO424" s="41"/>
      <c r="AP42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4" s="37"/>
      <c r="AR424" s="37"/>
      <c r="AS42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4" s="41" cm="1">
        <f t="array" aca="1" ref="AT424" ca="1">INDEX('SAP Customer Data'!A:Z,MATCH(بيانات_العملاء[[#This Row],[رمز شريك الأعمال]],'SAP Customer Data'!B:B,0),CELL("col",Table_Customer_Data[[#Headers],[CreateDate]]))</f>
        <v>44761</v>
      </c>
      <c r="AU424" s="37"/>
      <c r="AV424" s="41"/>
      <c r="AW424" s="37" t="s">
        <v>2097</v>
      </c>
      <c r="AX424" s="37"/>
    </row>
    <row r="425" spans="1:50" x14ac:dyDescent="0.25">
      <c r="A425" s="36" t="str" cm="1">
        <f t="array" aca="1" ref="A425" ca="1">INDEX('SAP Customer Data'!$A:$AC,MATCH(بيانات_العملاء[[#This Row],[رمز شريك الأعمال]],'SAP Customer Data'!$B:$B,0),CELL("col",Table_Customer_Data[[#Headers],[GroupName]]))</f>
        <v>CS08</v>
      </c>
      <c r="B425" s="35" t="s">
        <v>802</v>
      </c>
      <c r="C425" s="37" t="str" cm="1">
        <f t="array" aca="1" ref="C425" ca="1">INDEX('SAP Customer Data'!$A:$AC,MATCH(بيانات_العملاء[[#This Row],[رمز شريك الأعمال]],'SAP Customer Data'!$B:$B,0),CELL("col",Table_Customer_Data[[#Headers],[CardName]]))</f>
        <v>فندق السدرة العالية الذهبي للايواء السياحي- نقدي</v>
      </c>
      <c r="D425" s="37" t="str">
        <f ca="1">IF(بيانات_العملاء[[#This Row],[حد الائتمان على SAP]]&gt;0,"آجل","نقدى")</f>
        <v>نقدى</v>
      </c>
      <c r="E425" s="37" t="s">
        <v>1054</v>
      </c>
      <c r="F425" s="37" t="s">
        <v>1081</v>
      </c>
      <c r="G425" s="37" t="s">
        <v>856</v>
      </c>
      <c r="H42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25" s="37" t="s">
        <v>854</v>
      </c>
      <c r="J425" s="38">
        <v>44907</v>
      </c>
      <c r="K425" s="37" t="s">
        <v>855</v>
      </c>
      <c r="L425" s="37" t="str">
        <f ca="1">IF(AND(بيانات_العملاء[[#This Row],[السجل التجارى]]="موجود",TODAY()+'Other Data'!$B$23&lt;J425,بيانات_العملاء[[#This Row],[مطابقة اسم العميل بالاسم بالسجل التجارى]]="مطابق"), "سارى", "يجب اعادة طلبه")</f>
        <v>يجب اعادة طلبه</v>
      </c>
      <c r="M425" s="37" t="s">
        <v>856</v>
      </c>
      <c r="N425" s="39" t="str" cm="1">
        <f t="array" aca="1" ref="N425" ca="1">INDEX('SAP Customer Data'!$A:$AC,MATCH(بيانات_العملاء[[#This Row],[رمز شريك الأعمال]],'SAP Customer Data'!$B:$B,0),CELL("col",Table_Customer_Data[[#Headers],[LicTradNum]]))</f>
        <v>310081675600003</v>
      </c>
      <c r="O42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25" s="37" t="s">
        <v>856</v>
      </c>
      <c r="Q425" s="38"/>
      <c r="R42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5" s="37" t="s">
        <v>1080</v>
      </c>
      <c r="T425" s="40"/>
      <c r="U425" s="41"/>
      <c r="V42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25" s="37" cm="1">
        <f t="array" aca="1" ref="X425" ca="1">INDEX('SAP Customer Data'!$A:$AC,MATCH(بيانات_العملاء[[#This Row],[رمز شريك الأعمال]],'SAP Customer Data'!$B:$B,0),CELL("col",Table_Customer_Data[[#Headers],[CreditLine]]))</f>
        <v>0</v>
      </c>
      <c r="Y42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5" s="37"/>
      <c r="AA42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25" s="37" t="s">
        <v>856</v>
      </c>
      <c r="AC425" s="37"/>
      <c r="AD42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5" s="37" t="s">
        <v>856</v>
      </c>
      <c r="AF425" s="37"/>
      <c r="AG42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5" s="37" t="s">
        <v>856</v>
      </c>
      <c r="AI425" s="37"/>
      <c r="AJ42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5" s="37"/>
      <c r="AL425" s="38"/>
      <c r="AM42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5" s="37" t="s">
        <v>856</v>
      </c>
      <c r="AO425" s="41"/>
      <c r="AP42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5" s="37" t="s">
        <v>856</v>
      </c>
      <c r="AR425" s="37"/>
      <c r="AS42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5" s="41" cm="1">
        <f t="array" aca="1" ref="AT425" ca="1">INDEX('SAP Customer Data'!A:Z,MATCH(بيانات_العملاء[[#This Row],[رمز شريك الأعمال]],'SAP Customer Data'!B:B,0),CELL("col",Table_Customer_Data[[#Headers],[CreateDate]]))</f>
        <v>44726</v>
      </c>
      <c r="AU425" s="37"/>
      <c r="AV425" s="41"/>
      <c r="AW425" s="37" t="s">
        <v>2097</v>
      </c>
      <c r="AX425" s="37"/>
    </row>
    <row r="426" spans="1:50" x14ac:dyDescent="0.25">
      <c r="A426" s="36" t="str" cm="1">
        <f t="array" aca="1" ref="A426" ca="1">INDEX('SAP Customer Data'!$A:$AC,MATCH(بيانات_العملاء[[#This Row],[رمز شريك الأعمال]],'SAP Customer Data'!$B:$B,0),CELL("col",Table_Customer_Data[[#Headers],[GroupName]]))</f>
        <v>CS08</v>
      </c>
      <c r="B426" s="35" t="s">
        <v>810</v>
      </c>
      <c r="C426" s="37" t="str" cm="1">
        <f t="array" aca="1" ref="C426" ca="1">INDEX('SAP Customer Data'!$A:$AC,MATCH(بيانات_العملاء[[#This Row],[رمز شريك الأعمال]],'SAP Customer Data'!$B:$B,0),CELL("col",Table_Customer_Data[[#Headers],[CardName]]))</f>
        <v>مؤسسة حمزة سعدالله مر غلانى التجارية</v>
      </c>
      <c r="D426" s="37" t="str">
        <f ca="1">IF(بيانات_العملاء[[#This Row],[حد الائتمان على SAP]]&gt;0,"آجل","نقدى")</f>
        <v>آجل</v>
      </c>
      <c r="E426" s="37" t="s">
        <v>1059</v>
      </c>
      <c r="F426" s="37" t="s">
        <v>1081</v>
      </c>
      <c r="G426" s="37" t="s">
        <v>854</v>
      </c>
      <c r="H42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26" s="37" t="s">
        <v>854</v>
      </c>
      <c r="J426" s="38">
        <v>45037</v>
      </c>
      <c r="K426" s="37" t="s">
        <v>855</v>
      </c>
      <c r="L426" s="37" t="str">
        <f ca="1">IF(AND(بيانات_العملاء[[#This Row],[السجل التجارى]]="موجود",TODAY()+'Other Data'!$B$23&lt;J426,بيانات_العملاء[[#This Row],[مطابقة اسم العميل بالاسم بالسجل التجارى]]="مطابق"), "سارى", "يجب اعادة طلبه")</f>
        <v>يجب اعادة طلبه</v>
      </c>
      <c r="M426" s="37" t="s">
        <v>854</v>
      </c>
      <c r="N426" s="39" t="str" cm="1">
        <f t="array" aca="1" ref="N426" ca="1">INDEX('SAP Customer Data'!$A:$AC,MATCH(بيانات_العملاء[[#This Row],[رمز شريك الأعمال]],'SAP Customer Data'!$B:$B,0),CELL("col",Table_Customer_Data[[#Headers],[LicTradNum]]))</f>
        <v>310545888700003</v>
      </c>
      <c r="O42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26" s="37" t="s">
        <v>856</v>
      </c>
      <c r="Q426" s="38"/>
      <c r="R42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6" s="37" t="s">
        <v>854</v>
      </c>
      <c r="T426" s="40">
        <v>50000</v>
      </c>
      <c r="U426" s="41"/>
      <c r="V42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26" s="37" cm="1">
        <f t="array" aca="1" ref="X426" ca="1">INDEX('SAP Customer Data'!$A:$AC,MATCH(بيانات_العملاء[[#This Row],[رمز شريك الأعمال]],'SAP Customer Data'!$B:$B,0),CELL("col",Table_Customer_Data[[#Headers],[CreditLine]]))</f>
        <v>40000</v>
      </c>
      <c r="Y42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6" s="37" t="s">
        <v>855</v>
      </c>
      <c r="AA42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26" s="37" t="s">
        <v>856</v>
      </c>
      <c r="AC426" s="37"/>
      <c r="AD42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6" s="37" t="s">
        <v>856</v>
      </c>
      <c r="AF426" s="37"/>
      <c r="AG42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6" s="37" t="s">
        <v>856</v>
      </c>
      <c r="AI426" s="37"/>
      <c r="AJ42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6" s="37"/>
      <c r="AL426" s="38"/>
      <c r="AM42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6" s="37" t="s">
        <v>856</v>
      </c>
      <c r="AO426" s="41"/>
      <c r="AP42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6" s="37" t="s">
        <v>856</v>
      </c>
      <c r="AR426" s="37"/>
      <c r="AS42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6" s="41" cm="1">
        <f t="array" aca="1" ref="AT426" ca="1">INDEX('SAP Customer Data'!A:Z,MATCH(بيانات_العملاء[[#This Row],[رمز شريك الأعمال]],'SAP Customer Data'!B:B,0),CELL("col",Table_Customer_Data[[#Headers],[CreateDate]]))</f>
        <v>44734</v>
      </c>
      <c r="AU426" s="37"/>
      <c r="AV426" s="41"/>
      <c r="AW426" s="37" t="s">
        <v>2097</v>
      </c>
      <c r="AX426" s="37"/>
    </row>
    <row r="427" spans="1:50" x14ac:dyDescent="0.25">
      <c r="A427" s="36" t="str" cm="1">
        <f t="array" aca="1" ref="A427" ca="1">INDEX('SAP Customer Data'!$A:$AC,MATCH(بيانات_العملاء[[#This Row],[رمز شريك الأعمال]],'SAP Customer Data'!$B:$B,0),CELL("col",Table_Customer_Data[[#Headers],[GroupName]]))</f>
        <v>CS08</v>
      </c>
      <c r="B427" s="35" t="s">
        <v>818</v>
      </c>
      <c r="C427" s="37" t="str" cm="1">
        <f t="array" aca="1" ref="C427" ca="1">INDEX('SAP Customer Data'!$A:$AC,MATCH(بيانات_العملاء[[#This Row],[رمز شريك الأعمال]],'SAP Customer Data'!$B:$B,0),CELL("col",Table_Customer_Data[[#Headers],[CardName]]))</f>
        <v>محل اضواء الإنارة للادوات الكهربائية</v>
      </c>
      <c r="D427" s="37" t="str">
        <f ca="1">IF(بيانات_العملاء[[#This Row],[حد الائتمان على SAP]]&gt;0,"آجل","نقدى")</f>
        <v>آجل</v>
      </c>
      <c r="E427" s="37" t="s">
        <v>1062</v>
      </c>
      <c r="F427" s="37" t="s">
        <v>1081</v>
      </c>
      <c r="G427" s="37" t="s">
        <v>854</v>
      </c>
      <c r="H42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27" s="37" t="s">
        <v>854</v>
      </c>
      <c r="J427" s="38">
        <v>44919</v>
      </c>
      <c r="K427" s="37" t="s">
        <v>855</v>
      </c>
      <c r="L427" s="37" t="str">
        <f ca="1">IF(AND(بيانات_العملاء[[#This Row],[السجل التجارى]]="موجود",TODAY()+'Other Data'!$B$23&lt;J427,بيانات_العملاء[[#This Row],[مطابقة اسم العميل بالاسم بالسجل التجارى]]="مطابق"), "سارى", "يجب اعادة طلبه")</f>
        <v>يجب اعادة طلبه</v>
      </c>
      <c r="M427" s="37" t="s">
        <v>854</v>
      </c>
      <c r="N427" s="39" t="str" cm="1">
        <f t="array" aca="1" ref="N427" ca="1">INDEX('SAP Customer Data'!$A:$AC,MATCH(بيانات_العملاء[[#This Row],[رمز شريك الأعمال]],'SAP Customer Data'!$B:$B,0),CELL("col",Table_Customer_Data[[#Headers],[LicTradNum]]))</f>
        <v>310842312100003</v>
      </c>
      <c r="O42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27" s="37" t="s">
        <v>854</v>
      </c>
      <c r="Q427" s="38">
        <v>44981</v>
      </c>
      <c r="R42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7" s="37" t="s">
        <v>854</v>
      </c>
      <c r="T427" s="40">
        <v>35000</v>
      </c>
      <c r="U427" s="41"/>
      <c r="V42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28000</v>
      </c>
      <c r="X427" s="37" cm="1">
        <f t="array" aca="1" ref="X427" ca="1">INDEX('SAP Customer Data'!$A:$AC,MATCH(بيانات_العملاء[[#This Row],[رمز شريك الأعمال]],'SAP Customer Data'!$B:$B,0),CELL("col",Table_Customer_Data[[#Headers],[CreditLine]]))</f>
        <v>28000</v>
      </c>
      <c r="Y42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7" s="37" t="s">
        <v>855</v>
      </c>
      <c r="AA42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27" s="37" t="s">
        <v>856</v>
      </c>
      <c r="AC427" s="37"/>
      <c r="AD42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7" s="37" t="s">
        <v>856</v>
      </c>
      <c r="AF427" s="37"/>
      <c r="AG42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7" s="37" t="s">
        <v>856</v>
      </c>
      <c r="AI427" s="37"/>
      <c r="AJ42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7" s="37"/>
      <c r="AL427" s="38"/>
      <c r="AM42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7" s="37" t="s">
        <v>856</v>
      </c>
      <c r="AO427" s="41"/>
      <c r="AP42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7" s="37" t="s">
        <v>856</v>
      </c>
      <c r="AR427" s="37"/>
      <c r="AS42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7" s="41" cm="1">
        <f t="array" aca="1" ref="AT427" ca="1">INDEX('SAP Customer Data'!A:Z,MATCH(بيانات_العملاء[[#This Row],[رمز شريك الأعمال]],'SAP Customer Data'!B:B,0),CELL("col",Table_Customer_Data[[#Headers],[CreateDate]]))</f>
        <v>44775</v>
      </c>
      <c r="AU427" s="37"/>
      <c r="AV427" s="41"/>
      <c r="AW427" s="37" t="s">
        <v>2097</v>
      </c>
      <c r="AX427" s="37"/>
    </row>
    <row r="428" spans="1:50" x14ac:dyDescent="0.25">
      <c r="A428" s="36" t="str" cm="1">
        <f t="array" aca="1" ref="A428" ca="1">INDEX('SAP Customer Data'!$A:$AC,MATCH(بيانات_العملاء[[#This Row],[رمز شريك الأعمال]],'SAP Customer Data'!$B:$B,0),CELL("col",Table_Customer_Data[[#Headers],[GroupName]]))</f>
        <v>CS08</v>
      </c>
      <c r="B428" s="35" t="s">
        <v>820</v>
      </c>
      <c r="C428" s="37" t="str" cm="1">
        <f t="array" aca="1" ref="C428" ca="1">INDEX('SAP Customer Data'!$A:$AC,MATCH(بيانات_العملاء[[#This Row],[رمز شريك الأعمال]],'SAP Customer Data'!$B:$B,0),CELL("col",Table_Customer_Data[[#Headers],[CardName]]))</f>
        <v>مؤسسة اضواء الفال التجارية</v>
      </c>
      <c r="D428" s="37" t="str">
        <f ca="1">IF(بيانات_العملاء[[#This Row],[حد الائتمان على SAP]]&gt;0,"آجل","نقدى")</f>
        <v>آجل</v>
      </c>
      <c r="E428" s="37" t="s">
        <v>2109</v>
      </c>
      <c r="F428" s="37" t="s">
        <v>1081</v>
      </c>
      <c r="G428" s="37" t="s">
        <v>854</v>
      </c>
      <c r="H42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28" s="37" t="s">
        <v>854</v>
      </c>
      <c r="J428" s="38">
        <v>45198</v>
      </c>
      <c r="K428" s="37" t="s">
        <v>855</v>
      </c>
      <c r="L428" s="37" t="str">
        <f ca="1">IF(AND(بيانات_العملاء[[#This Row],[السجل التجارى]]="موجود",TODAY()+'Other Data'!$B$23&lt;J428,بيانات_العملاء[[#This Row],[مطابقة اسم العميل بالاسم بالسجل التجارى]]="مطابق"), "سارى", "يجب اعادة طلبه")</f>
        <v>يجب اعادة طلبه</v>
      </c>
      <c r="M428" s="37" t="s">
        <v>854</v>
      </c>
      <c r="N428" s="39" t="str" cm="1">
        <f t="array" aca="1" ref="N428" ca="1">INDEX('SAP Customer Data'!$A:$AC,MATCH(بيانات_العملاء[[#This Row],[رمز شريك الأعمال]],'SAP Customer Data'!$B:$B,0),CELL("col",Table_Customer_Data[[#Headers],[LicTradNum]]))</f>
        <v>311068831600003</v>
      </c>
      <c r="O42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28" s="37" t="s">
        <v>854</v>
      </c>
      <c r="Q428" s="38">
        <v>44851</v>
      </c>
      <c r="R42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28" s="37" t="s">
        <v>854</v>
      </c>
      <c r="T428" s="40">
        <v>20000</v>
      </c>
      <c r="U428" s="41"/>
      <c r="V42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428" s="37" cm="1">
        <f t="array" aca="1" ref="X428" ca="1">INDEX('SAP Customer Data'!$A:$AC,MATCH(بيانات_العملاء[[#This Row],[رمز شريك الأعمال]],'SAP Customer Data'!$B:$B,0),CELL("col",Table_Customer_Data[[#Headers],[CreditLine]]))</f>
        <v>16000</v>
      </c>
      <c r="Y42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8" s="37" t="s">
        <v>855</v>
      </c>
      <c r="AA42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28" s="37" t="s">
        <v>854</v>
      </c>
      <c r="AC428" s="45">
        <v>44993</v>
      </c>
      <c r="AD42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8" s="37" t="s">
        <v>854</v>
      </c>
      <c r="AF428" s="41">
        <v>47049</v>
      </c>
      <c r="AG42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428" s="37" t="s">
        <v>854</v>
      </c>
      <c r="AI428" s="41">
        <v>44666</v>
      </c>
      <c r="AJ42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8" s="37"/>
      <c r="AL428" s="38"/>
      <c r="AM42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8" s="37" t="s">
        <v>856</v>
      </c>
      <c r="AO428" s="41"/>
      <c r="AP42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8" s="37" t="s">
        <v>856</v>
      </c>
      <c r="AR428" s="37"/>
      <c r="AS42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8" s="41" cm="1">
        <f t="array" aca="1" ref="AT428" ca="1">INDEX('SAP Customer Data'!A:Z,MATCH(بيانات_العملاء[[#This Row],[رمز شريك الأعمال]],'SAP Customer Data'!B:B,0),CELL("col",Table_Customer_Data[[#Headers],[CreateDate]]))</f>
        <v>44833</v>
      </c>
      <c r="AU428" s="37"/>
      <c r="AV428" s="41"/>
      <c r="AW428" s="37" t="s">
        <v>2097</v>
      </c>
      <c r="AX428" s="37"/>
    </row>
    <row r="429" spans="1:50" x14ac:dyDescent="0.25">
      <c r="A429" s="36" t="str" cm="1">
        <f t="array" aca="1" ref="A429" ca="1">INDEX('SAP Customer Data'!$A:$AC,MATCH(بيانات_العملاء[[#This Row],[رمز شريك الأعمال]],'SAP Customer Data'!$B:$B,0),CELL("col",Table_Customer_Data[[#Headers],[GroupName]]))</f>
        <v>CS08</v>
      </c>
      <c r="B429" s="35" t="s">
        <v>803</v>
      </c>
      <c r="C429" s="37" t="str" cm="1">
        <f t="array" aca="1" ref="C429" ca="1">INDEX('SAP Customer Data'!$A:$AC,MATCH(بيانات_العملاء[[#This Row],[رمز شريك الأعمال]],'SAP Customer Data'!$B:$B,0),CELL("col",Table_Customer_Data[[#Headers],[CardName]]))</f>
        <v>محل سما الكهرباء للتجارة -نقدى</v>
      </c>
      <c r="D429" s="37" t="str">
        <f ca="1">IF(بيانات_العملاء[[#This Row],[حد الائتمان على SAP]]&gt;0,"آجل","نقدى")</f>
        <v>نقدى</v>
      </c>
      <c r="E429" s="37" t="s">
        <v>1058</v>
      </c>
      <c r="F429" s="37" t="s">
        <v>1081</v>
      </c>
      <c r="G429" s="37" t="s">
        <v>856</v>
      </c>
      <c r="H42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29" s="37" t="s">
        <v>854</v>
      </c>
      <c r="J429" s="38">
        <v>45205</v>
      </c>
      <c r="K429" s="37" t="s">
        <v>855</v>
      </c>
      <c r="L429" s="37" t="str">
        <f ca="1">IF(AND(بيانات_العملاء[[#This Row],[السجل التجارى]]="موجود",TODAY()+'Other Data'!$B$23&lt;J429,بيانات_العملاء[[#This Row],[مطابقة اسم العميل بالاسم بالسجل التجارى]]="مطابق"), "سارى", "يجب اعادة طلبه")</f>
        <v>يجب اعادة طلبه</v>
      </c>
      <c r="M429" s="37" t="s">
        <v>854</v>
      </c>
      <c r="N429" s="39" t="str" cm="1">
        <f t="array" aca="1" ref="N429" ca="1">INDEX('SAP Customer Data'!$A:$AC,MATCH(بيانات_العملاء[[#This Row],[رمز شريك الأعمال]],'SAP Customer Data'!$B:$B,0),CELL("col",Table_Customer_Data[[#Headers],[LicTradNum]]))</f>
        <v>311151237700003</v>
      </c>
      <c r="O42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29" s="37" t="s">
        <v>854</v>
      </c>
      <c r="Q429" s="38">
        <v>45657</v>
      </c>
      <c r="R42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29" s="37" t="s">
        <v>1080</v>
      </c>
      <c r="T429" s="40"/>
      <c r="U429" s="41"/>
      <c r="V42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2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29" s="37" cm="1">
        <f t="array" aca="1" ref="X429" ca="1">INDEX('SAP Customer Data'!$A:$AC,MATCH(بيانات_العملاء[[#This Row],[رمز شريك الأعمال]],'SAP Customer Data'!$B:$B,0),CELL("col",Table_Customer_Data[[#Headers],[CreditLine]]))</f>
        <v>0</v>
      </c>
      <c r="Y42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29" s="37"/>
      <c r="AA42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29" s="37" t="s">
        <v>856</v>
      </c>
      <c r="AC429" s="37"/>
      <c r="AD42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29" s="37" t="s">
        <v>856</v>
      </c>
      <c r="AF429" s="37"/>
      <c r="AG42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29" s="37" t="s">
        <v>856</v>
      </c>
      <c r="AI429" s="37"/>
      <c r="AJ42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29" s="37"/>
      <c r="AL429" s="38"/>
      <c r="AM42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29" s="37" t="s">
        <v>854</v>
      </c>
      <c r="AO429" s="41">
        <v>44686</v>
      </c>
      <c r="AP42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29" s="37" t="s">
        <v>856</v>
      </c>
      <c r="AR429" s="37"/>
      <c r="AS42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29" s="41" cm="1">
        <f t="array" aca="1" ref="AT429" ca="1">INDEX('SAP Customer Data'!A:Z,MATCH(بيانات_العملاء[[#This Row],[رمز شريك الأعمال]],'SAP Customer Data'!B:B,0),CELL("col",Table_Customer_Data[[#Headers],[CreateDate]]))</f>
        <v>44727</v>
      </c>
      <c r="AU429" s="37"/>
      <c r="AV429" s="41"/>
      <c r="AW429" s="37" t="s">
        <v>2097</v>
      </c>
      <c r="AX429" s="37"/>
    </row>
    <row r="430" spans="1:50" x14ac:dyDescent="0.25">
      <c r="A430" s="16" t="str" cm="1">
        <f t="array" aca="1" ref="A430" ca="1">INDEX('SAP Customer Data'!$A:$AC,MATCH(بيانات_العملاء[[#This Row],[رمز شريك الأعمال]],'SAP Customer Data'!$B:$B,0),CELL("col",Table_Customer_Data[[#Headers],[GroupName]]))</f>
        <v>CS08</v>
      </c>
      <c r="B430" s="17" t="s">
        <v>812</v>
      </c>
      <c r="C430" s="15" t="str" cm="1">
        <f t="array" aca="1" ref="C430" ca="1">INDEX('SAP Customer Data'!$A:$AC,MATCH(بيانات_العملاء[[#This Row],[رمز شريك الأعمال]],'SAP Customer Data'!$B:$B,0),CELL("col",Table_Customer_Data[[#Headers],[CardName]]))</f>
        <v>مؤسسة إضاءات طيبة للكهرباء</v>
      </c>
      <c r="D430" s="15" t="str">
        <f ca="1">IF(بيانات_العملاء[[#This Row],[حد الائتمان على SAP]]&gt;0,"آجل","نقدى")</f>
        <v>آجل</v>
      </c>
      <c r="E430" s="15" t="s">
        <v>1060</v>
      </c>
      <c r="F430" s="15" t="s">
        <v>1081</v>
      </c>
      <c r="G430" s="15" t="s">
        <v>854</v>
      </c>
      <c r="H430" s="15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30" s="15" t="s">
        <v>854</v>
      </c>
      <c r="J430" s="18">
        <v>45051</v>
      </c>
      <c r="K430" s="15" t="s">
        <v>855</v>
      </c>
      <c r="L430" s="15" t="str">
        <f ca="1">IF(AND(بيانات_العملاء[[#This Row],[السجل التجارى]]="موجود",TODAY()+'Other Data'!$B$23&lt;J430,بيانات_العملاء[[#This Row],[مطابقة اسم العميل بالاسم بالسجل التجارى]]="مطابق"), "سارى", "يجب اعادة طلبه")</f>
        <v>يجب اعادة طلبه</v>
      </c>
      <c r="M430" s="15" t="s">
        <v>854</v>
      </c>
      <c r="N430" s="19" t="str" cm="1">
        <f t="array" aca="1" ref="N430" ca="1">INDEX('SAP Customer Data'!$A:$AC,MATCH(بيانات_العملاء[[#This Row],[رمز شريك الأعمال]],'SAP Customer Data'!$B:$B,0),CELL("col",Table_Customer_Data[[#Headers],[LicTradNum]]))</f>
        <v>311231508400003</v>
      </c>
      <c r="O430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0" s="15" t="s">
        <v>856</v>
      </c>
      <c r="Q430" s="18"/>
      <c r="R430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0" s="15" t="s">
        <v>854</v>
      </c>
      <c r="T430" s="20">
        <v>75000</v>
      </c>
      <c r="U430" s="8"/>
      <c r="V430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3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60000</v>
      </c>
      <c r="X430" s="15" cm="1">
        <f t="array" aca="1" ref="X430" ca="1">INDEX('SAP Customer Data'!$A:$AC,MATCH(بيانات_العملاء[[#This Row],[رمز شريك الأعمال]],'SAP Customer Data'!$B:$B,0),CELL("col",Table_Customer_Data[[#Headers],[CreditLine]]))</f>
        <v>60000</v>
      </c>
      <c r="Y43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0" s="15" t="s">
        <v>855</v>
      </c>
      <c r="AA43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30" s="15" t="s">
        <v>854</v>
      </c>
      <c r="AC430" s="8">
        <v>44862</v>
      </c>
      <c r="AD430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0" s="15" t="s">
        <v>856</v>
      </c>
      <c r="AF430" s="15"/>
      <c r="AG430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0" s="15" t="s">
        <v>856</v>
      </c>
      <c r="AI430" s="15"/>
      <c r="AJ430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0" s="15"/>
      <c r="AL430" s="18"/>
      <c r="AM430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0" s="15" t="s">
        <v>854</v>
      </c>
      <c r="AO430" s="8">
        <v>44835</v>
      </c>
      <c r="AP430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0" s="15" t="s">
        <v>856</v>
      </c>
      <c r="AR430" s="15"/>
      <c r="AS430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0" s="8" cm="1">
        <f t="array" aca="1" ref="AT430" ca="1">INDEX('SAP Customer Data'!A:Z,MATCH(بيانات_العملاء[[#This Row],[رمز شريك الأعمال]],'SAP Customer Data'!B:B,0),CELL("col",Table_Customer_Data[[#Headers],[CreateDate]]))</f>
        <v>44742</v>
      </c>
      <c r="AU430" s="15"/>
      <c r="AV430" s="8" t="s">
        <v>2274</v>
      </c>
      <c r="AW430" s="15" t="s">
        <v>2097</v>
      </c>
      <c r="AX430" s="15"/>
    </row>
    <row r="431" spans="1:50" x14ac:dyDescent="0.25">
      <c r="A431" s="36" t="str" cm="1">
        <f t="array" aca="1" ref="A431" ca="1">INDEX('SAP Customer Data'!$A:$AC,MATCH(بيانات_العملاء[[#This Row],[رمز شريك الأعمال]],'SAP Customer Data'!$B:$B,0),CELL("col",Table_Customer_Data[[#Headers],[GroupName]]))</f>
        <v>CS08</v>
      </c>
      <c r="B431" s="35" t="s">
        <v>806</v>
      </c>
      <c r="C431" s="37" t="str" cm="1">
        <f t="array" aca="1" ref="C431" ca="1">INDEX('SAP Customer Data'!$A:$AC,MATCH(بيانات_العملاء[[#This Row],[رمز شريك الأعمال]],'SAP Customer Data'!$B:$B,0),CELL("col",Table_Customer_Data[[#Headers],[CardName]]))</f>
        <v>شركة برج الإنارة التجارية</v>
      </c>
      <c r="D431" s="37" t="str">
        <f ca="1">IF(بيانات_العملاء[[#This Row],[حد الائتمان على SAP]]&gt;0,"آجل","نقدى")</f>
        <v>آجل</v>
      </c>
      <c r="E431" s="37"/>
      <c r="F431" s="37" t="s">
        <v>908</v>
      </c>
      <c r="G431" s="37" t="s">
        <v>854</v>
      </c>
      <c r="H43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31" s="37" t="s">
        <v>854</v>
      </c>
      <c r="J431" s="38">
        <v>45009</v>
      </c>
      <c r="K431" s="37" t="s">
        <v>855</v>
      </c>
      <c r="L431" s="37" t="str">
        <f ca="1">IF(AND(بيانات_العملاء[[#This Row],[السجل التجارى]]="موجود",TODAY()+'Other Data'!$B$23&lt;J431,بيانات_العملاء[[#This Row],[مطابقة اسم العميل بالاسم بالسجل التجارى]]="مطابق"), "سارى", "يجب اعادة طلبه")</f>
        <v>يجب اعادة طلبه</v>
      </c>
      <c r="M431" s="37" t="s">
        <v>854</v>
      </c>
      <c r="N431" s="39" t="str" cm="1">
        <f t="array" aca="1" ref="N431" ca="1">INDEX('SAP Customer Data'!$A:$AC,MATCH(بيانات_العملاء[[#This Row],[رمز شريك الأعمال]],'SAP Customer Data'!$B:$B,0),CELL("col",Table_Customer_Data[[#Headers],[LicTradNum]]))</f>
        <v>311267873800003</v>
      </c>
      <c r="O43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1" s="37" t="s">
        <v>856</v>
      </c>
      <c r="Q431" s="38"/>
      <c r="R43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1" s="37" t="s">
        <v>854</v>
      </c>
      <c r="T431" s="40">
        <v>50000</v>
      </c>
      <c r="U431" s="41"/>
      <c r="V43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3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31" s="37" cm="1">
        <f t="array" aca="1" ref="X431" ca="1">INDEX('SAP Customer Data'!$A:$AC,MATCH(بيانات_العملاء[[#This Row],[رمز شريك الأعمال]],'SAP Customer Data'!$B:$B,0),CELL("col",Table_Customer_Data[[#Headers],[CreditLine]]))</f>
        <v>40000</v>
      </c>
      <c r="Y43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1" s="37" t="s">
        <v>855</v>
      </c>
      <c r="AA43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31" s="37" t="s">
        <v>856</v>
      </c>
      <c r="AC431" s="37"/>
      <c r="AD43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1" s="37" t="s">
        <v>856</v>
      </c>
      <c r="AF431" s="37"/>
      <c r="AG43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1" s="37" t="s">
        <v>856</v>
      </c>
      <c r="AI431" s="37"/>
      <c r="AJ43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1" s="37"/>
      <c r="AL431" s="38"/>
      <c r="AM43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1" s="37" t="s">
        <v>856</v>
      </c>
      <c r="AO431" s="41"/>
      <c r="AP43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1" s="37" t="s">
        <v>856</v>
      </c>
      <c r="AR431" s="37"/>
      <c r="AS43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1" s="41" cm="1">
        <f t="array" aca="1" ref="AT431" ca="1">INDEX('SAP Customer Data'!A:Z,MATCH(بيانات_العملاء[[#This Row],[رمز شريك الأعمال]],'SAP Customer Data'!B:B,0),CELL("col",Table_Customer_Data[[#Headers],[CreateDate]]))</f>
        <v>44730</v>
      </c>
      <c r="AU431" s="37"/>
      <c r="AV431" s="41"/>
      <c r="AW431" s="37" t="s">
        <v>2097</v>
      </c>
      <c r="AX431" s="37"/>
    </row>
    <row r="432" spans="1:50" x14ac:dyDescent="0.25">
      <c r="A432" s="36" t="str" cm="1">
        <f t="array" aca="1" ref="A432" ca="1">INDEX('SAP Customer Data'!$A:$AC,MATCH(بيانات_العملاء[[#This Row],[رمز شريك الأعمال]],'SAP Customer Data'!$B:$B,0),CELL("col",Table_Customer_Data[[#Headers],[GroupName]]))</f>
        <v>CS08</v>
      </c>
      <c r="B432" s="35" t="s">
        <v>800</v>
      </c>
      <c r="C432" s="37" t="str" cm="1">
        <f t="array" aca="1" ref="C432" ca="1">INDEX('SAP Customer Data'!$A:$AC,MATCH(بيانات_العملاء[[#This Row],[رمز شريك الأعمال]],'SAP Customer Data'!$B:$B,0),CELL("col",Table_Customer_Data[[#Headers],[CardName]]))</f>
        <v>مؤسسة اضواء الشرق للتجارة-نقدي</v>
      </c>
      <c r="D432" s="37" t="str">
        <f ca="1">IF(بيانات_العملاء[[#This Row],[حد الائتمان على SAP]]&gt;0,"آجل","نقدى")</f>
        <v>نقدى</v>
      </c>
      <c r="E432" s="37"/>
      <c r="F432" s="37" t="s">
        <v>1082</v>
      </c>
      <c r="G432" s="37" t="s">
        <v>856</v>
      </c>
      <c r="H43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32" s="37" t="s">
        <v>856</v>
      </c>
      <c r="J432" s="38"/>
      <c r="K432" s="37"/>
      <c r="L432" s="37" t="str">
        <f ca="1">IF(AND(بيانات_العملاء[[#This Row],[السجل التجارى]]="موجود",TODAY()+'Other Data'!$B$23&lt;J432,بيانات_العملاء[[#This Row],[مطابقة اسم العميل بالاسم بالسجل التجارى]]="مطابق"), "سارى", "يجب اعادة طلبه")</f>
        <v>يجب اعادة طلبه</v>
      </c>
      <c r="M432" s="37" t="s">
        <v>856</v>
      </c>
      <c r="N432" s="39" t="str" cm="1">
        <f t="array" aca="1" ref="N432" ca="1">INDEX('SAP Customer Data'!$A:$AC,MATCH(بيانات_العملاء[[#This Row],[رمز شريك الأعمال]],'SAP Customer Data'!$B:$B,0),CELL("col",Table_Customer_Data[[#Headers],[LicTradNum]]))</f>
        <v>311292182600003</v>
      </c>
      <c r="O43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32" s="37" t="s">
        <v>856</v>
      </c>
      <c r="Q432" s="38"/>
      <c r="R43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2" s="37" t="s">
        <v>1080</v>
      </c>
      <c r="T432" s="40"/>
      <c r="U432" s="41"/>
      <c r="V43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3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32" s="37" cm="1">
        <f t="array" aca="1" ref="X432" ca="1">INDEX('SAP Customer Data'!$A:$AC,MATCH(بيانات_العملاء[[#This Row],[رمز شريك الأعمال]],'SAP Customer Data'!$B:$B,0),CELL("col",Table_Customer_Data[[#Headers],[CreditLine]]))</f>
        <v>0</v>
      </c>
      <c r="Y43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2" s="37"/>
      <c r="AA43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32" s="37" t="s">
        <v>856</v>
      </c>
      <c r="AC432" s="37"/>
      <c r="AD43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2" s="37" t="s">
        <v>856</v>
      </c>
      <c r="AF432" s="37"/>
      <c r="AG43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2" s="37" t="s">
        <v>856</v>
      </c>
      <c r="AI432" s="37"/>
      <c r="AJ43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2" s="37"/>
      <c r="AL432" s="38"/>
      <c r="AM43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2" s="37" t="s">
        <v>856</v>
      </c>
      <c r="AO432" s="41"/>
      <c r="AP43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2" s="37" t="s">
        <v>856</v>
      </c>
      <c r="AR432" s="37"/>
      <c r="AS43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2" s="41" cm="1">
        <f t="array" aca="1" ref="AT432" ca="1">INDEX('SAP Customer Data'!A:Z,MATCH(بيانات_العملاء[[#This Row],[رمز شريك الأعمال]],'SAP Customer Data'!B:B,0),CELL("col",Table_Customer_Data[[#Headers],[CreateDate]]))</f>
        <v>44723</v>
      </c>
      <c r="AU432" s="37"/>
      <c r="AV432" s="41"/>
      <c r="AW432" s="37" t="s">
        <v>2097</v>
      </c>
      <c r="AX432" s="37"/>
    </row>
    <row r="433" spans="1:50" x14ac:dyDescent="0.25">
      <c r="A433" s="36" t="str" cm="1">
        <f t="array" aca="1" ref="A433" ca="1">INDEX('SAP Customer Data'!$A:$AC,MATCH(بيانات_العملاء[[#This Row],[رمز شريك الأعمال]],'SAP Customer Data'!$B:$B,0),CELL("col",Table_Customer_Data[[#Headers],[GroupName]]))</f>
        <v>CS08</v>
      </c>
      <c r="B433" s="35" t="s">
        <v>948</v>
      </c>
      <c r="C433" s="37" t="str" cm="1">
        <f t="array" aca="1" ref="C433" ca="1">INDEX('SAP Customer Data'!$A:$AC,MATCH(بيانات_العملاء[[#This Row],[رمز شريك الأعمال]],'SAP Customer Data'!$B:$B,0),CELL("col",Table_Customer_Data[[#Headers],[CardName]]))</f>
        <v>مؤسسة اضواء الرائد التجارية - نقدى</v>
      </c>
      <c r="D433" s="37" t="str">
        <f ca="1">IF(بيانات_العملاء[[#This Row],[حد الائتمان على SAP]]&gt;0,"آجل","نقدى")</f>
        <v>نقدى</v>
      </c>
      <c r="E433" s="37" t="s">
        <v>1003</v>
      </c>
      <c r="F433" s="37" t="s">
        <v>1081</v>
      </c>
      <c r="G433" s="37" t="s">
        <v>856</v>
      </c>
      <c r="H43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33" s="37" t="s">
        <v>854</v>
      </c>
      <c r="J433" s="38">
        <v>45227</v>
      </c>
      <c r="K433" s="37" t="s">
        <v>855</v>
      </c>
      <c r="L433" s="37" t="str">
        <f ca="1">IF(AND(بيانات_العملاء[[#This Row],[السجل التجارى]]="موجود",TODAY()+'Other Data'!$B$23&lt;J433,بيانات_العملاء[[#This Row],[مطابقة اسم العميل بالاسم بالسجل التجارى]]="مطابق"), "سارى", "يجب اعادة طلبه")</f>
        <v>سارى</v>
      </c>
      <c r="M433" s="37" t="s">
        <v>854</v>
      </c>
      <c r="N433" s="39" t="str" cm="1">
        <f t="array" aca="1" ref="N433" ca="1">INDEX('SAP Customer Data'!$A:$AC,MATCH(بيانات_العملاء[[#This Row],[رمز شريك الأعمال]],'SAP Customer Data'!$B:$B,0),CELL("col",Table_Customer_Data[[#Headers],[LicTradNum]]))</f>
        <v>311460950100003</v>
      </c>
      <c r="O43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3" s="37" t="s">
        <v>856</v>
      </c>
      <c r="Q433" s="38"/>
      <c r="R43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3" s="37" t="s">
        <v>1080</v>
      </c>
      <c r="T433" s="40"/>
      <c r="U433" s="41"/>
      <c r="V43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3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33" s="37" cm="1">
        <f t="array" aca="1" ref="X433" ca="1">INDEX('SAP Customer Data'!$A:$AC,MATCH(بيانات_العملاء[[#This Row],[رمز شريك الأعمال]],'SAP Customer Data'!$B:$B,0),CELL("col",Table_Customer_Data[[#Headers],[CreditLine]]))</f>
        <v>0</v>
      </c>
      <c r="Y43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3" s="37"/>
      <c r="AA43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33" s="37" t="s">
        <v>854</v>
      </c>
      <c r="AC433" s="41">
        <v>45590</v>
      </c>
      <c r="AD43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433" s="37" t="s">
        <v>856</v>
      </c>
      <c r="AF433" s="37"/>
      <c r="AG43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3" s="37" t="s">
        <v>856</v>
      </c>
      <c r="AI433" s="37"/>
      <c r="AJ43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3" s="37"/>
      <c r="AL433" s="38"/>
      <c r="AM43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3" s="37" t="s">
        <v>856</v>
      </c>
      <c r="AO433" s="41"/>
      <c r="AP43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3" s="37" t="s">
        <v>856</v>
      </c>
      <c r="AR433" s="37"/>
      <c r="AS43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3" s="41" cm="1">
        <f t="array" aca="1" ref="AT433" ca="1">INDEX('SAP Customer Data'!A:Z,MATCH(بيانات_العملاء[[#This Row],[رمز شريك الأعمال]],'SAP Customer Data'!B:B,0),CELL("col",Table_Customer_Data[[#Headers],[CreateDate]]))</f>
        <v>44948</v>
      </c>
      <c r="AU433" s="37"/>
      <c r="AV433" s="41"/>
      <c r="AW433" s="37" t="s">
        <v>2097</v>
      </c>
      <c r="AX433" s="37"/>
    </row>
    <row r="434" spans="1:50" x14ac:dyDescent="0.25">
      <c r="A434" s="36" t="str" cm="1">
        <f t="array" aca="1" ref="A434" ca="1">INDEX('SAP Customer Data'!$A:$AC,MATCH(بيانات_العملاء[[#This Row],[رمز شريك الأعمال]],'SAP Customer Data'!$B:$B,0),CELL("col",Table_Customer_Data[[#Headers],[GroupName]]))</f>
        <v>CS08</v>
      </c>
      <c r="B434" s="35" t="s">
        <v>1487</v>
      </c>
      <c r="C434" s="37" t="str" cm="1">
        <f t="array" aca="1" ref="C434" ca="1">INDEX('SAP Customer Data'!$A:$AC,MATCH(بيانات_العملاء[[#This Row],[رمز شريك الأعمال]],'SAP Customer Data'!$B:$B,0),CELL("col",Table_Customer_Data[[#Headers],[CardName]]))</f>
        <v>عميل بضمان المندوب -CS08</v>
      </c>
      <c r="D434" s="37" t="str">
        <f ca="1">IF(بيانات_العملاء[[#This Row],[حد الائتمان على SAP]]&gt;0,"آجل","نقدى")</f>
        <v>نقدى</v>
      </c>
      <c r="E434" s="37"/>
      <c r="F434" s="37"/>
      <c r="G434" s="37"/>
      <c r="H43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34" s="37"/>
      <c r="J434" s="38"/>
      <c r="K434" s="41" t="str">
        <f>IF(بيانات_العملاء[[#This Row],[السجل التجارى]]="غير موجود", "غير مطابق", "")</f>
        <v/>
      </c>
      <c r="L434" s="37" t="str">
        <f ca="1">IF(AND(بيانات_العملاء[[#This Row],[السجل التجارى]]="موجود",TODAY()+'Other Data'!$B$23&lt;J434,بيانات_العملاء[[#This Row],[مطابقة اسم العميل بالاسم بالسجل التجارى]]="مطابق"), "سارى", "يجب اعادة طلبه")</f>
        <v>يجب اعادة طلبه</v>
      </c>
      <c r="M434" s="37"/>
      <c r="N434" s="39" t="str" cm="1">
        <f t="array" aca="1" ref="N434" ca="1">INDEX('SAP Customer Data'!$A:$AC,MATCH(بيانات_العملاء[[#This Row],[رمز شريك الأعمال]],'SAP Customer Data'!$B:$B,0),CELL("col",Table_Customer_Data[[#Headers],[LicTradNum]]))</f>
        <v>سامر زيني</v>
      </c>
      <c r="O43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34" s="37"/>
      <c r="Q434" s="38"/>
      <c r="R434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34" s="37" t="s">
        <v>1080</v>
      </c>
      <c r="T434" s="40"/>
      <c r="U434" s="41"/>
      <c r="V43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3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34" s="37" cm="1">
        <f t="array" aca="1" ref="X434" ca="1">INDEX('SAP Customer Data'!$A:$AC,MATCH(بيانات_العملاء[[#This Row],[رمز شريك الأعمال]],'SAP Customer Data'!$B:$B,0),CELL("col",Table_Customer_Data[[#Headers],[CreditLine]]))</f>
        <v>0</v>
      </c>
      <c r="Y43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4" s="37"/>
      <c r="AA43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34" s="37"/>
      <c r="AC434" s="37"/>
      <c r="AD434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4" s="37"/>
      <c r="AF434" s="37"/>
      <c r="AG43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34" s="37"/>
      <c r="AI434" s="37"/>
      <c r="AJ43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34" s="37"/>
      <c r="AL434" s="38"/>
      <c r="AM43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4" s="37"/>
      <c r="AO434" s="41"/>
      <c r="AP43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4" s="37"/>
      <c r="AR434" s="37"/>
      <c r="AS43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34" s="41" cm="1">
        <f t="array" aca="1" ref="AT434" ca="1">INDEX('SAP Customer Data'!A:Z,MATCH(بيانات_العملاء[[#This Row],[رمز شريك الأعمال]],'SAP Customer Data'!B:B,0),CELL("col",Table_Customer_Data[[#Headers],[CreateDate]]))</f>
        <v>44693</v>
      </c>
      <c r="AU434" s="41"/>
      <c r="AV434" s="41"/>
      <c r="AW434" s="37" t="s">
        <v>2097</v>
      </c>
      <c r="AX434" s="37"/>
    </row>
    <row r="435" spans="1:50" x14ac:dyDescent="0.25">
      <c r="A435" s="36" t="str" cm="1">
        <f t="array" aca="1" ref="A435" ca="1">INDEX('SAP Customer Data'!$A:$AC,MATCH(بيانات_العملاء[[#This Row],[رمز شريك الأعمال]],'SAP Customer Data'!$B:$B,0),CELL("col",Table_Customer_Data[[#Headers],[GroupName]]))</f>
        <v>CS09</v>
      </c>
      <c r="B435" s="35" t="s">
        <v>323</v>
      </c>
      <c r="C435" s="37" t="str" cm="1">
        <f t="array" aca="1" ref="C435" ca="1">INDEX('SAP Customer Data'!$A:$AC,MATCH(بيانات_العملاء[[#This Row],[رمز شريك الأعمال]],'SAP Customer Data'!$B:$B,0),CELL("col",Table_Customer_Data[[#Headers],[CardName]]))</f>
        <v>التوريد الفوري فرع المرسلات</v>
      </c>
      <c r="D435" s="37" t="str">
        <f ca="1">IF(بيانات_العملاء[[#This Row],[حد الائتمان على SAP]]&gt;0,"آجل","نقدى")</f>
        <v>آجل</v>
      </c>
      <c r="E435" s="37"/>
      <c r="F435" s="37"/>
      <c r="G435" s="37" t="s">
        <v>854</v>
      </c>
      <c r="H43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35" s="37" t="s">
        <v>856</v>
      </c>
      <c r="J435" s="38"/>
      <c r="K435" s="37"/>
      <c r="L435" s="37" t="str">
        <f ca="1">IF(AND(بيانات_العملاء[[#This Row],[السجل التجارى]]="موجود",TODAY()+'Other Data'!$B$23&lt;J435,بيانات_العملاء[[#This Row],[مطابقة اسم العميل بالاسم بالسجل التجارى]]="مطابق"), "سارى", "يجب اعادة طلبه")</f>
        <v>يجب اعادة طلبه</v>
      </c>
      <c r="M435" s="37" t="s">
        <v>854</v>
      </c>
      <c r="N435" s="39" t="str" cm="1">
        <f t="array" aca="1" ref="N435" ca="1">INDEX('SAP Customer Data'!$A:$AC,MATCH(بيانات_العملاء[[#This Row],[رمز شريك الأعمال]],'SAP Customer Data'!$B:$B,0),CELL("col",Table_Customer_Data[[#Headers],[LicTradNum]]))</f>
        <v>300024635700003</v>
      </c>
      <c r="O43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5" s="37" t="s">
        <v>856</v>
      </c>
      <c r="Q435" s="38"/>
      <c r="R43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5" s="37" t="s">
        <v>854</v>
      </c>
      <c r="T435" s="40">
        <v>100000</v>
      </c>
      <c r="U435" s="41">
        <v>43678</v>
      </c>
      <c r="V435" s="41">
        <f>IF(بيانات_العملاء[[#This Row],[تاريخ انشاء سند الامر او الاستثناء]]="",0,بيانات_العملاء[[#This Row],[تاريخ انشاء سند الامر او الاستثناء]]+365*3)</f>
        <v>44773</v>
      </c>
      <c r="W43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435" s="37" cm="1">
        <f t="array" aca="1" ref="X435" ca="1">INDEX('SAP Customer Data'!$A:$AC,MATCH(بيانات_العملاء[[#This Row],[رمز شريك الأعمال]],'SAP Customer Data'!$B:$B,0),CELL("col",Table_Customer_Data[[#Headers],[CreditLine]]))</f>
        <v>80000</v>
      </c>
      <c r="Y43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5" s="37" t="s">
        <v>859</v>
      </c>
      <c r="AA43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35" s="37" t="s">
        <v>856</v>
      </c>
      <c r="AC435" s="37"/>
      <c r="AD43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5" s="37" t="s">
        <v>856</v>
      </c>
      <c r="AF435" s="37"/>
      <c r="AG43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5" s="37" t="s">
        <v>856</v>
      </c>
      <c r="AI435" s="37"/>
      <c r="AJ43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5" s="37" t="s">
        <v>856</v>
      </c>
      <c r="AL435" s="38"/>
      <c r="AM43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5" s="37" t="s">
        <v>856</v>
      </c>
      <c r="AO435" s="41"/>
      <c r="AP43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5" s="37" t="s">
        <v>856</v>
      </c>
      <c r="AR435" s="37"/>
      <c r="AS43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5" s="41" cm="1">
        <f t="array" aca="1" ref="AT435" ca="1">INDEX('SAP Customer Data'!A:Z,MATCH(بيانات_العملاء[[#This Row],[رمز شريك الأعمال]],'SAP Customer Data'!B:B,0),CELL("col",Table_Customer_Data[[#Headers],[CreateDate]]))</f>
        <v>43674</v>
      </c>
      <c r="AU435" s="37"/>
      <c r="AV435" s="41" t="s">
        <v>2479</v>
      </c>
      <c r="AW435" s="37" t="s">
        <v>2096</v>
      </c>
      <c r="AX435" s="37">
        <v>240000</v>
      </c>
    </row>
    <row r="436" spans="1:50" x14ac:dyDescent="0.25">
      <c r="A436" s="36" t="str" cm="1">
        <f t="array" aca="1" ref="A436" ca="1">INDEX('SAP Customer Data'!$A:$AC,MATCH(بيانات_العملاء[[#This Row],[رمز شريك الأعمال]],'SAP Customer Data'!$B:$B,0),CELL("col",Table_Customer_Data[[#Headers],[GroupName]]))</f>
        <v>CS09</v>
      </c>
      <c r="B436" s="35" t="s">
        <v>325</v>
      </c>
      <c r="C436" s="37" t="str" cm="1">
        <f t="array" aca="1" ref="C436" ca="1">INDEX('SAP Customer Data'!$A:$AC,MATCH(بيانات_العملاء[[#This Row],[رمز شريك الأعمال]],'SAP Customer Data'!$B:$B,0),CELL("col",Table_Customer_Data[[#Headers],[CardName]]))</f>
        <v>التوريد الفوري فرع النرجس</v>
      </c>
      <c r="D436" s="37" t="str">
        <f ca="1">IF(بيانات_العملاء[[#This Row],[حد الائتمان على SAP]]&gt;0,"آجل","نقدى")</f>
        <v>آجل</v>
      </c>
      <c r="E436" s="37"/>
      <c r="F436" s="37"/>
      <c r="G436" s="37" t="s">
        <v>854</v>
      </c>
      <c r="H43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36" s="37" t="s">
        <v>856</v>
      </c>
      <c r="J436" s="38"/>
      <c r="K436" s="37"/>
      <c r="L436" s="37" t="str">
        <f ca="1">IF(AND(بيانات_العملاء[[#This Row],[السجل التجارى]]="موجود",TODAY()+'Other Data'!$B$23&lt;J436,بيانات_العملاء[[#This Row],[مطابقة اسم العميل بالاسم بالسجل التجارى]]="مطابق"), "سارى", "يجب اعادة طلبه")</f>
        <v>يجب اعادة طلبه</v>
      </c>
      <c r="M436" s="37" t="s">
        <v>854</v>
      </c>
      <c r="N436" s="39" t="str" cm="1">
        <f t="array" aca="1" ref="N436" ca="1">INDEX('SAP Customer Data'!$A:$AC,MATCH(بيانات_العملاء[[#This Row],[رمز شريك الأعمال]],'SAP Customer Data'!$B:$B,0),CELL("col",Table_Customer_Data[[#Headers],[LicTradNum]]))</f>
        <v>300024635700003</v>
      </c>
      <c r="O43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6" s="37" t="s">
        <v>856</v>
      </c>
      <c r="Q436" s="38"/>
      <c r="R43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6" s="37" t="s">
        <v>854</v>
      </c>
      <c r="T436" s="40">
        <v>37500</v>
      </c>
      <c r="U436" s="41">
        <v>43678</v>
      </c>
      <c r="V436" s="41">
        <f>IF(بيانات_العملاء[[#This Row],[تاريخ انشاء سند الامر او الاستثناء]]="",0,بيانات_العملاء[[#This Row],[تاريخ انشاء سند الامر او الاستثناء]]+365*3)</f>
        <v>44773</v>
      </c>
      <c r="W43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30000</v>
      </c>
      <c r="X436" s="37" cm="1">
        <f t="array" aca="1" ref="X436" ca="1">INDEX('SAP Customer Data'!$A:$AC,MATCH(بيانات_العملاء[[#This Row],[رمز شريك الأعمال]],'SAP Customer Data'!$B:$B,0),CELL("col",Table_Customer_Data[[#Headers],[CreditLine]]))</f>
        <v>30000</v>
      </c>
      <c r="Y43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6" s="37" t="s">
        <v>859</v>
      </c>
      <c r="AA43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36" s="37" t="s">
        <v>856</v>
      </c>
      <c r="AC436" s="37"/>
      <c r="AD43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6" s="37" t="s">
        <v>856</v>
      </c>
      <c r="AF436" s="37"/>
      <c r="AG43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6" s="37" t="s">
        <v>856</v>
      </c>
      <c r="AI436" s="37"/>
      <c r="AJ43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6" s="37" t="s">
        <v>856</v>
      </c>
      <c r="AL436" s="38"/>
      <c r="AM43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6" s="37" t="s">
        <v>856</v>
      </c>
      <c r="AO436" s="41"/>
      <c r="AP43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6" s="37" t="s">
        <v>856</v>
      </c>
      <c r="AR436" s="37"/>
      <c r="AS43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6" s="41" cm="1">
        <f t="array" aca="1" ref="AT436" ca="1">INDEX('SAP Customer Data'!A:Z,MATCH(بيانات_العملاء[[#This Row],[رمز شريك الأعمال]],'SAP Customer Data'!B:B,0),CELL("col",Table_Customer_Data[[#Headers],[CreateDate]]))</f>
        <v>43674</v>
      </c>
      <c r="AU436" s="37"/>
      <c r="AV436" s="41" t="s">
        <v>2479</v>
      </c>
      <c r="AW436" s="37" t="s">
        <v>2096</v>
      </c>
      <c r="AX436" s="37">
        <v>240000</v>
      </c>
    </row>
    <row r="437" spans="1:50" x14ac:dyDescent="0.25">
      <c r="A437" s="36" t="str" cm="1">
        <f t="array" aca="1" ref="A437" ca="1">INDEX('SAP Customer Data'!$A:$AC,MATCH(بيانات_العملاء[[#This Row],[رمز شريك الأعمال]],'SAP Customer Data'!$B:$B,0),CELL("col",Table_Customer_Data[[#Headers],[GroupName]]))</f>
        <v>CS09</v>
      </c>
      <c r="B437" s="35" t="s">
        <v>309</v>
      </c>
      <c r="C437" s="37" t="str" cm="1">
        <f t="array" aca="1" ref="C437" ca="1">INDEX('SAP Customer Data'!$A:$AC,MATCH(بيانات_العملاء[[#This Row],[رمز شريك الأعمال]],'SAP Customer Data'!$B:$B,0),CELL("col",Table_Customer_Data[[#Headers],[CardName]]))</f>
        <v>مؤسسة اول اعمار للتجارة/الروضة</v>
      </c>
      <c r="D437" s="37" t="str">
        <f ca="1">IF(بيانات_العملاء[[#This Row],[حد الائتمان على SAP]]&gt;0,"آجل","نقدى")</f>
        <v>آجل</v>
      </c>
      <c r="E437" s="37" t="s">
        <v>2102</v>
      </c>
      <c r="F437" s="37" t="s">
        <v>1081</v>
      </c>
      <c r="G437" s="37" t="s">
        <v>856</v>
      </c>
      <c r="H43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37" s="37" t="s">
        <v>854</v>
      </c>
      <c r="J437" s="38">
        <v>45188</v>
      </c>
      <c r="K437" s="37" t="s">
        <v>855</v>
      </c>
      <c r="L437" s="37" t="str">
        <f ca="1">IF(AND(بيانات_العملاء[[#This Row],[السجل التجارى]]="موجود",TODAY()+'Other Data'!$B$23&lt;J437,بيانات_العملاء[[#This Row],[مطابقة اسم العميل بالاسم بالسجل التجارى]]="مطابق"), "سارى", "يجب اعادة طلبه")</f>
        <v>يجب اعادة طلبه</v>
      </c>
      <c r="M437" s="37" t="s">
        <v>854</v>
      </c>
      <c r="N437" s="39" t="str" cm="1">
        <f t="array" aca="1" ref="N437" ca="1">INDEX('SAP Customer Data'!$A:$AC,MATCH(بيانات_العملاء[[#This Row],[رمز شريك الأعمال]],'SAP Customer Data'!$B:$B,0),CELL("col",Table_Customer_Data[[#Headers],[LicTradNum]]))</f>
        <v>300031767700003</v>
      </c>
      <c r="O43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7" s="37" t="s">
        <v>856</v>
      </c>
      <c r="Q437" s="38"/>
      <c r="R43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7" s="37" t="s">
        <v>1075</v>
      </c>
      <c r="T437" s="40">
        <v>35000</v>
      </c>
      <c r="U437" s="41">
        <v>43701</v>
      </c>
      <c r="V437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43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35000</v>
      </c>
      <c r="X437" s="37" cm="1">
        <f t="array" aca="1" ref="X437" ca="1">INDEX('SAP Customer Data'!$A:$AC,MATCH(بيانات_العملاء[[#This Row],[رمز شريك الأعمال]],'SAP Customer Data'!$B:$B,0),CELL("col",Table_Customer_Data[[#Headers],[CreditLine]]))</f>
        <v>35000</v>
      </c>
      <c r="Y43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7" s="37"/>
      <c r="AA43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37" s="37" t="s">
        <v>854</v>
      </c>
      <c r="AC437" s="41">
        <v>46671</v>
      </c>
      <c r="AD43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437" s="37" t="s">
        <v>856</v>
      </c>
      <c r="AF437" s="37"/>
      <c r="AG43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7" s="37" t="s">
        <v>856</v>
      </c>
      <c r="AI437" s="37"/>
      <c r="AJ43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7" s="37" t="s">
        <v>856</v>
      </c>
      <c r="AL437" s="38"/>
      <c r="AM43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7" s="37" t="s">
        <v>854</v>
      </c>
      <c r="AO437" s="41">
        <v>44695</v>
      </c>
      <c r="AP43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7" s="37" t="s">
        <v>856</v>
      </c>
      <c r="AR437" s="37"/>
      <c r="AS43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7" s="41" cm="1">
        <f t="array" aca="1" ref="AT437" ca="1">INDEX('SAP Customer Data'!A:Z,MATCH(بيانات_العملاء[[#This Row],[رمز شريك الأعمال]],'SAP Customer Data'!B:B,0),CELL("col",Table_Customer_Data[[#Headers],[CreateDate]]))</f>
        <v>43608</v>
      </c>
      <c r="AU437" s="37"/>
      <c r="AV437" s="41"/>
      <c r="AW437" s="37" t="s">
        <v>2096</v>
      </c>
      <c r="AX437" s="37">
        <v>100000</v>
      </c>
    </row>
    <row r="438" spans="1:50" x14ac:dyDescent="0.25">
      <c r="A438" s="36" t="str" cm="1">
        <f t="array" aca="1" ref="A438" ca="1">INDEX('SAP Customer Data'!$A:$AC,MATCH(بيانات_العملاء[[#This Row],[رمز شريك الأعمال]],'SAP Customer Data'!$B:$B,0),CELL("col",Table_Customer_Data[[#Headers],[GroupName]]))</f>
        <v>CS09</v>
      </c>
      <c r="B438" s="35" t="s">
        <v>302</v>
      </c>
      <c r="C438" s="37" t="str" cm="1">
        <f t="array" aca="1" ref="C438" ca="1">INDEX('SAP Customer Data'!$A:$AC,MATCH(بيانات_العملاء[[#This Row],[رمز شريك الأعمال]],'SAP Customer Data'!$B:$B,0),CELL("col",Table_Customer_Data[[#Headers],[CardName]]))</f>
        <v>شركة ركن الدائرة للتجارة</v>
      </c>
      <c r="D438" s="37" t="str">
        <f ca="1">IF(بيانات_العملاء[[#This Row],[حد الائتمان على SAP]]&gt;0,"آجل","نقدى")</f>
        <v>آجل</v>
      </c>
      <c r="E438" s="37"/>
      <c r="F438" s="37" t="s">
        <v>996</v>
      </c>
      <c r="G438" s="37" t="s">
        <v>856</v>
      </c>
      <c r="H43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38" s="37" t="s">
        <v>854</v>
      </c>
      <c r="J438" s="38">
        <v>45412</v>
      </c>
      <c r="K438" s="37" t="s">
        <v>855</v>
      </c>
      <c r="L438" s="37" t="str">
        <f ca="1">IF(AND(بيانات_العملاء[[#This Row],[السجل التجارى]]="موجود",TODAY()+'Other Data'!$B$23&lt;J438,بيانات_العملاء[[#This Row],[مطابقة اسم العميل بالاسم بالسجل التجارى]]="مطابق"), "سارى", "يجب اعادة طلبه")</f>
        <v>سارى</v>
      </c>
      <c r="M438" s="37" t="s">
        <v>854</v>
      </c>
      <c r="N438" s="39" t="str" cm="1">
        <f t="array" aca="1" ref="N438" ca="1">INDEX('SAP Customer Data'!$A:$AC,MATCH(بيانات_العملاء[[#This Row],[رمز شريك الأعمال]],'SAP Customer Data'!$B:$B,0),CELL("col",Table_Customer_Data[[#Headers],[LicTradNum]]))</f>
        <v>311589708100003</v>
      </c>
      <c r="O43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8" s="37" t="s">
        <v>856</v>
      </c>
      <c r="Q438" s="38"/>
      <c r="R43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8" s="37" t="s">
        <v>1075</v>
      </c>
      <c r="T438" s="40">
        <v>200000</v>
      </c>
      <c r="U438" s="41"/>
      <c r="V43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3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200000</v>
      </c>
      <c r="X438" s="37" cm="1">
        <f t="array" aca="1" ref="X438" ca="1">INDEX('SAP Customer Data'!$A:$AC,MATCH(بيانات_العملاء[[#This Row],[رمز شريك الأعمال]],'SAP Customer Data'!$B:$B,0),CELL("col",Table_Customer_Data[[#Headers],[CreditLine]]))</f>
        <v>200000</v>
      </c>
      <c r="Y43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8" s="37"/>
      <c r="AA43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38" s="37" t="s">
        <v>856</v>
      </c>
      <c r="AC438" s="37"/>
      <c r="AD43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8" s="37" t="s">
        <v>856</v>
      </c>
      <c r="AF438" s="37"/>
      <c r="AG43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8" s="37" t="s">
        <v>856</v>
      </c>
      <c r="AI438" s="37"/>
      <c r="AJ43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8" s="37" t="s">
        <v>856</v>
      </c>
      <c r="AL438" s="38"/>
      <c r="AM43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8" s="37" t="s">
        <v>856</v>
      </c>
      <c r="AO438" s="41"/>
      <c r="AP43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8" s="37" t="s">
        <v>856</v>
      </c>
      <c r="AR438" s="37"/>
      <c r="AS43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8" s="41" cm="1">
        <f t="array" aca="1" ref="AT438" ca="1">INDEX('SAP Customer Data'!A:Z,MATCH(بيانات_العملاء[[#This Row],[رمز شريك الأعمال]],'SAP Customer Data'!B:B,0),CELL("col",Table_Customer_Data[[#Headers],[CreateDate]]))</f>
        <v>43592</v>
      </c>
      <c r="AU438" s="37"/>
      <c r="AV438" s="41" t="s">
        <v>2275</v>
      </c>
      <c r="AW438" s="37" t="s">
        <v>2096</v>
      </c>
      <c r="AX438" s="37"/>
    </row>
    <row r="439" spans="1:50" x14ac:dyDescent="0.25">
      <c r="A439" s="36" t="str" cm="1">
        <f t="array" aca="1" ref="A439" ca="1">INDEX('SAP Customer Data'!$A:$AC,MATCH(بيانات_العملاء[[#This Row],[رمز شريك الأعمال]],'SAP Customer Data'!$B:$B,0),CELL("col",Table_Customer_Data[[#Headers],[GroupName]]))</f>
        <v>CS09</v>
      </c>
      <c r="B439" s="35" t="s">
        <v>357</v>
      </c>
      <c r="C439" s="37" t="str" cm="1">
        <f t="array" aca="1" ref="C439" ca="1">INDEX('SAP Customer Data'!$A:$AC,MATCH(بيانات_العملاء[[#This Row],[رمز شريك الأعمال]],'SAP Customer Data'!$B:$B,0),CELL("col",Table_Customer_Data[[#Headers],[CardName]]))</f>
        <v>شركة الفياض للإنارة والكهرباء</v>
      </c>
      <c r="D439" s="37" t="str">
        <f ca="1">IF(بيانات_العملاء[[#This Row],[حد الائتمان على SAP]]&gt;0,"آجل","نقدى")</f>
        <v>آجل</v>
      </c>
      <c r="E439" s="37"/>
      <c r="F439" s="37" t="s">
        <v>997</v>
      </c>
      <c r="G439" s="37" t="s">
        <v>854</v>
      </c>
      <c r="H43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39" s="37" t="s">
        <v>854</v>
      </c>
      <c r="J439" s="38">
        <v>44937</v>
      </c>
      <c r="K439" s="37" t="s">
        <v>855</v>
      </c>
      <c r="L439" s="37" t="str">
        <f ca="1">IF(AND(بيانات_العملاء[[#This Row],[السجل التجارى]]="موجود",TODAY()+'Other Data'!$B$23&lt;J439,بيانات_العملاء[[#This Row],[مطابقة اسم العميل بالاسم بالسجل التجارى]]="مطابق"), "سارى", "يجب اعادة طلبه")</f>
        <v>يجب اعادة طلبه</v>
      </c>
      <c r="M439" s="37" t="s">
        <v>854</v>
      </c>
      <c r="N439" s="39" t="str" cm="1">
        <f t="array" aca="1" ref="N439" ca="1">INDEX('SAP Customer Data'!$A:$AC,MATCH(بيانات_العملاء[[#This Row],[رمز شريك الأعمال]],'SAP Customer Data'!$B:$B,0),CELL("col",Table_Customer_Data[[#Headers],[LicTradNum]]))</f>
        <v>301200478900003</v>
      </c>
      <c r="O43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39" s="37" t="s">
        <v>854</v>
      </c>
      <c r="Q439" s="38">
        <v>44869</v>
      </c>
      <c r="R43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39" s="37" t="s">
        <v>1075</v>
      </c>
      <c r="T439" s="37" cm="1">
        <f t="array" aca="1" ref="T439" ca="1">INDEX('SAP Customer Data'!$A:$AC,MATCH(بيانات_العملاء[[#This Row],[رمز شريك الأعمال]],'SAP Customer Data'!$B:$B,0),CELL("col",Table_Customer_Data[[#Headers],[CreditLine]]))</f>
        <v>100000</v>
      </c>
      <c r="U439" s="41"/>
      <c r="V43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39" s="37">
        <f ca="1"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100000</v>
      </c>
      <c r="X439" s="37" cm="1">
        <f t="array" aca="1" ref="X439" ca="1">INDEX('SAP Customer Data'!$A:$AC,MATCH(بيانات_العملاء[[#This Row],[رمز شريك الأعمال]],'SAP Customer Data'!$B:$B,0),CELL("col",Table_Customer_Data[[#Headers],[CreditLine]]))</f>
        <v>100000</v>
      </c>
      <c r="Y43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39" s="37"/>
      <c r="AA43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39" s="37" t="s">
        <v>856</v>
      </c>
      <c r="AC439" s="37"/>
      <c r="AD43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39" s="37" t="s">
        <v>856</v>
      </c>
      <c r="AF439" s="37"/>
      <c r="AG43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39" s="37" t="s">
        <v>856</v>
      </c>
      <c r="AI439" s="37"/>
      <c r="AJ43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39" s="37" t="s">
        <v>856</v>
      </c>
      <c r="AL439" s="38"/>
      <c r="AM43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39" s="37" t="s">
        <v>856</v>
      </c>
      <c r="AO439" s="41"/>
      <c r="AP43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39" s="37" t="s">
        <v>856</v>
      </c>
      <c r="AR439" s="37"/>
      <c r="AS43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39" s="41" cm="1">
        <f t="array" aca="1" ref="AT439" ca="1">INDEX('SAP Customer Data'!A:Z,MATCH(بيانات_العملاء[[#This Row],[رمز شريك الأعمال]],'SAP Customer Data'!B:B,0),CELL("col",Table_Customer_Data[[#Headers],[CreateDate]]))</f>
        <v>43836</v>
      </c>
      <c r="AU439" s="37"/>
      <c r="AV439" s="41"/>
      <c r="AW439" s="37" t="s">
        <v>2096</v>
      </c>
      <c r="AX439" s="37">
        <v>200000</v>
      </c>
    </row>
    <row r="440" spans="1:50" x14ac:dyDescent="0.25">
      <c r="A440" s="36" t="str" cm="1">
        <f t="array" aca="1" ref="A440" ca="1">INDEX('SAP Customer Data'!$A:$AC,MATCH(بيانات_العملاء[[#This Row],[رمز شريك الأعمال]],'SAP Customer Data'!$B:$B,0),CELL("col",Table_Customer_Data[[#Headers],[GroupName]]))</f>
        <v>CS09</v>
      </c>
      <c r="B440" s="35" t="s">
        <v>365</v>
      </c>
      <c r="C440" s="37" t="str" cm="1">
        <f t="array" aca="1" ref="C440" ca="1">INDEX('SAP Customer Data'!$A:$AC,MATCH(بيانات_العملاء[[#This Row],[رمز شريك الأعمال]],'SAP Customer Data'!$B:$B,0),CELL("col",Table_Customer_Data[[#Headers],[CardName]]))</f>
        <v>شركة الفياض للإنارة والكهرباء-الملز</v>
      </c>
      <c r="D440" s="37" t="str">
        <f ca="1">IF(بيانات_العملاء[[#This Row],[حد الائتمان على SAP]]&gt;0,"آجل","نقدى")</f>
        <v>آجل</v>
      </c>
      <c r="E440" s="37"/>
      <c r="F440" s="37" t="s">
        <v>1082</v>
      </c>
      <c r="G440" s="37" t="s">
        <v>854</v>
      </c>
      <c r="H44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0" s="37" t="s">
        <v>856</v>
      </c>
      <c r="J440" s="38"/>
      <c r="K440" s="37"/>
      <c r="L440" s="37" t="str">
        <f ca="1">IF(AND(بيانات_العملاء[[#This Row],[السجل التجارى]]="موجود",TODAY()+'Other Data'!$B$23&lt;J440,بيانات_العملاء[[#This Row],[مطابقة اسم العميل بالاسم بالسجل التجارى]]="مطابق"), "سارى", "يجب اعادة طلبه")</f>
        <v>يجب اعادة طلبه</v>
      </c>
      <c r="M440" s="37" t="s">
        <v>854</v>
      </c>
      <c r="N440" s="39" t="str" cm="1">
        <f t="array" aca="1" ref="N440" ca="1">INDEX('SAP Customer Data'!$A:$AC,MATCH(بيانات_العملاء[[#This Row],[رمز شريك الأعمال]],'SAP Customer Data'!$B:$B,0),CELL("col",Table_Customer_Data[[#Headers],[LicTradNum]]))</f>
        <v>301200478900003</v>
      </c>
      <c r="O44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40" s="37" t="s">
        <v>856</v>
      </c>
      <c r="Q440" s="38"/>
      <c r="R44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0" s="37" t="s">
        <v>1075</v>
      </c>
      <c r="T440" s="37" cm="1">
        <f t="array" aca="1" ref="T440" ca="1">INDEX('SAP Customer Data'!$A:$AC,MATCH(بيانات_العملاء[[#This Row],[رمز شريك الأعمال]],'SAP Customer Data'!$B:$B,0),CELL("col",Table_Customer_Data[[#Headers],[CreditLine]]))</f>
        <v>50000</v>
      </c>
      <c r="U440" s="41"/>
      <c r="V44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40" s="37">
        <f ca="1"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440" s="37" cm="1">
        <f t="array" aca="1" ref="X440" ca="1">INDEX('SAP Customer Data'!$A:$AC,MATCH(بيانات_العملاء[[#This Row],[رمز شريك الأعمال]],'SAP Customer Data'!$B:$B,0),CELL("col",Table_Customer_Data[[#Headers],[CreditLine]]))</f>
        <v>50000</v>
      </c>
      <c r="Y44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0" s="37"/>
      <c r="AA44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40" s="37" t="s">
        <v>856</v>
      </c>
      <c r="AC440" s="37"/>
      <c r="AD44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0" s="37" t="s">
        <v>856</v>
      </c>
      <c r="AF440" s="37"/>
      <c r="AG44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0" s="37" t="s">
        <v>856</v>
      </c>
      <c r="AI440" s="37"/>
      <c r="AJ44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0" s="37" t="s">
        <v>856</v>
      </c>
      <c r="AL440" s="38"/>
      <c r="AM44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0" s="37" t="s">
        <v>856</v>
      </c>
      <c r="AO440" s="41"/>
      <c r="AP44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0" s="37" t="s">
        <v>856</v>
      </c>
      <c r="AR440" s="37"/>
      <c r="AS44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0" s="41" cm="1">
        <f t="array" aca="1" ref="AT440" ca="1">INDEX('SAP Customer Data'!A:Z,MATCH(بيانات_العملاء[[#This Row],[رمز شريك الأعمال]],'SAP Customer Data'!B:B,0),CELL("col",Table_Customer_Data[[#Headers],[CreateDate]]))</f>
        <v>44615</v>
      </c>
      <c r="AU440" s="37"/>
      <c r="AV440" s="41"/>
      <c r="AW440" s="37" t="s">
        <v>2096</v>
      </c>
      <c r="AX440" s="37">
        <v>200000</v>
      </c>
    </row>
    <row r="441" spans="1:50" x14ac:dyDescent="0.25">
      <c r="A441" s="36" t="str" cm="1">
        <f t="array" aca="1" ref="A441" ca="1">INDEX('SAP Customer Data'!$A:$AC,MATCH(بيانات_العملاء[[#This Row],[رمز شريك الأعمال]],'SAP Customer Data'!$B:$B,0),CELL("col",Table_Customer_Data[[#Headers],[GroupName]]))</f>
        <v>CS09</v>
      </c>
      <c r="B441" s="35" t="s">
        <v>375</v>
      </c>
      <c r="C441" s="37" t="str" cm="1">
        <f t="array" aca="1" ref="C441" ca="1">INDEX('SAP Customer Data'!$A:$AC,MATCH(بيانات_العملاء[[#This Row],[رمز شريك الأعمال]],'SAP Customer Data'!$B:$B,0),CELL("col",Table_Customer_Data[[#Headers],[CardName]]))</f>
        <v>شركة الفياض للإنارة والكهرباء-التخصصي</v>
      </c>
      <c r="D441" s="37" t="str">
        <f ca="1">IF(بيانات_العملاء[[#This Row],[حد الائتمان على SAP]]&gt;0,"آجل","نقدى")</f>
        <v>آجل</v>
      </c>
      <c r="E441" s="37"/>
      <c r="F441" s="37" t="s">
        <v>1082</v>
      </c>
      <c r="G441" s="37" t="s">
        <v>854</v>
      </c>
      <c r="H44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1" s="37" t="s">
        <v>856</v>
      </c>
      <c r="J441" s="38"/>
      <c r="K441" s="37"/>
      <c r="L441" s="37" t="str">
        <f ca="1">IF(AND(بيانات_العملاء[[#This Row],[السجل التجارى]]="موجود",TODAY()+'Other Data'!$B$23&lt;J441,بيانات_العملاء[[#This Row],[مطابقة اسم العميل بالاسم بالسجل التجارى]]="مطابق"), "سارى", "يجب اعادة طلبه")</f>
        <v>يجب اعادة طلبه</v>
      </c>
      <c r="M441" s="37" t="s">
        <v>854</v>
      </c>
      <c r="N441" s="39" t="str" cm="1">
        <f t="array" aca="1" ref="N441" ca="1">INDEX('SAP Customer Data'!$A:$AC,MATCH(بيانات_العملاء[[#This Row],[رمز شريك الأعمال]],'SAP Customer Data'!$B:$B,0),CELL("col",Table_Customer_Data[[#Headers],[LicTradNum]]))</f>
        <v>301200478900003</v>
      </c>
      <c r="O44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41" s="37" t="s">
        <v>856</v>
      </c>
      <c r="Q441" s="38"/>
      <c r="R44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1" s="37" t="s">
        <v>1075</v>
      </c>
      <c r="T441" s="37" cm="1">
        <f t="array" aca="1" ref="T441" ca="1">INDEX('SAP Customer Data'!$A:$AC,MATCH(بيانات_العملاء[[#This Row],[رمز شريك الأعمال]],'SAP Customer Data'!$B:$B,0),CELL("col",Table_Customer_Data[[#Headers],[CreditLine]]))</f>
        <v>50000</v>
      </c>
      <c r="U441" s="41"/>
      <c r="V44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41" s="37">
        <f ca="1"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441" s="37" cm="1">
        <f t="array" aca="1" ref="X441" ca="1">INDEX('SAP Customer Data'!$A:$AC,MATCH(بيانات_العملاء[[#This Row],[رمز شريك الأعمال]],'SAP Customer Data'!$B:$B,0),CELL("col",Table_Customer_Data[[#Headers],[CreditLine]]))</f>
        <v>50000</v>
      </c>
      <c r="Y44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1" s="37"/>
      <c r="AA44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41" s="37" t="s">
        <v>856</v>
      </c>
      <c r="AC441" s="37"/>
      <c r="AD44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1" s="37" t="s">
        <v>856</v>
      </c>
      <c r="AF441" s="37"/>
      <c r="AG44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1" s="37" t="s">
        <v>856</v>
      </c>
      <c r="AI441" s="37"/>
      <c r="AJ44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1" s="37" t="s">
        <v>856</v>
      </c>
      <c r="AL441" s="38"/>
      <c r="AM44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1" s="37" t="s">
        <v>854</v>
      </c>
      <c r="AO441" s="41"/>
      <c r="AP44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1" s="37" t="s">
        <v>856</v>
      </c>
      <c r="AR441" s="37"/>
      <c r="AS44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1" s="41" cm="1">
        <f t="array" aca="1" ref="AT441" ca="1">INDEX('SAP Customer Data'!A:Z,MATCH(بيانات_العملاء[[#This Row],[رمز شريك الأعمال]],'SAP Customer Data'!B:B,0),CELL("col",Table_Customer_Data[[#Headers],[CreateDate]]))</f>
        <v>44675</v>
      </c>
      <c r="AU441" s="37"/>
      <c r="AV441" s="41"/>
      <c r="AW441" s="37" t="s">
        <v>2096</v>
      </c>
      <c r="AX441" s="37">
        <v>200000</v>
      </c>
    </row>
    <row r="442" spans="1:50" x14ac:dyDescent="0.25">
      <c r="A442" s="36" t="str" cm="1">
        <f t="array" aca="1" ref="A442" ca="1">INDEX('SAP Customer Data'!$A:$AC,MATCH(بيانات_العملاء[[#This Row],[رمز شريك الأعمال]],'SAP Customer Data'!$B:$B,0),CELL("col",Table_Customer_Data[[#Headers],[GroupName]]))</f>
        <v>CS09</v>
      </c>
      <c r="B442" s="35" t="s">
        <v>347</v>
      </c>
      <c r="C442" s="37" t="str" cm="1">
        <f t="array" aca="1" ref="C442" ca="1">INDEX('SAP Customer Data'!$A:$AC,MATCH(بيانات_العملاء[[#This Row],[رمز شريك الأعمال]],'SAP Customer Data'!$B:$B,0),CELL("col",Table_Customer_Data[[#Headers],[CardName]]))</f>
        <v>مؤسسة الاضاءة السريعة/ المرسلات</v>
      </c>
      <c r="D442" s="37" t="str">
        <f ca="1">IF(بيانات_العملاء[[#This Row],[حد الائتمان على SAP]]&gt;0,"آجل","نقدى")</f>
        <v>آجل</v>
      </c>
      <c r="E442" s="37"/>
      <c r="F442" s="37" t="s">
        <v>1082</v>
      </c>
      <c r="G442" s="37" t="s">
        <v>854</v>
      </c>
      <c r="H44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2" s="37" t="s">
        <v>856</v>
      </c>
      <c r="J442" s="38"/>
      <c r="K442" s="37"/>
      <c r="L442" s="37" t="str">
        <f ca="1">IF(AND(بيانات_العملاء[[#This Row],[السجل التجارى]]="موجود",TODAY()+'Other Data'!$B$23&lt;J442,بيانات_العملاء[[#This Row],[مطابقة اسم العميل بالاسم بالسجل التجارى]]="مطابق"), "سارى", "يجب اعادة طلبه")</f>
        <v>يجب اعادة طلبه</v>
      </c>
      <c r="M442" s="37" t="s">
        <v>854</v>
      </c>
      <c r="N442" s="39" t="str" cm="1">
        <f t="array" aca="1" ref="N442" ca="1">INDEX('SAP Customer Data'!$A:$AC,MATCH(بيانات_العملاء[[#This Row],[رمز شريك الأعمال]],'SAP Customer Data'!$B:$B,0),CELL("col",Table_Customer_Data[[#Headers],[LicTradNum]]))</f>
        <v>310078680500003</v>
      </c>
      <c r="O44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42" s="37" t="s">
        <v>856</v>
      </c>
      <c r="Q442" s="38"/>
      <c r="R44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2" s="37" t="s">
        <v>1075</v>
      </c>
      <c r="T442" s="40">
        <v>50000</v>
      </c>
      <c r="U442" s="41">
        <v>43701</v>
      </c>
      <c r="V442" s="41">
        <f>IF(بيانات_العملاء[[#This Row],[تاريخ انشاء سند الامر او الاستثناء]]="",0,بيانات_العملاء[[#This Row],[تاريخ انشاء سند الامر او الاستثناء]]+365*3)</f>
        <v>44796</v>
      </c>
      <c r="W44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442" s="37" cm="1">
        <f t="array" aca="1" ref="X442" ca="1">INDEX('SAP Customer Data'!$A:$AC,MATCH(بيانات_العملاء[[#This Row],[رمز شريك الأعمال]],'SAP Customer Data'!$B:$B,0),CELL("col",Table_Customer_Data[[#Headers],[CreditLine]]))</f>
        <v>50000</v>
      </c>
      <c r="Y44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2" s="37"/>
      <c r="AA44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42" s="37" t="s">
        <v>856</v>
      </c>
      <c r="AC442" s="37"/>
      <c r="AD44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2" s="37" t="s">
        <v>856</v>
      </c>
      <c r="AF442" s="37"/>
      <c r="AG44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2" s="37" t="s">
        <v>856</v>
      </c>
      <c r="AI442" s="37"/>
      <c r="AJ44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2" s="37" t="s">
        <v>856</v>
      </c>
      <c r="AL442" s="38"/>
      <c r="AM44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2" s="37" t="s">
        <v>856</v>
      </c>
      <c r="AO442" s="41"/>
      <c r="AP44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2" s="37" t="s">
        <v>856</v>
      </c>
      <c r="AR442" s="37"/>
      <c r="AS44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2" s="41" cm="1">
        <f t="array" aca="1" ref="AT442" ca="1">INDEX('SAP Customer Data'!A:Z,MATCH(بيانات_العملاء[[#This Row],[رمز شريك الأعمال]],'SAP Customer Data'!B:B,0),CELL("col",Table_Customer_Data[[#Headers],[CreateDate]]))</f>
        <v>43745</v>
      </c>
      <c r="AU442" s="37"/>
      <c r="AV442" s="41"/>
      <c r="AW442" s="37" t="s">
        <v>2096</v>
      </c>
      <c r="AX442" s="37">
        <v>100000</v>
      </c>
    </row>
    <row r="443" spans="1:50" x14ac:dyDescent="0.25">
      <c r="A443" s="36" t="str" cm="1">
        <f t="array" aca="1" ref="A443" ca="1">INDEX('SAP Customer Data'!$A:$AC,MATCH(بيانات_العملاء[[#This Row],[رمز شريك الأعمال]],'SAP Customer Data'!$B:$B,0),CELL("col",Table_Customer_Data[[#Headers],[GroupName]]))</f>
        <v>CS09</v>
      </c>
      <c r="B443" s="35" t="s">
        <v>308</v>
      </c>
      <c r="C443" s="37" t="str" cm="1">
        <f t="array" aca="1" ref="C443" ca="1">INDEX('SAP Customer Data'!$A:$AC,MATCH(بيانات_العملاء[[#This Row],[رمز شريك الأعمال]],'SAP Customer Data'!$B:$B,0),CELL("col",Table_Customer_Data[[#Headers],[CardName]]))</f>
        <v>شركة علي خلف العنزي وشركاه - فرع النظيم</v>
      </c>
      <c r="D443" s="37" t="str">
        <f ca="1">IF(بيانات_العملاء[[#This Row],[حد الائتمان على SAP]]&gt;0,"آجل","نقدى")</f>
        <v>آجل</v>
      </c>
      <c r="E443" s="37"/>
      <c r="F443" s="37" t="s">
        <v>1082</v>
      </c>
      <c r="G443" s="37" t="s">
        <v>856</v>
      </c>
      <c r="H44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43" s="37" t="s">
        <v>856</v>
      </c>
      <c r="J443" s="38"/>
      <c r="K443" s="37"/>
      <c r="L443" s="37" t="str">
        <f ca="1">IF(AND(بيانات_العملاء[[#This Row],[السجل التجارى]]="موجود",TODAY()+'Other Data'!$B$23&lt;J443,بيانات_العملاء[[#This Row],[مطابقة اسم العميل بالاسم بالسجل التجارى]]="مطابق"), "سارى", "يجب اعادة طلبه")</f>
        <v>يجب اعادة طلبه</v>
      </c>
      <c r="M443" s="37" t="s">
        <v>856</v>
      </c>
      <c r="N443" s="39" t="str" cm="1">
        <f t="array" aca="1" ref="N443" ca="1">INDEX('SAP Customer Data'!$A:$AC,MATCH(بيانات_العملاء[[#This Row],[رمز شريك الأعمال]],'SAP Customer Data'!$B:$B,0),CELL("col",Table_Customer_Data[[#Headers],[LicTradNum]]))</f>
        <v>310088399300003</v>
      </c>
      <c r="O44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43" s="37" t="s">
        <v>856</v>
      </c>
      <c r="Q443" s="38"/>
      <c r="R44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3" s="37" t="s">
        <v>1075</v>
      </c>
      <c r="T443" s="40">
        <v>20000</v>
      </c>
      <c r="U443" s="41">
        <v>44996</v>
      </c>
      <c r="V443" s="41">
        <f>IF(بيانات_العملاء[[#This Row],[تاريخ انشاء سند الامر او الاستثناء]]="",0,بيانات_العملاء[[#This Row],[تاريخ انشاء سند الامر او الاستثناء]]+365*3)</f>
        <v>46091</v>
      </c>
      <c r="W44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20000</v>
      </c>
      <c r="X443" s="37" cm="1">
        <f t="array" aca="1" ref="X443" ca="1">INDEX('SAP Customer Data'!$A:$AC,MATCH(بيانات_العملاء[[#This Row],[رمز شريك الأعمال]],'SAP Customer Data'!$B:$B,0),CELL("col",Table_Customer_Data[[#Headers],[CreditLine]]))</f>
        <v>20000</v>
      </c>
      <c r="Y44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3" s="37"/>
      <c r="AA44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43" s="37" t="s">
        <v>856</v>
      </c>
      <c r="AC443" s="37"/>
      <c r="AD44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3" s="37" t="s">
        <v>856</v>
      </c>
      <c r="AF443" s="37"/>
      <c r="AG44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3" s="37" t="s">
        <v>856</v>
      </c>
      <c r="AI443" s="37"/>
      <c r="AJ44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3" s="37" t="s">
        <v>856</v>
      </c>
      <c r="AL443" s="38"/>
      <c r="AM44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3" s="37" t="s">
        <v>856</v>
      </c>
      <c r="AO443" s="41"/>
      <c r="AP44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3" s="37" t="s">
        <v>856</v>
      </c>
      <c r="AR443" s="37"/>
      <c r="AS44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3" s="41" cm="1">
        <f t="array" aca="1" ref="AT443" ca="1">INDEX('SAP Customer Data'!A:Z,MATCH(بيانات_العملاء[[#This Row],[رمز شريك الأعمال]],'SAP Customer Data'!B:B,0),CELL("col",Table_Customer_Data[[#Headers],[CreateDate]]))</f>
        <v>43983</v>
      </c>
      <c r="AU443" s="37"/>
      <c r="AV443" s="41"/>
      <c r="AW443" s="37" t="s">
        <v>2096</v>
      </c>
      <c r="AX443" s="37"/>
    </row>
    <row r="444" spans="1:50" s="71" customFormat="1" x14ac:dyDescent="0.25">
      <c r="A444" s="36" t="str" cm="1">
        <f t="array" aca="1" ref="A444" ca="1">INDEX('SAP Customer Data'!$A:$AC,MATCH(بيانات_العملاء[[#This Row],[رمز شريك الأعمال]],'SAP Customer Data'!$B:$B,0),CELL("col",Table_Customer_Data[[#Headers],[GroupName]]))</f>
        <v>CS09</v>
      </c>
      <c r="B444" s="35" t="s">
        <v>416</v>
      </c>
      <c r="C444" s="37" t="str" cm="1">
        <f t="array" aca="1" ref="C444" ca="1">INDEX('SAP Customer Data'!$A:$AC,MATCH(بيانات_العملاء[[#This Row],[رمز شريك الأعمال]],'SAP Customer Data'!$B:$B,0),CELL("col",Table_Customer_Data[[#Headers],[CardName]]))</f>
        <v>شركة الوصلة العربية للتجارة - الروضة</v>
      </c>
      <c r="D444" s="37" t="str">
        <f ca="1">IF(بيانات_العملاء[[#This Row],[حد الائتمان على SAP]]&gt;0,"آجل","نقدى")</f>
        <v>آجل</v>
      </c>
      <c r="E444" s="37"/>
      <c r="F444" s="37"/>
      <c r="G444" s="37" t="s">
        <v>854</v>
      </c>
      <c r="H44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4" s="37" t="s">
        <v>856</v>
      </c>
      <c r="J444" s="38"/>
      <c r="K444" s="37"/>
      <c r="L444" s="37" t="str">
        <f ca="1">IF(AND(بيانات_العملاء[[#This Row],[السجل التجارى]]="موجود",TODAY()+'Other Data'!$B$23&lt;J444,بيانات_العملاء[[#This Row],[مطابقة اسم العميل بالاسم بالسجل التجارى]]="مطابق"), "سارى", "يجب اعادة طلبه")</f>
        <v>يجب اعادة طلبه</v>
      </c>
      <c r="M444" s="37" t="s">
        <v>854</v>
      </c>
      <c r="N444" s="39" t="str" cm="1">
        <f t="array" aca="1" ref="N444" ca="1">INDEX('SAP Customer Data'!$A:$AC,MATCH(بيانات_العملاء[[#This Row],[رمز شريك الأعمال]],'SAP Customer Data'!$B:$B,0),CELL("col",Table_Customer_Data[[#Headers],[LicTradNum]]))</f>
        <v>310882297900003</v>
      </c>
      <c r="O44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44" s="37" t="s">
        <v>856</v>
      </c>
      <c r="Q444" s="38"/>
      <c r="R44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4" s="37" t="s">
        <v>854</v>
      </c>
      <c r="T444" s="40">
        <v>50000</v>
      </c>
      <c r="U444" s="41"/>
      <c r="V44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4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44" s="37" cm="1">
        <f t="array" aca="1" ref="X444" ca="1">INDEX('SAP Customer Data'!$A:$AC,MATCH(بيانات_العملاء[[#This Row],[رمز شريك الأعمال]],'SAP Customer Data'!$B:$B,0),CELL("col",Table_Customer_Data[[#Headers],[CreditLine]]))</f>
        <v>40000</v>
      </c>
      <c r="Y44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4" s="37" t="s">
        <v>859</v>
      </c>
      <c r="AA44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44" s="37" t="s">
        <v>856</v>
      </c>
      <c r="AC444" s="37"/>
      <c r="AD44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4" s="37" t="s">
        <v>856</v>
      </c>
      <c r="AF444" s="37"/>
      <c r="AG44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4" s="37" t="s">
        <v>856</v>
      </c>
      <c r="AI444" s="37"/>
      <c r="AJ44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4" s="37" t="s">
        <v>856</v>
      </c>
      <c r="AL444" s="38"/>
      <c r="AM44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4" s="37" t="s">
        <v>856</v>
      </c>
      <c r="AO444" s="41"/>
      <c r="AP44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4" s="37" t="s">
        <v>856</v>
      </c>
      <c r="AR444" s="37"/>
      <c r="AS44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4" s="41" cm="1">
        <f t="array" aca="1" ref="AT444" ca="1">INDEX('SAP Customer Data'!A:Z,MATCH(بيانات_العملاء[[#This Row],[رمز شريك الأعمال]],'SAP Customer Data'!B:B,0),CELL("col",Table_Customer_Data[[#Headers],[CreateDate]]))</f>
        <v>44226</v>
      </c>
      <c r="AU444" s="37"/>
      <c r="AV444" s="41"/>
      <c r="AW444" s="37" t="s">
        <v>2096</v>
      </c>
      <c r="AX444" s="37">
        <v>110000</v>
      </c>
    </row>
    <row r="445" spans="1:50" x14ac:dyDescent="0.25">
      <c r="A445" s="16" t="str" cm="1">
        <f t="array" aca="1" ref="A445" ca="1">INDEX('SAP Customer Data'!$A:$AC,MATCH(بيانات_العملاء[[#This Row],[رمز شريك الأعمال]],'SAP Customer Data'!$B:$B,0),CELL("col",Table_Customer_Data[[#Headers],[GroupName]]))</f>
        <v>CS09</v>
      </c>
      <c r="B445" s="17" t="s">
        <v>254</v>
      </c>
      <c r="C445" s="15" t="str" cm="1">
        <f t="array" aca="1" ref="C445" ca="1">INDEX('SAP Customer Data'!$A:$AC,MATCH(بيانات_العملاء[[#This Row],[رمز شريك الأعمال]],'SAP Customer Data'!$B:$B,0),CELL("col",Table_Customer_Data[[#Headers],[CardName]]))</f>
        <v>شركة دائرة الشرق للتجارة</v>
      </c>
      <c r="D445" s="15" t="str">
        <f ca="1">IF(بيانات_العملاء[[#This Row],[حد الائتمان على SAP]]&gt;0,"آجل","نقدى")</f>
        <v>آجل</v>
      </c>
      <c r="E445" s="15"/>
      <c r="F445" s="15" t="s">
        <v>997</v>
      </c>
      <c r="G445" s="15" t="s">
        <v>856</v>
      </c>
      <c r="H445" s="15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45" s="15" t="s">
        <v>854</v>
      </c>
      <c r="J445" s="18">
        <v>44719</v>
      </c>
      <c r="K445" s="15" t="s">
        <v>855</v>
      </c>
      <c r="L445" s="15" t="str">
        <f ca="1">IF(AND(بيانات_العملاء[[#This Row],[السجل التجارى]]="موجود",TODAY()+'Other Data'!$B$23&lt;J445,بيانات_العملاء[[#This Row],[مطابقة اسم العميل بالاسم بالسجل التجارى]]="مطابق"), "سارى", "يجب اعادة طلبه")</f>
        <v>يجب اعادة طلبه</v>
      </c>
      <c r="M445" s="15" t="s">
        <v>854</v>
      </c>
      <c r="N445" s="19" t="str" cm="1">
        <f t="array" aca="1" ref="N445" ca="1">INDEX('SAP Customer Data'!$A:$AC,MATCH(بيانات_العملاء[[#This Row],[رمز شريك الأعمال]],'SAP Customer Data'!$B:$B,0),CELL("col",Table_Customer_Data[[#Headers],[LicTradNum]]))</f>
        <v>311029809400003</v>
      </c>
      <c r="O445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45" s="15" t="s">
        <v>856</v>
      </c>
      <c r="Q445" s="18"/>
      <c r="R445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5" s="15" t="s">
        <v>856</v>
      </c>
      <c r="T445" s="20"/>
      <c r="U445" s="8"/>
      <c r="V445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4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45" s="15" cm="1">
        <f t="array" aca="1" ref="X445" ca="1">INDEX('SAP Customer Data'!$A:$AC,MATCH(بيانات_العملاء[[#This Row],[رمز شريك الأعمال]],'SAP Customer Data'!$B:$B,0),CELL("col",Table_Customer_Data[[#Headers],[CreditLine]]))</f>
        <v>240000</v>
      </c>
      <c r="Y44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445" s="37"/>
      <c r="AA44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45" s="15" t="s">
        <v>856</v>
      </c>
      <c r="AC445" s="15"/>
      <c r="AD445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5" s="15" t="s">
        <v>856</v>
      </c>
      <c r="AF445" s="15"/>
      <c r="AG445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5" s="15" t="s">
        <v>856</v>
      </c>
      <c r="AI445" s="15"/>
      <c r="AJ445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5" s="15" t="s">
        <v>856</v>
      </c>
      <c r="AL445" s="18"/>
      <c r="AM445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5" s="15" t="s">
        <v>856</v>
      </c>
      <c r="AO445" s="8"/>
      <c r="AP445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5" s="15" t="s">
        <v>856</v>
      </c>
      <c r="AR445" s="15"/>
      <c r="AS445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5" s="8" cm="1">
        <f t="array" aca="1" ref="AT445" ca="1">INDEX('SAP Customer Data'!A:Z,MATCH(بيانات_العملاء[[#This Row],[رمز شريك الأعمال]],'SAP Customer Data'!B:B,0),CELL("col",Table_Customer_Data[[#Headers],[CreateDate]]))</f>
        <v>43590</v>
      </c>
      <c r="AU445" s="15"/>
      <c r="AV445" s="8" t="s">
        <v>2304</v>
      </c>
      <c r="AW445" s="15" t="s">
        <v>2096</v>
      </c>
      <c r="AX445" s="15"/>
    </row>
    <row r="446" spans="1:50" x14ac:dyDescent="0.25">
      <c r="A446" s="16" t="str" cm="1">
        <f t="array" aca="1" ref="A446" ca="1">INDEX('SAP Customer Data'!$A:$AC,MATCH(بيانات_العملاء[[#This Row],[رمز شريك الأعمال]],'SAP Customer Data'!$B:$B,0),CELL("col",Table_Customer_Data[[#Headers],[GroupName]]))</f>
        <v>CS09</v>
      </c>
      <c r="B446" s="17" t="s">
        <v>441</v>
      </c>
      <c r="C446" s="15" t="str" cm="1">
        <f t="array" aca="1" ref="C446" ca="1">INDEX('SAP Customer Data'!$A:$AC,MATCH(بيانات_العملاء[[#This Row],[رمز شريك الأعمال]],'SAP Customer Data'!$B:$B,0),CELL("col",Table_Customer_Data[[#Headers],[CardName]]))</f>
        <v>شركة لومي الكهربائية للتجارة</v>
      </c>
      <c r="D446" s="15" t="str">
        <f ca="1">IF(بيانات_العملاء[[#This Row],[حد الائتمان على SAP]]&gt;0,"آجل","نقدى")</f>
        <v>آجل</v>
      </c>
      <c r="E446" s="15"/>
      <c r="F446" s="15" t="s">
        <v>997</v>
      </c>
      <c r="G446" s="15" t="s">
        <v>854</v>
      </c>
      <c r="H446" s="15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6" s="15" t="s">
        <v>854</v>
      </c>
      <c r="J446" s="18">
        <v>45120</v>
      </c>
      <c r="K446" s="15" t="s">
        <v>855</v>
      </c>
      <c r="L446" s="15" t="str">
        <f ca="1">IF(AND(بيانات_العملاء[[#This Row],[السجل التجارى]]="موجود",TODAY()+'Other Data'!$B$23&lt;J446,بيانات_العملاء[[#This Row],[مطابقة اسم العميل بالاسم بالسجل التجارى]]="مطابق"), "سارى", "يجب اعادة طلبه")</f>
        <v>يجب اعادة طلبه</v>
      </c>
      <c r="M446" s="15" t="s">
        <v>854</v>
      </c>
      <c r="N446" s="19" t="str" cm="1">
        <f t="array" aca="1" ref="N446" ca="1">INDEX('SAP Customer Data'!$A:$AC,MATCH(بيانات_العملاء[[#This Row],[رمز شريك الأعمال]],'SAP Customer Data'!$B:$B,0),CELL("col",Table_Customer_Data[[#Headers],[LicTradNum]]))</f>
        <v>310230773200003</v>
      </c>
      <c r="O446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46" s="15" t="s">
        <v>854</v>
      </c>
      <c r="Q446" s="18">
        <v>43917</v>
      </c>
      <c r="R446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6" s="15" t="s">
        <v>854</v>
      </c>
      <c r="T446" s="20">
        <v>15000</v>
      </c>
      <c r="U446" s="8"/>
      <c r="V446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4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12000</v>
      </c>
      <c r="X446" s="15" cm="1">
        <f t="array" aca="1" ref="X446" ca="1">INDEX('SAP Customer Data'!$A:$AC,MATCH(بيانات_العملاء[[#This Row],[رمز شريك الأعمال]],'SAP Customer Data'!$B:$B,0),CELL("col",Table_Customer_Data[[#Headers],[CreditLine]]))</f>
        <v>13500</v>
      </c>
      <c r="Y44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446" s="15" t="s">
        <v>859</v>
      </c>
      <c r="AA44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46" s="15" t="s">
        <v>856</v>
      </c>
      <c r="AC446" s="15"/>
      <c r="AD446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6" s="15" t="s">
        <v>856</v>
      </c>
      <c r="AF446" s="15"/>
      <c r="AG446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6" s="15" t="s">
        <v>856</v>
      </c>
      <c r="AI446" s="15"/>
      <c r="AJ446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6" s="15" t="s">
        <v>856</v>
      </c>
      <c r="AL446" s="18"/>
      <c r="AM446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6" s="15" t="s">
        <v>856</v>
      </c>
      <c r="AO446" s="8"/>
      <c r="AP446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6" s="15" t="s">
        <v>856</v>
      </c>
      <c r="AR446" s="15"/>
      <c r="AS446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6" s="8" cm="1">
        <f t="array" aca="1" ref="AT446" ca="1">INDEX('SAP Customer Data'!A:Z,MATCH(بيانات_العملاء[[#This Row],[رمز شريك الأعمال]],'SAP Customer Data'!B:B,0),CELL("col",Table_Customer_Data[[#Headers],[CreateDate]]))</f>
        <v>44114</v>
      </c>
      <c r="AU446" s="15"/>
      <c r="AV446" s="8" t="s">
        <v>2046</v>
      </c>
      <c r="AW446" s="15" t="s">
        <v>2097</v>
      </c>
      <c r="AX446" s="15"/>
    </row>
    <row r="447" spans="1:50" x14ac:dyDescent="0.25">
      <c r="A447" s="36" t="str" cm="1">
        <f t="array" aca="1" ref="A447" ca="1">INDEX('SAP Customer Data'!$A:$AC,MATCH(بيانات_العملاء[[#This Row],[رمز شريك الأعمال]],'SAP Customer Data'!$B:$B,0),CELL("col",Table_Customer_Data[[#Headers],[GroupName]]))</f>
        <v>CS09</v>
      </c>
      <c r="B447" s="35" t="s">
        <v>280</v>
      </c>
      <c r="C447" s="37" t="str" cm="1">
        <f t="array" aca="1" ref="C447" ca="1">INDEX('SAP Customer Data'!$A:$AC,MATCH(بيانات_العملاء[[#This Row],[رمز شريك الأعمال]],'SAP Customer Data'!$B:$B,0),CELL("col",Table_Customer_Data[[#Headers],[CardName]]))</f>
        <v>مؤسسة الاحتراف العربي للتجارة</v>
      </c>
      <c r="D447" s="37" t="str">
        <f ca="1">IF(بيانات_العملاء[[#This Row],[حد الائتمان على SAP]]&gt;0,"آجل","نقدى")</f>
        <v>آجل</v>
      </c>
      <c r="E447" s="37" t="s">
        <v>2092</v>
      </c>
      <c r="F447" s="37" t="s">
        <v>1081</v>
      </c>
      <c r="G447" s="37" t="s">
        <v>854</v>
      </c>
      <c r="H44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7" s="37" t="s">
        <v>854</v>
      </c>
      <c r="J447" s="38">
        <v>45539</v>
      </c>
      <c r="K447" s="37" t="s">
        <v>855</v>
      </c>
      <c r="L447" s="37" t="str">
        <f ca="1">IF(AND(بيانات_العملاء[[#This Row],[السجل التجارى]]="موجود",TODAY()+'Other Data'!$B$23&lt;J447,بيانات_العملاء[[#This Row],[مطابقة اسم العميل بالاسم بالسجل التجارى]]="مطابق"), "سارى", "يجب اعادة طلبه")</f>
        <v>سارى</v>
      </c>
      <c r="M447" s="37" t="s">
        <v>854</v>
      </c>
      <c r="N447" s="39" t="str" cm="1">
        <f t="array" aca="1" ref="N447" ca="1">INDEX('SAP Customer Data'!$A:$AC,MATCH(بيانات_العملاء[[#This Row],[رمز شريك الأعمال]],'SAP Customer Data'!$B:$B,0),CELL("col",Table_Customer_Data[[#Headers],[LicTradNum]]))</f>
        <v>300265967600003</v>
      </c>
      <c r="O44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47" s="37" t="s">
        <v>854</v>
      </c>
      <c r="Q447" s="38">
        <v>44570</v>
      </c>
      <c r="R44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7" s="37" t="s">
        <v>854</v>
      </c>
      <c r="T447" s="40">
        <v>50000</v>
      </c>
      <c r="U447" s="41">
        <v>44693</v>
      </c>
      <c r="V447" s="41">
        <f>IF(بيانات_العملاء[[#This Row],[تاريخ انشاء سند الامر او الاستثناء]]="",0,بيانات_العملاء[[#This Row],[تاريخ انشاء سند الامر او الاستثناء]]+365*3)</f>
        <v>45788</v>
      </c>
      <c r="W44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47" s="37" cm="1">
        <f t="array" aca="1" ref="X447" ca="1">INDEX('SAP Customer Data'!$A:$AC,MATCH(بيانات_العملاء[[#This Row],[رمز شريك الأعمال]],'SAP Customer Data'!$B:$B,0),CELL("col",Table_Customer_Data[[#Headers],[CreditLine]]))</f>
        <v>40000</v>
      </c>
      <c r="Y44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7" s="37" t="s">
        <v>855</v>
      </c>
      <c r="AA44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47" s="37" t="s">
        <v>854</v>
      </c>
      <c r="AC447" s="41">
        <v>46956</v>
      </c>
      <c r="AD44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447" s="37" t="s">
        <v>856</v>
      </c>
      <c r="AF447" s="37"/>
      <c r="AG44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7" s="37" t="s">
        <v>856</v>
      </c>
      <c r="AI447" s="37"/>
      <c r="AJ44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7" s="37" t="s">
        <v>856</v>
      </c>
      <c r="AL447" s="38"/>
      <c r="AM44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7" s="37" t="s">
        <v>854</v>
      </c>
      <c r="AO447" s="41">
        <v>43447</v>
      </c>
      <c r="AP44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7" s="37" t="s">
        <v>856</v>
      </c>
      <c r="AR447" s="37"/>
      <c r="AS44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7" s="41" cm="1">
        <f t="array" aca="1" ref="AT447" ca="1">INDEX('SAP Customer Data'!A:Z,MATCH(بيانات_العملاء[[#This Row],[رمز شريك الأعمال]],'SAP Customer Data'!B:B,0),CELL("col",Table_Customer_Data[[#Headers],[CreateDate]]))</f>
        <v>44702</v>
      </c>
      <c r="AU447" s="37"/>
      <c r="AV447" s="41"/>
      <c r="AW447" s="37" t="s">
        <v>2097</v>
      </c>
      <c r="AX447" s="37"/>
    </row>
    <row r="448" spans="1:50" x14ac:dyDescent="0.25">
      <c r="A448" s="36" t="str" cm="1">
        <f t="array" aca="1" ref="A448" ca="1">INDEX('SAP Customer Data'!$A:$AC,MATCH(بيانات_العملاء[[#This Row],[رمز شريك الأعمال]],'SAP Customer Data'!$B:$B,0),CELL("col",Table_Customer_Data[[#Headers],[GroupName]]))</f>
        <v>CS09</v>
      </c>
      <c r="B448" s="35" t="s">
        <v>381</v>
      </c>
      <c r="C448" s="37" t="str" cm="1">
        <f t="array" aca="1" ref="C448" ca="1">INDEX('SAP Customer Data'!$A:$AC,MATCH(بيانات_العملاء[[#This Row],[رمز شريك الأعمال]],'SAP Customer Data'!$B:$B,0),CELL("col",Table_Customer_Data[[#Headers],[CardName]]))</f>
        <v>فرع مؤسسة اركان الشروق للتجارة</v>
      </c>
      <c r="D448" s="37" t="str">
        <f ca="1">IF(بيانات_العملاء[[#This Row],[حد الائتمان على SAP]]&gt;0,"آجل","نقدى")</f>
        <v>آجل</v>
      </c>
      <c r="E448" s="37" t="s">
        <v>2082</v>
      </c>
      <c r="F448" s="37" t="s">
        <v>1081</v>
      </c>
      <c r="G448" s="37" t="s">
        <v>854</v>
      </c>
      <c r="H44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8" s="37" t="s">
        <v>854</v>
      </c>
      <c r="J448" s="38">
        <v>45175</v>
      </c>
      <c r="K448" s="37" t="s">
        <v>855</v>
      </c>
      <c r="L448" s="37" t="str">
        <f ca="1">IF(AND(بيانات_العملاء[[#This Row],[السجل التجارى]]="موجود",TODAY()+'Other Data'!$B$23&lt;J448,بيانات_العملاء[[#This Row],[مطابقة اسم العميل بالاسم بالسجل التجارى]]="مطابق"), "سارى", "يجب اعادة طلبه")</f>
        <v>يجب اعادة طلبه</v>
      </c>
      <c r="M448" s="37" t="s">
        <v>856</v>
      </c>
      <c r="N448" s="39" t="str" cm="1">
        <f t="array" aca="1" ref="N448" ca="1">INDEX('SAP Customer Data'!$A:$AC,MATCH(بيانات_العملاء[[#This Row],[رمز شريك الأعمال]],'SAP Customer Data'!$B:$B,0),CELL("col",Table_Customer_Data[[#Headers],[LicTradNum]]))</f>
        <v>300977171300003</v>
      </c>
      <c r="O44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48" s="37" t="s">
        <v>856</v>
      </c>
      <c r="Q448" s="38"/>
      <c r="R44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48" s="37" t="s">
        <v>854</v>
      </c>
      <c r="T448" s="40">
        <v>300000</v>
      </c>
      <c r="U448" s="41"/>
      <c r="V44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4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240000</v>
      </c>
      <c r="X448" s="37" cm="1">
        <f t="array" aca="1" ref="X448" ca="1">INDEX('SAP Customer Data'!$A:$AC,MATCH(بيانات_العملاء[[#This Row],[رمز شريك الأعمال]],'SAP Customer Data'!$B:$B,0),CELL("col",Table_Customer_Data[[#Headers],[CreditLine]]))</f>
        <v>240000</v>
      </c>
      <c r="Y44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8" s="37" t="s">
        <v>855</v>
      </c>
      <c r="AA44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48" s="37" t="s">
        <v>856</v>
      </c>
      <c r="AC448" s="37"/>
      <c r="AD44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8" s="37" t="s">
        <v>856</v>
      </c>
      <c r="AF448" s="37"/>
      <c r="AG44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8" s="37" t="s">
        <v>856</v>
      </c>
      <c r="AI448" s="37"/>
      <c r="AJ44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8" s="37" t="s">
        <v>856</v>
      </c>
      <c r="AL448" s="38"/>
      <c r="AM44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8" s="37" t="s">
        <v>856</v>
      </c>
      <c r="AO448" s="41"/>
      <c r="AP44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8" s="37" t="s">
        <v>856</v>
      </c>
      <c r="AR448" s="37"/>
      <c r="AS44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8" s="41" cm="1">
        <f t="array" aca="1" ref="AT448" ca="1">INDEX('SAP Customer Data'!A:Z,MATCH(بيانات_العملاء[[#This Row],[رمز شريك الأعمال]],'SAP Customer Data'!B:B,0),CELL("col",Table_Customer_Data[[#Headers],[CreateDate]]))</f>
        <v>43807</v>
      </c>
      <c r="AU448" s="37"/>
      <c r="AV448" s="41"/>
      <c r="AW448" s="37" t="s">
        <v>2097</v>
      </c>
      <c r="AX448" s="37"/>
    </row>
    <row r="449" spans="1:50" x14ac:dyDescent="0.25">
      <c r="A449" s="36" t="str" cm="1">
        <f t="array" aca="1" ref="A449" ca="1">INDEX('SAP Customer Data'!$A:$AC,MATCH(بيانات_العملاء[[#This Row],[رمز شريك الأعمال]],'SAP Customer Data'!$B:$B,0),CELL("col",Table_Customer_Data[[#Headers],[GroupName]]))</f>
        <v>CS09</v>
      </c>
      <c r="B449" s="35" t="s">
        <v>1013</v>
      </c>
      <c r="C449" s="37" t="str" cm="1">
        <f t="array" aca="1" ref="C449" ca="1">INDEX('SAP Customer Data'!$A:$AC,MATCH(بيانات_العملاء[[#This Row],[رمز شريك الأعمال]],'SAP Customer Data'!$B:$B,0),CELL("col",Table_Customer_Data[[#Headers],[CardName]]))</f>
        <v>مؤسسة أبشربي للتجارة</v>
      </c>
      <c r="D449" s="37" t="str">
        <f ca="1">IF(بيانات_العملاء[[#This Row],[حد الائتمان على SAP]]&gt;0,"آجل","نقدى")</f>
        <v>آجل</v>
      </c>
      <c r="E449" s="37" t="s">
        <v>1015</v>
      </c>
      <c r="F449" s="37" t="s">
        <v>1081</v>
      </c>
      <c r="G449" s="37" t="s">
        <v>854</v>
      </c>
      <c r="H449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49" s="37" t="s">
        <v>854</v>
      </c>
      <c r="J449" s="38">
        <v>46016</v>
      </c>
      <c r="K449" s="41" t="s">
        <v>855</v>
      </c>
      <c r="L449" s="37" t="str">
        <f ca="1">IF(AND(بيانات_العملاء[[#This Row],[السجل التجارى]]="موجود",TODAY()+'Other Data'!$B$23&lt;J449,بيانات_العملاء[[#This Row],[مطابقة اسم العميل بالاسم بالسجل التجارى]]="مطابق"), "سارى", "يجب اعادة طلبه")</f>
        <v>سارى</v>
      </c>
      <c r="M449" s="37" t="s">
        <v>854</v>
      </c>
      <c r="N449" s="39" t="str" cm="1">
        <f t="array" aca="1" ref="N449" ca="1">INDEX('SAP Customer Data'!$A:$AC,MATCH(بيانات_العملاء[[#This Row],[رمز شريك الأعمال]],'SAP Customer Data'!$B:$B,0),CELL("col",Table_Customer_Data[[#Headers],[LicTradNum]]))</f>
        <v>301216572800003</v>
      </c>
      <c r="O44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49" s="37" t="s">
        <v>854</v>
      </c>
      <c r="Q449" s="38">
        <v>46500</v>
      </c>
      <c r="R44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49" s="37" t="s">
        <v>854</v>
      </c>
      <c r="T449" s="40">
        <v>60000</v>
      </c>
      <c r="U449" s="41">
        <v>45026</v>
      </c>
      <c r="V449" s="41">
        <f>IF(بيانات_العملاء[[#This Row],[تاريخ انشاء سند الامر او الاستثناء]]="",0,بيانات_العملاء[[#This Row],[تاريخ انشاء سند الامر او الاستثناء]]+365*3)</f>
        <v>46121</v>
      </c>
      <c r="W44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48000</v>
      </c>
      <c r="X449" s="37" cm="1">
        <f t="array" aca="1" ref="X449" ca="1">INDEX('SAP Customer Data'!$A:$AC,MATCH(بيانات_العملاء[[#This Row],[رمز شريك الأعمال]],'SAP Customer Data'!$B:$B,0),CELL("col",Table_Customer_Data[[#Headers],[CreditLine]]))</f>
        <v>48000</v>
      </c>
      <c r="Y44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49" s="37" t="s">
        <v>855</v>
      </c>
      <c r="AA44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49" s="37" t="s">
        <v>856</v>
      </c>
      <c r="AC449" s="37"/>
      <c r="AD44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49" s="37" t="s">
        <v>856</v>
      </c>
      <c r="AF449" s="37"/>
      <c r="AG44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49" s="37" t="s">
        <v>856</v>
      </c>
      <c r="AI449" s="37"/>
      <c r="AJ44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49" s="37"/>
      <c r="AL449" s="38"/>
      <c r="AM44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49" s="37" t="s">
        <v>856</v>
      </c>
      <c r="AO449" s="41"/>
      <c r="AP44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49" s="37" t="s">
        <v>856</v>
      </c>
      <c r="AR449" s="37"/>
      <c r="AS44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49" s="41" cm="1">
        <f t="array" aca="1" ref="AT449" ca="1">INDEX('SAP Customer Data'!A:Z,MATCH(بيانات_العملاء[[#This Row],[رمز شريك الأعمال]],'SAP Customer Data'!B:B,0),CELL("col",Table_Customer_Data[[#Headers],[CreateDate]]))</f>
        <v>45027</v>
      </c>
      <c r="AU449" s="37" t="s">
        <v>1016</v>
      </c>
      <c r="AV449" s="41"/>
      <c r="AW449" s="37" t="s">
        <v>2097</v>
      </c>
      <c r="AX449" s="37"/>
    </row>
    <row r="450" spans="1:50" x14ac:dyDescent="0.25">
      <c r="A450" s="36" t="str" cm="1">
        <f t="array" aca="1" ref="A450" ca="1">INDEX('SAP Customer Data'!$A:$AC,MATCH(بيانات_العملاء[[#This Row],[رمز شريك الأعمال]],'SAP Customer Data'!$B:$B,0),CELL("col",Table_Customer_Data[[#Headers],[GroupName]]))</f>
        <v>CS09</v>
      </c>
      <c r="B450" s="35" t="s">
        <v>945</v>
      </c>
      <c r="C450" s="37" t="str" cm="1">
        <f t="array" aca="1" ref="C450" ca="1">INDEX('SAP Customer Data'!$A:$AC,MATCH(بيانات_العملاء[[#This Row],[رمز شريك الأعمال]],'SAP Customer Data'!$B:$B,0),CELL("col",Table_Customer_Data[[#Headers],[CardName]]))</f>
        <v>شركة الاصول الاستثمارية - نقدى</v>
      </c>
      <c r="D450" s="37" t="str">
        <f ca="1">IF(بيانات_العملاء[[#This Row],[حد الائتمان على SAP]]&gt;0,"آجل","نقدى")</f>
        <v>نقدى</v>
      </c>
      <c r="E450" s="37"/>
      <c r="F450" s="37" t="s">
        <v>997</v>
      </c>
      <c r="G450" s="37" t="s">
        <v>856</v>
      </c>
      <c r="H45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50" s="37" t="s">
        <v>854</v>
      </c>
      <c r="J450" s="38">
        <v>45230</v>
      </c>
      <c r="K450" s="37" t="s">
        <v>855</v>
      </c>
      <c r="L450" s="37" t="str">
        <f ca="1">IF(AND(بيانات_العملاء[[#This Row],[السجل التجارى]]="موجود",TODAY()+'Other Data'!$B$23&lt;J450,بيانات_العملاء[[#This Row],[مطابقة اسم العميل بالاسم بالسجل التجارى]]="مطابق"), "سارى", "يجب اعادة طلبه")</f>
        <v>سارى</v>
      </c>
      <c r="M450" s="37" t="s">
        <v>854</v>
      </c>
      <c r="N450" s="39" t="str" cm="1">
        <f t="array" aca="1" ref="N450" ca="1">INDEX('SAP Customer Data'!$A:$AC,MATCH(بيانات_العملاء[[#This Row],[رمز شريك الأعمال]],'SAP Customer Data'!$B:$B,0),CELL("col",Table_Customer_Data[[#Headers],[LicTradNum]]))</f>
        <v>302006563900003</v>
      </c>
      <c r="O45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0" s="37" t="s">
        <v>854</v>
      </c>
      <c r="Q450" s="38">
        <v>45151</v>
      </c>
      <c r="R45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50" s="37" t="s">
        <v>1080</v>
      </c>
      <c r="T450" s="40"/>
      <c r="U450" s="41"/>
      <c r="V45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50" s="37" cm="1">
        <f t="array" aca="1" ref="X450" ca="1">INDEX('SAP Customer Data'!$A:$AC,MATCH(بيانات_العملاء[[#This Row],[رمز شريك الأعمال]],'SAP Customer Data'!$B:$B,0),CELL("col",Table_Customer_Data[[#Headers],[CreditLine]]))</f>
        <v>0</v>
      </c>
      <c r="Y45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0" s="37"/>
      <c r="AA45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50" s="37" t="s">
        <v>856</v>
      </c>
      <c r="AC450" s="37"/>
      <c r="AD45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0" s="37" t="s">
        <v>856</v>
      </c>
      <c r="AF450" s="37"/>
      <c r="AG45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0" s="37" t="s">
        <v>856</v>
      </c>
      <c r="AI450" s="37"/>
      <c r="AJ45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0" s="37"/>
      <c r="AL450" s="38"/>
      <c r="AM45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0" s="37" t="s">
        <v>856</v>
      </c>
      <c r="AO450" s="41"/>
      <c r="AP45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0" s="37" t="s">
        <v>856</v>
      </c>
      <c r="AR450" s="37"/>
      <c r="AS45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0" s="41" cm="1">
        <f t="array" aca="1" ref="AT450" ca="1">INDEX('SAP Customer Data'!A:Z,MATCH(بيانات_العملاء[[#This Row],[رمز شريك الأعمال]],'SAP Customer Data'!B:B,0),CELL("col",Table_Customer_Data[[#Headers],[CreateDate]]))</f>
        <v>44992</v>
      </c>
      <c r="AU450" s="37"/>
      <c r="AV450" s="41"/>
      <c r="AW450" s="37" t="s">
        <v>2097</v>
      </c>
      <c r="AX450" s="37"/>
    </row>
    <row r="451" spans="1:50" x14ac:dyDescent="0.25">
      <c r="A451" s="36" t="str" cm="1">
        <f t="array" aca="1" ref="A451" ca="1">INDEX('SAP Customer Data'!$A:$AC,MATCH(بيانات_العملاء[[#This Row],[رمز شريك الأعمال]],'SAP Customer Data'!$B:$B,0),CELL("col",Table_Customer_Data[[#Headers],[GroupName]]))</f>
        <v>CS09</v>
      </c>
      <c r="B451" s="35" t="s">
        <v>349</v>
      </c>
      <c r="C451" s="37" t="str" cm="1">
        <f t="array" aca="1" ref="C451" ca="1">INDEX('SAP Customer Data'!$A:$AC,MATCH(بيانات_العملاء[[#This Row],[رمز شريك الأعمال]],'SAP Customer Data'!$B:$B,0),CELL("col",Table_Customer_Data[[#Headers],[CardName]]))</f>
        <v>مؤسسة عبدالله بن براهيم بن جربوع للتجارة</v>
      </c>
      <c r="D451" s="37" t="str">
        <f ca="1">IF(بيانات_العملاء[[#This Row],[حد الائتمان على SAP]]&gt;0,"آجل","نقدى")</f>
        <v>آجل</v>
      </c>
      <c r="E451" s="37" t="s">
        <v>2209</v>
      </c>
      <c r="F451" s="37" t="s">
        <v>1081</v>
      </c>
      <c r="G451" s="37" t="s">
        <v>854</v>
      </c>
      <c r="H45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51" s="37" t="s">
        <v>854</v>
      </c>
      <c r="J451" s="38">
        <v>44072</v>
      </c>
      <c r="K451" s="37" t="s">
        <v>855</v>
      </c>
      <c r="L451" s="37" t="str">
        <f ca="1">IF(AND(بيانات_العملاء[[#This Row],[السجل التجارى]]="موجود",TODAY()+'Other Data'!$B$23&lt;J451,بيانات_العملاء[[#This Row],[مطابقة اسم العميل بالاسم بالسجل التجارى]]="مطابق"), "سارى", "يجب اعادة طلبه")</f>
        <v>يجب اعادة طلبه</v>
      </c>
      <c r="M451" s="37" t="s">
        <v>856</v>
      </c>
      <c r="N451" s="39" t="str" cm="1">
        <f t="array" aca="1" ref="N451" ca="1">INDEX('SAP Customer Data'!$A:$AC,MATCH(بيانات_العملاء[[#This Row],[رمز شريك الأعمال]],'SAP Customer Data'!$B:$B,0),CELL("col",Table_Customer_Data[[#Headers],[LicTradNum]]))</f>
        <v>302157615700003</v>
      </c>
      <c r="O45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51" s="37" t="s">
        <v>856</v>
      </c>
      <c r="Q451" s="38"/>
      <c r="R45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51" s="37" t="s">
        <v>854</v>
      </c>
      <c r="T451" s="40">
        <v>100000</v>
      </c>
      <c r="U451" s="41"/>
      <c r="V45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451" s="37" cm="1">
        <f t="array" aca="1" ref="X451" ca="1">INDEX('SAP Customer Data'!$A:$AC,MATCH(بيانات_العملاء[[#This Row],[رمز شريك الأعمال]],'SAP Customer Data'!$B:$B,0),CELL("col",Table_Customer_Data[[#Headers],[CreditLine]]))</f>
        <v>80000</v>
      </c>
      <c r="Y45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1" s="37" t="s">
        <v>855</v>
      </c>
      <c r="AA45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51" s="37" t="s">
        <v>856</v>
      </c>
      <c r="AC451" s="37"/>
      <c r="AD45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1" s="37" t="s">
        <v>856</v>
      </c>
      <c r="AF451" s="37"/>
      <c r="AG45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1" s="37" t="s">
        <v>856</v>
      </c>
      <c r="AI451" s="37"/>
      <c r="AJ45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1" s="37" t="s">
        <v>856</v>
      </c>
      <c r="AL451" s="38"/>
      <c r="AM45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1" s="37" t="s">
        <v>856</v>
      </c>
      <c r="AO451" s="41"/>
      <c r="AP45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1" s="37" t="s">
        <v>856</v>
      </c>
      <c r="AR451" s="37"/>
      <c r="AS45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1" s="41" cm="1">
        <f t="array" aca="1" ref="AT451" ca="1">INDEX('SAP Customer Data'!A:Z,MATCH(بيانات_العملاء[[#This Row],[رمز شريك الأعمال]],'SAP Customer Data'!B:B,0),CELL("col",Table_Customer_Data[[#Headers],[CreateDate]]))</f>
        <v>43745</v>
      </c>
      <c r="AU451" s="37"/>
      <c r="AV451" s="41"/>
      <c r="AW451" s="37" t="s">
        <v>2097</v>
      </c>
      <c r="AX451" s="37"/>
    </row>
    <row r="452" spans="1:50" x14ac:dyDescent="0.25">
      <c r="A452" s="36" t="str" cm="1">
        <f t="array" aca="1" ref="A452" ca="1">INDEX('SAP Customer Data'!$A:$AC,MATCH(بيانات_العملاء[[#This Row],[رمز شريك الأعمال]],'SAP Customer Data'!$B:$B,0),CELL("col",Table_Customer_Data[[#Headers],[GroupName]]))</f>
        <v>CS09</v>
      </c>
      <c r="B452" s="35" t="s">
        <v>744</v>
      </c>
      <c r="C452" s="37" t="str" cm="1">
        <f t="array" aca="1" ref="C452" ca="1">INDEX('SAP Customer Data'!$A:$AC,MATCH(بيانات_العملاء[[#This Row],[رمز شريك الأعمال]],'SAP Customer Data'!$B:$B,0),CELL("col",Table_Customer_Data[[#Headers],[CardName]]))</f>
        <v>مؤسسة رؤية المسكن للتجارة</v>
      </c>
      <c r="D452" s="37" t="str">
        <f ca="1">IF(بيانات_العملاء[[#This Row],[حد الائتمان على SAP]]&gt;0,"آجل","نقدى")</f>
        <v>آجل</v>
      </c>
      <c r="E452" s="37" t="s">
        <v>2079</v>
      </c>
      <c r="F452" s="37" t="s">
        <v>1081</v>
      </c>
      <c r="G452" s="37" t="s">
        <v>854</v>
      </c>
      <c r="H45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52" s="37" t="s">
        <v>854</v>
      </c>
      <c r="J452" s="38">
        <v>45224</v>
      </c>
      <c r="K452" s="37" t="s">
        <v>855</v>
      </c>
      <c r="L452" s="37" t="str">
        <f ca="1">IF(AND(بيانات_العملاء[[#This Row],[السجل التجارى]]="موجود",TODAY()+'Other Data'!$B$23&lt;J452,بيانات_العملاء[[#This Row],[مطابقة اسم العميل بالاسم بالسجل التجارى]]="مطابق"), "سارى", "يجب اعادة طلبه")</f>
        <v>سارى</v>
      </c>
      <c r="M452" s="37" t="s">
        <v>854</v>
      </c>
      <c r="N452" s="39" t="str" cm="1">
        <f t="array" aca="1" ref="N452" ca="1">INDEX('SAP Customer Data'!$A:$AC,MATCH(بيانات_العملاء[[#This Row],[رمز شريك الأعمال]],'SAP Customer Data'!$B:$B,0),CELL("col",Table_Customer_Data[[#Headers],[LicTradNum]]))</f>
        <v>310278358800003</v>
      </c>
      <c r="O45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2" s="37" t="s">
        <v>854</v>
      </c>
      <c r="Q452" s="38">
        <v>45223</v>
      </c>
      <c r="R45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52" s="37" t="s">
        <v>854</v>
      </c>
      <c r="T452" s="40">
        <v>50000</v>
      </c>
      <c r="U452" s="41">
        <v>44732</v>
      </c>
      <c r="V452" s="41">
        <f>IF(بيانات_العملاء[[#This Row],[تاريخ انشاء سند الامر او الاستثناء]]="",0,بيانات_العملاء[[#This Row],[تاريخ انشاء سند الامر او الاستثناء]]+365*3)</f>
        <v>45827</v>
      </c>
      <c r="W45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52" s="37" cm="1">
        <f t="array" aca="1" ref="X452" ca="1">INDEX('SAP Customer Data'!$A:$AC,MATCH(بيانات_العملاء[[#This Row],[رمز شريك الأعمال]],'SAP Customer Data'!$B:$B,0),CELL("col",Table_Customer_Data[[#Headers],[CreditLine]]))</f>
        <v>40000</v>
      </c>
      <c r="Y45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2" s="37" t="s">
        <v>855</v>
      </c>
      <c r="AA45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52" s="37" t="s">
        <v>856</v>
      </c>
      <c r="AC452" s="37"/>
      <c r="AD45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2" s="37" t="s">
        <v>856</v>
      </c>
      <c r="AF452" s="37"/>
      <c r="AG45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2" s="37" t="s">
        <v>856</v>
      </c>
      <c r="AI452" s="37"/>
      <c r="AJ45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2" s="37" t="s">
        <v>856</v>
      </c>
      <c r="AL452" s="38"/>
      <c r="AM45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2" s="37" t="s">
        <v>856</v>
      </c>
      <c r="AO452" s="41"/>
      <c r="AP45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2" s="37" t="s">
        <v>856</v>
      </c>
      <c r="AR452" s="37"/>
      <c r="AS45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2" s="41" cm="1">
        <f t="array" aca="1" ref="AT452" ca="1">INDEX('SAP Customer Data'!A:Z,MATCH(بيانات_العملاء[[#This Row],[رمز شريك الأعمال]],'SAP Customer Data'!B:B,0),CELL("col",Table_Customer_Data[[#Headers],[CreateDate]]))</f>
        <v>44738</v>
      </c>
      <c r="AU452" s="37"/>
      <c r="AV452" s="41"/>
      <c r="AW452" s="37" t="s">
        <v>2097</v>
      </c>
      <c r="AX452" s="37"/>
    </row>
    <row r="453" spans="1:50" x14ac:dyDescent="0.25">
      <c r="A453" s="36" t="str" cm="1">
        <f t="array" aca="1" ref="A453" ca="1">INDEX('SAP Customer Data'!$A:$AC,MATCH(بيانات_العملاء[[#This Row],[رمز شريك الأعمال]],'SAP Customer Data'!$B:$B,0),CELL("col",Table_Customer_Data[[#Headers],[GroupName]]))</f>
        <v>CS09</v>
      </c>
      <c r="B453" s="35" t="s">
        <v>486</v>
      </c>
      <c r="C453" s="37" t="str" cm="1">
        <f t="array" aca="1" ref="C453" ca="1">INDEX('SAP Customer Data'!$A:$AC,MATCH(بيانات_العملاء[[#This Row],[رمز شريك الأعمال]],'SAP Customer Data'!$B:$B,0),CELL("col",Table_Customer_Data[[#Headers],[CardName]]))</f>
        <v>شركة ركن العزائم للتجارة - نقدى</v>
      </c>
      <c r="D453" s="37" t="str">
        <f ca="1">IF(بيانات_العملاء[[#This Row],[حد الائتمان على SAP]]&gt;0,"آجل","نقدى")</f>
        <v>نقدى</v>
      </c>
      <c r="E453" s="37"/>
      <c r="F453" s="37" t="s">
        <v>997</v>
      </c>
      <c r="G453" s="37" t="s">
        <v>856</v>
      </c>
      <c r="H45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53" s="37" t="s">
        <v>854</v>
      </c>
      <c r="J453" s="38">
        <v>46275</v>
      </c>
      <c r="K453" s="37" t="s">
        <v>855</v>
      </c>
      <c r="L453" s="37" t="str">
        <f ca="1">IF(AND(بيانات_العملاء[[#This Row],[السجل التجارى]]="موجود",TODAY()+'Other Data'!$B$23&lt;J453,بيانات_العملاء[[#This Row],[مطابقة اسم العميل بالاسم بالسجل التجارى]]="مطابق"), "سارى", "يجب اعادة طلبه")</f>
        <v>سارى</v>
      </c>
      <c r="M453" s="37" t="s">
        <v>854</v>
      </c>
      <c r="N453" s="39" t="str" cm="1">
        <f t="array" aca="1" ref="N453" ca="1">INDEX('SAP Customer Data'!$A:$AC,MATCH(بيانات_العملاء[[#This Row],[رمز شريك الأعمال]],'SAP Customer Data'!$B:$B,0),CELL("col",Table_Customer_Data[[#Headers],[LicTradNum]]))</f>
        <v>310295003400003</v>
      </c>
      <c r="O45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3" s="37" t="s">
        <v>856</v>
      </c>
      <c r="Q453" s="38"/>
      <c r="R45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53" s="37" t="s">
        <v>1080</v>
      </c>
      <c r="T453" s="40"/>
      <c r="U453" s="41"/>
      <c r="V45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53" s="37" cm="1">
        <f t="array" aca="1" ref="X453" ca="1">INDEX('SAP Customer Data'!$A:$AC,MATCH(بيانات_العملاء[[#This Row],[رمز شريك الأعمال]],'SAP Customer Data'!$B:$B,0),CELL("col",Table_Customer_Data[[#Headers],[CreditLine]]))</f>
        <v>0</v>
      </c>
      <c r="Y45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3" s="37"/>
      <c r="AA45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53" s="37" t="s">
        <v>856</v>
      </c>
      <c r="AC453" s="37"/>
      <c r="AD45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3" s="37" t="s">
        <v>856</v>
      </c>
      <c r="AF453" s="37"/>
      <c r="AG45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3" s="37" t="s">
        <v>856</v>
      </c>
      <c r="AI453" s="37"/>
      <c r="AJ45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3" s="37" t="s">
        <v>856</v>
      </c>
      <c r="AL453" s="38"/>
      <c r="AM45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3" s="37" t="s">
        <v>856</v>
      </c>
      <c r="AO453" s="41"/>
      <c r="AP45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3" s="37" t="s">
        <v>856</v>
      </c>
      <c r="AR453" s="37"/>
      <c r="AS45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3" s="41" cm="1">
        <f t="array" aca="1" ref="AT453" ca="1">INDEX('SAP Customer Data'!A:Z,MATCH(بيانات_العملاء[[#This Row],[رمز شريك الأعمال]],'SAP Customer Data'!B:B,0),CELL("col",Table_Customer_Data[[#Headers],[CreateDate]]))</f>
        <v>44884</v>
      </c>
      <c r="AU453" s="37"/>
      <c r="AV453" s="41"/>
      <c r="AW453" s="37" t="s">
        <v>2097</v>
      </c>
      <c r="AX453" s="37"/>
    </row>
    <row r="454" spans="1:50" s="72" customFormat="1" x14ac:dyDescent="0.25">
      <c r="A454" s="16" t="str" cm="1">
        <f t="array" aca="1" ref="A454" ca="1">INDEX('SAP Customer Data'!$A:$AC,MATCH(بيانات_العملاء[[#This Row],[رمز شريك الأعمال]],'SAP Customer Data'!$B:$B,0),CELL("col",Table_Customer_Data[[#Headers],[GroupName]]))</f>
        <v>CS09</v>
      </c>
      <c r="B454" s="17" t="s">
        <v>321</v>
      </c>
      <c r="C454" s="15" t="str" cm="1">
        <f t="array" aca="1" ref="C454" ca="1">INDEX('SAP Customer Data'!$A:$AC,MATCH(بيانات_العملاء[[#This Row],[رمز شريك الأعمال]],'SAP Customer Data'!$B:$B,0),CELL("col",Table_Customer_Data[[#Headers],[CardName]]))</f>
        <v>شركة اضافة البصمة التجارية</v>
      </c>
      <c r="D454" s="15" t="str">
        <f ca="1">IF(بيانات_العملاء[[#This Row],[حد الائتمان على SAP]]&gt;0,"آجل","نقدى")</f>
        <v>آجل</v>
      </c>
      <c r="E454" s="15"/>
      <c r="F454" s="15" t="s">
        <v>1082</v>
      </c>
      <c r="G454" s="15" t="s">
        <v>856</v>
      </c>
      <c r="H454" s="15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54" s="15" t="s">
        <v>856</v>
      </c>
      <c r="J454" s="18"/>
      <c r="K454" s="15"/>
      <c r="L454" s="15" t="str">
        <f ca="1">IF(AND(بيانات_العملاء[[#This Row],[السجل التجارى]]="موجود",TODAY()+'Other Data'!$B$23&lt;J454,بيانات_العملاء[[#This Row],[مطابقة اسم العميل بالاسم بالسجل التجارى]]="مطابق"), "سارى", "يجب اعادة طلبه")</f>
        <v>يجب اعادة طلبه</v>
      </c>
      <c r="M454" s="15" t="s">
        <v>856</v>
      </c>
      <c r="N454" s="19" t="str" cm="1">
        <f t="array" aca="1" ref="N454" ca="1">INDEX('SAP Customer Data'!$A:$AC,MATCH(بيانات_العملاء[[#This Row],[رمز شريك الأعمال]],'SAP Customer Data'!$B:$B,0),CELL("col",Table_Customer_Data[[#Headers],[LicTradNum]]))</f>
        <v>311166433600003</v>
      </c>
      <c r="O454" s="15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54" s="15" t="s">
        <v>856</v>
      </c>
      <c r="Q454" s="18"/>
      <c r="R454" s="15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54" s="15" t="s">
        <v>856</v>
      </c>
      <c r="T454" s="20"/>
      <c r="U454" s="8"/>
      <c r="V454" s="15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4" s="15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54" s="15" cm="1">
        <f t="array" aca="1" ref="X454" ca="1">INDEX('SAP Customer Data'!$A:$AC,MATCH(بيانات_العملاء[[#This Row],[رمز شريك الأعمال]],'SAP Customer Data'!$B:$B,0),CELL("col",Table_Customer_Data[[#Headers],[CreditLine]]))</f>
        <v>240000</v>
      </c>
      <c r="Y454" s="15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454" s="37"/>
      <c r="AA45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54" s="15" t="s">
        <v>856</v>
      </c>
      <c r="AC454" s="15"/>
      <c r="AD454" s="15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4" s="15" t="s">
        <v>856</v>
      </c>
      <c r="AF454" s="15"/>
      <c r="AG454" s="1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4" s="15" t="s">
        <v>856</v>
      </c>
      <c r="AI454" s="15"/>
      <c r="AJ454" s="1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4" s="15" t="s">
        <v>856</v>
      </c>
      <c r="AL454" s="18"/>
      <c r="AM454" s="1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4" s="15" t="s">
        <v>856</v>
      </c>
      <c r="AO454" s="8"/>
      <c r="AP454" s="1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4" s="15" t="s">
        <v>856</v>
      </c>
      <c r="AR454" s="15"/>
      <c r="AS454" s="1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4" s="8" cm="1">
        <f t="array" aca="1" ref="AT454" ca="1">INDEX('SAP Customer Data'!A:Z,MATCH(بيانات_العملاء[[#This Row],[رمز شريك الأعمال]],'SAP Customer Data'!B:B,0),CELL("col",Table_Customer_Data[[#Headers],[CreateDate]]))</f>
        <v>43674</v>
      </c>
      <c r="AU454" s="15"/>
      <c r="AV454" s="8" t="s">
        <v>2304</v>
      </c>
      <c r="AW454" s="15" t="s">
        <v>2097</v>
      </c>
      <c r="AX454" s="15"/>
    </row>
    <row r="455" spans="1:50" x14ac:dyDescent="0.25">
      <c r="A455" s="36" t="str" cm="1">
        <f t="array" aca="1" ref="A455" ca="1">INDEX('SAP Customer Data'!$A:$AC,MATCH(بيانات_العملاء[[#This Row],[رمز شريك الأعمال]],'SAP Customer Data'!$B:$B,0),CELL("col",Table_Customer_Data[[#Headers],[GroupName]]))</f>
        <v>CS09</v>
      </c>
      <c r="B455" s="35" t="s">
        <v>269</v>
      </c>
      <c r="C455" s="37" t="str" cm="1">
        <f t="array" aca="1" ref="C455" ca="1">INDEX('SAP Customer Data'!$A:$AC,MATCH(بيانات_العملاء[[#This Row],[رمز شريك الأعمال]],'SAP Customer Data'!$B:$B,0),CELL("col",Table_Customer_Data[[#Headers],[CardName]]))</f>
        <v>شركة مصدر الاضاءة للتجارة - الغرابي</v>
      </c>
      <c r="D455" s="37" t="str">
        <f ca="1">IF(بيانات_العملاء[[#This Row],[حد الائتمان على SAP]]&gt;0,"آجل","نقدى")</f>
        <v>آجل</v>
      </c>
      <c r="E455" s="37"/>
      <c r="F455" s="37" t="s">
        <v>908</v>
      </c>
      <c r="G455" s="37" t="s">
        <v>854</v>
      </c>
      <c r="H45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55" s="37" t="s">
        <v>854</v>
      </c>
      <c r="J455" s="38">
        <v>44973</v>
      </c>
      <c r="K455" s="37" t="s">
        <v>855</v>
      </c>
      <c r="L455" s="37" t="str">
        <f ca="1">IF(AND(بيانات_العملاء[[#This Row],[السجل التجارى]]="موجود",TODAY()+'Other Data'!$B$23&lt;J455,بيانات_العملاء[[#This Row],[مطابقة اسم العميل بالاسم بالسجل التجارى]]="مطابق"), "سارى", "يجب اعادة طلبه")</f>
        <v>يجب اعادة طلبه</v>
      </c>
      <c r="M455" s="37" t="s">
        <v>854</v>
      </c>
      <c r="N455" s="39" t="str" cm="1">
        <f t="array" aca="1" ref="N455" ca="1">INDEX('SAP Customer Data'!$A:$AC,MATCH(بيانات_العملاء[[#This Row],[رمز شريك الأعمال]],'SAP Customer Data'!$B:$B,0),CELL("col",Table_Customer_Data[[#Headers],[LicTradNum]]))</f>
        <v>311242126900003</v>
      </c>
      <c r="O45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5" s="37" t="s">
        <v>854</v>
      </c>
      <c r="Q455" s="38">
        <v>45297</v>
      </c>
      <c r="R45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55" s="37" t="s">
        <v>854</v>
      </c>
      <c r="T455" s="40">
        <v>37500</v>
      </c>
      <c r="U455" s="41"/>
      <c r="V45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30000</v>
      </c>
      <c r="X455" s="37" cm="1">
        <f t="array" aca="1" ref="X455" ca="1">INDEX('SAP Customer Data'!$A:$AC,MATCH(بيانات_العملاء[[#This Row],[رمز شريك الأعمال]],'SAP Customer Data'!$B:$B,0),CELL("col",Table_Customer_Data[[#Headers],[CreditLine]]))</f>
        <v>30000</v>
      </c>
      <c r="Y45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5" s="37" t="s">
        <v>855</v>
      </c>
      <c r="AA45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55" s="37" t="s">
        <v>856</v>
      </c>
      <c r="AC455" s="37"/>
      <c r="AD45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5" s="37" t="s">
        <v>856</v>
      </c>
      <c r="AF455" s="37"/>
      <c r="AG45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5" s="37" t="s">
        <v>856</v>
      </c>
      <c r="AI455" s="37"/>
      <c r="AJ45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5" s="37" t="s">
        <v>856</v>
      </c>
      <c r="AL455" s="38"/>
      <c r="AM45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5" s="37" t="s">
        <v>854</v>
      </c>
      <c r="AO455" s="41">
        <v>44824</v>
      </c>
      <c r="AP45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5" s="37" t="s">
        <v>856</v>
      </c>
      <c r="AR455" s="37"/>
      <c r="AS45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5" s="41" cm="1">
        <f t="array" aca="1" ref="AT455" ca="1">INDEX('SAP Customer Data'!A:Z,MATCH(بيانات_العملاء[[#This Row],[رمز شريك الأعمال]],'SAP Customer Data'!B:B,0),CELL("col",Table_Customer_Data[[#Headers],[CreateDate]]))</f>
        <v>44271</v>
      </c>
      <c r="AU455" s="37"/>
      <c r="AV455" s="41"/>
      <c r="AW455" s="37" t="s">
        <v>2096</v>
      </c>
      <c r="AX455" s="37"/>
    </row>
    <row r="456" spans="1:50" x14ac:dyDescent="0.25">
      <c r="A456" s="36" t="str" cm="1">
        <f t="array" aca="1" ref="A456" ca="1">INDEX('SAP Customer Data'!$A:$AC,MATCH(بيانات_العملاء[[#This Row],[رمز شريك الأعمال]],'SAP Customer Data'!$B:$B,0),CELL("col",Table_Customer_Data[[#Headers],[GroupName]]))</f>
        <v>CS09</v>
      </c>
      <c r="B456" s="35" t="s">
        <v>241</v>
      </c>
      <c r="C456" s="37" t="str" cm="1">
        <f t="array" aca="1" ref="C456" ca="1">INDEX('SAP Customer Data'!$A:$AC,MATCH(بيانات_العملاء[[#This Row],[رمز شريك الأعمال]],'SAP Customer Data'!$B:$B,0),CELL("col",Table_Customer_Data[[#Headers],[CardName]]))</f>
        <v>شركة نوافذ الحضارة للتجارة</v>
      </c>
      <c r="D456" s="37" t="str">
        <f ca="1">IF(بيانات_العملاء[[#This Row],[حد الائتمان على SAP]]&gt;0,"آجل","نقدى")</f>
        <v>آجل</v>
      </c>
      <c r="E456" s="37"/>
      <c r="F456" s="37" t="s">
        <v>996</v>
      </c>
      <c r="G456" s="37" t="s">
        <v>854</v>
      </c>
      <c r="H45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56" s="37" t="s">
        <v>854</v>
      </c>
      <c r="J456" s="38">
        <v>45011</v>
      </c>
      <c r="K456" s="37" t="s">
        <v>855</v>
      </c>
      <c r="L456" s="37" t="str">
        <f ca="1">IF(AND(بيانات_العملاء[[#This Row],[السجل التجارى]]="موجود",TODAY()+'Other Data'!$B$23&lt;J456,بيانات_العملاء[[#This Row],[مطابقة اسم العميل بالاسم بالسجل التجارى]]="مطابق"), "سارى", "يجب اعادة طلبه")</f>
        <v>يجب اعادة طلبه</v>
      </c>
      <c r="M456" s="37" t="s">
        <v>854</v>
      </c>
      <c r="N456" s="39" t="str" cm="1">
        <f t="array" aca="1" ref="N456" ca="1">INDEX('SAP Customer Data'!$A:$AC,MATCH(بيانات_العملاء[[#This Row],[رمز شريك الأعمال]],'SAP Customer Data'!$B:$B,0),CELL("col",Table_Customer_Data[[#Headers],[LicTradNum]]))</f>
        <v>311270777100003</v>
      </c>
      <c r="O45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6" s="37" t="s">
        <v>856</v>
      </c>
      <c r="Q456" s="38"/>
      <c r="R45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56" s="37" t="s">
        <v>854</v>
      </c>
      <c r="T456" s="40">
        <v>50000</v>
      </c>
      <c r="U456" s="41"/>
      <c r="V45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56" s="37" cm="1">
        <f t="array" aca="1" ref="X456" ca="1">INDEX('SAP Customer Data'!$A:$AC,MATCH(بيانات_العملاء[[#This Row],[رمز شريك الأعمال]],'SAP Customer Data'!$B:$B,0),CELL("col",Table_Customer_Data[[#Headers],[CreditLine]]))</f>
        <v>40000</v>
      </c>
      <c r="Y45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6" s="37" t="s">
        <v>855</v>
      </c>
      <c r="AA45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56" s="37" t="s">
        <v>856</v>
      </c>
      <c r="AC456" s="37"/>
      <c r="AD45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6" s="37" t="s">
        <v>856</v>
      </c>
      <c r="AF456" s="37"/>
      <c r="AG45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6" s="37" t="s">
        <v>856</v>
      </c>
      <c r="AI456" s="37"/>
      <c r="AJ45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6" s="37" t="s">
        <v>856</v>
      </c>
      <c r="AL456" s="38"/>
      <c r="AM45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6" s="37" t="s">
        <v>856</v>
      </c>
      <c r="AO456" s="41"/>
      <c r="AP45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6" s="37" t="s">
        <v>856</v>
      </c>
      <c r="AR456" s="37"/>
      <c r="AS45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6" s="41" cm="1">
        <f t="array" aca="1" ref="AT456" ca="1">INDEX('SAP Customer Data'!A:Z,MATCH(بيانات_العملاء[[#This Row],[رمز شريك الأعمال]],'SAP Customer Data'!B:B,0),CELL("col",Table_Customer_Data[[#Headers],[CreateDate]]))</f>
        <v>44543</v>
      </c>
      <c r="AU456" s="37"/>
      <c r="AV456" s="41"/>
      <c r="AW456" s="37" t="s">
        <v>2097</v>
      </c>
      <c r="AX456" s="37"/>
    </row>
    <row r="457" spans="1:50" x14ac:dyDescent="0.25">
      <c r="A457" s="36" t="str" cm="1">
        <f t="array" aca="1" ref="A457" ca="1">INDEX('SAP Customer Data'!$A:$AC,MATCH(بيانات_العملاء[[#This Row],[رمز شريك الأعمال]],'SAP Customer Data'!$B:$B,0),CELL("col",Table_Customer_Data[[#Headers],[GroupName]]))</f>
        <v>CS09</v>
      </c>
      <c r="B457" s="35" t="s">
        <v>434</v>
      </c>
      <c r="C457" s="37" t="str" cm="1">
        <f t="array" aca="1" ref="C457" ca="1">INDEX('SAP Customer Data'!$A:$AC,MATCH(بيانات_العملاء[[#This Row],[رمز شريك الأعمال]],'SAP Customer Data'!$B:$B,0),CELL("col",Table_Customer_Data[[#Headers],[CardName]]))</f>
        <v>شركة قصر الثريا للادوات الكهربائية</v>
      </c>
      <c r="D457" s="37" t="str">
        <f ca="1">IF(بيانات_العملاء[[#This Row],[حد الائتمان على SAP]]&gt;0,"آجل","نقدى")</f>
        <v>آجل</v>
      </c>
      <c r="E457" s="37"/>
      <c r="F457" s="37" t="s">
        <v>908</v>
      </c>
      <c r="G457" s="37" t="s">
        <v>854</v>
      </c>
      <c r="H45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57" s="37" t="s">
        <v>854</v>
      </c>
      <c r="J457" s="38">
        <v>45344</v>
      </c>
      <c r="K457" s="37" t="s">
        <v>855</v>
      </c>
      <c r="L457" s="37" t="str">
        <f ca="1">IF(AND(بيانات_العملاء[[#This Row],[السجل التجارى]]="موجود",TODAY()+'Other Data'!$B$23&lt;J457,بيانات_العملاء[[#This Row],[مطابقة اسم العميل بالاسم بالسجل التجارى]]="مطابق"), "سارى", "يجب اعادة طلبه")</f>
        <v>سارى</v>
      </c>
      <c r="M457" s="37" t="s">
        <v>854</v>
      </c>
      <c r="N457" s="39" t="str" cm="1">
        <f t="array" aca="1" ref="N457" ca="1">INDEX('SAP Customer Data'!$A:$AC,MATCH(بيانات_العملاء[[#This Row],[رمز شريك الأعمال]],'SAP Customer Data'!$B:$B,0),CELL("col",Table_Customer_Data[[#Headers],[LicTradNum]]))</f>
        <v>311514298300003</v>
      </c>
      <c r="O45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7" s="37" t="s">
        <v>854</v>
      </c>
      <c r="Q457" s="38">
        <v>45179</v>
      </c>
      <c r="R45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57" s="37" t="s">
        <v>854</v>
      </c>
      <c r="T457" s="40">
        <v>100000</v>
      </c>
      <c r="U457" s="41">
        <v>45026</v>
      </c>
      <c r="V457" s="41">
        <f>IF(بيانات_العملاء[[#This Row],[تاريخ انشاء سند الامر او الاستثناء]]="",0,بيانات_العملاء[[#This Row],[تاريخ انشاء سند الامر او الاستثناء]]+365*3)</f>
        <v>46121</v>
      </c>
      <c r="W45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457" s="37" cm="1">
        <f t="array" aca="1" ref="X457" ca="1">INDEX('SAP Customer Data'!$A:$AC,MATCH(بيانات_العملاء[[#This Row],[رمز شريك الأعمال]],'SAP Customer Data'!$B:$B,0),CELL("col",Table_Customer_Data[[#Headers],[CreditLine]]))</f>
        <v>80000</v>
      </c>
      <c r="Y45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7" s="37" t="s">
        <v>855</v>
      </c>
      <c r="AA45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57" s="37" t="s">
        <v>856</v>
      </c>
      <c r="AC457" s="37"/>
      <c r="AD45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7" s="37" t="s">
        <v>856</v>
      </c>
      <c r="AF457" s="37"/>
      <c r="AG45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57" s="37" t="s">
        <v>856</v>
      </c>
      <c r="AI457" s="37"/>
      <c r="AJ45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57" s="37"/>
      <c r="AL457" s="38"/>
      <c r="AM45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7" s="37" t="s">
        <v>856</v>
      </c>
      <c r="AO457" s="41"/>
      <c r="AP45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7" s="37" t="s">
        <v>856</v>
      </c>
      <c r="AR457" s="37"/>
      <c r="AS45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57" s="41" cm="1">
        <f t="array" aca="1" ref="AT457" ca="1">INDEX('SAP Customer Data'!A:Z,MATCH(بيانات_العملاء[[#This Row],[رمز شريك الأعمال]],'SAP Customer Data'!B:B,0),CELL("col",Table_Customer_Data[[#Headers],[CreateDate]]))</f>
        <v>43983</v>
      </c>
      <c r="AU457" s="37" t="s">
        <v>1067</v>
      </c>
      <c r="AV457" s="41"/>
      <c r="AW457" s="37" t="s">
        <v>2097</v>
      </c>
      <c r="AX457" s="37"/>
    </row>
    <row r="458" spans="1:50" x14ac:dyDescent="0.25">
      <c r="A458" s="36" t="s">
        <v>74</v>
      </c>
      <c r="B458" s="35" t="s">
        <v>2154</v>
      </c>
      <c r="C458" s="37" t="str" cm="1">
        <f t="array" aca="1" ref="C458" ca="1">INDEX('SAP Customer Data'!$A:$AC,MATCH(بيانات_العملاء[[#This Row],[رمز شريك الأعمال]],'SAP Customer Data'!$B:$B,0),CELL("col",Table_Customer_Data[[#Headers],[CardName]]))</f>
        <v>مؤسسة الاتقان للتجارة -نقدي</v>
      </c>
      <c r="D458" s="37" t="str">
        <f ca="1">IF(بيانات_العملاء[[#This Row],[حد الائتمان على SAP]]&gt;0,"آجل","نقدى")</f>
        <v>نقدى</v>
      </c>
      <c r="E458" s="37" t="s">
        <v>2156</v>
      </c>
      <c r="F458" s="37" t="s">
        <v>1081</v>
      </c>
      <c r="G458" s="37" t="s">
        <v>856</v>
      </c>
      <c r="H45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58" s="37" t="s">
        <v>854</v>
      </c>
      <c r="J458" s="38">
        <v>45145</v>
      </c>
      <c r="K458" s="41" t="s">
        <v>855</v>
      </c>
      <c r="L458" s="37" t="str">
        <f ca="1">IF(AND(بيانات_العملاء[[#This Row],[السجل التجارى]]="موجود",TODAY()+'Other Data'!$B$23&lt;J458,بيانات_العملاء[[#This Row],[مطابقة اسم العميل بالاسم بالسجل التجارى]]="مطابق"), "سارى", "يجب اعادة طلبه")</f>
        <v>يجب اعادة طلبه</v>
      </c>
      <c r="M458" s="37" t="s">
        <v>854</v>
      </c>
      <c r="N458" s="39" t="str" cm="1">
        <f t="array" aca="1" ref="N458" ca="1">INDEX('SAP Customer Data'!$A:$AC,MATCH(بيانات_العملاء[[#This Row],[رمز شريك الأعمال]],'SAP Customer Data'!$B:$B,0),CELL("col",Table_Customer_Data[[#Headers],[LicTradNum]]))</f>
        <v>300171863500003</v>
      </c>
      <c r="O45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8" s="37" t="s">
        <v>856</v>
      </c>
      <c r="Q458" s="38"/>
      <c r="R458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58" s="37" t="s">
        <v>1080</v>
      </c>
      <c r="T458" s="40"/>
      <c r="U458" s="41"/>
      <c r="V45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58" s="37" cm="1">
        <f t="array" aca="1" ref="X458" ca="1">INDEX('SAP Customer Data'!$A:$AC,MATCH(بيانات_العملاء[[#This Row],[رمز شريك الأعمال]],'SAP Customer Data'!$B:$B,0),CELL("col",Table_Customer_Data[[#Headers],[CreditLine]]))</f>
        <v>0</v>
      </c>
      <c r="Y45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8" s="37"/>
      <c r="AA45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58" s="37" t="s">
        <v>856</v>
      </c>
      <c r="AC458" s="37"/>
      <c r="AD458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8" s="37" t="s">
        <v>856</v>
      </c>
      <c r="AF458" s="37"/>
      <c r="AG45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58" s="37" t="s">
        <v>856</v>
      </c>
      <c r="AI458" s="37"/>
      <c r="AJ45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58" s="37" t="s">
        <v>856</v>
      </c>
      <c r="AL458" s="38"/>
      <c r="AM45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8" s="37" t="s">
        <v>856</v>
      </c>
      <c r="AO458" s="41"/>
      <c r="AP45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8" s="37" t="s">
        <v>856</v>
      </c>
      <c r="AR458" s="37"/>
      <c r="AS45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58" s="41" cm="1">
        <f t="array" aca="1" ref="AT458" ca="1">INDEX('SAP Customer Data'!A:Z,MATCH(بيانات_العملاء[[#This Row],[رمز شريك الأعمال]],'SAP Customer Data'!B:B,0),CELL("col",Table_Customer_Data[[#Headers],[CreateDate]]))</f>
        <v>45094</v>
      </c>
      <c r="AU458" s="41"/>
      <c r="AV458" s="41"/>
      <c r="AW458" s="37" t="s">
        <v>2097</v>
      </c>
      <c r="AX458" s="37"/>
    </row>
    <row r="459" spans="1:50" x14ac:dyDescent="0.25">
      <c r="A459" s="36" t="s">
        <v>74</v>
      </c>
      <c r="B459" s="35" t="s">
        <v>2179</v>
      </c>
      <c r="C459" s="37" t="str" cm="1">
        <f t="array" aca="1" ref="C459" ca="1">INDEX('SAP Customer Data'!$A:$AC,MATCH(بيانات_العملاء[[#This Row],[رمز شريك الأعمال]],'SAP Customer Data'!$B:$B,0),CELL("col",Table_Customer_Data[[#Headers],[CardName]]))</f>
        <v>مؤسسة انماء الانارة للتجارة - نقدي</v>
      </c>
      <c r="D459" s="37" t="str">
        <f ca="1">IF(بيانات_العملاء[[#This Row],[حد الائتمان على SAP]]&gt;0,"آجل","نقدى")</f>
        <v>نقدى</v>
      </c>
      <c r="E459" s="37" t="s">
        <v>2190</v>
      </c>
      <c r="F459" s="37" t="s">
        <v>1081</v>
      </c>
      <c r="G459" s="37" t="s">
        <v>856</v>
      </c>
      <c r="H45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59" s="37" t="s">
        <v>854</v>
      </c>
      <c r="J459" s="38">
        <v>45196</v>
      </c>
      <c r="K459" s="41" t="s">
        <v>855</v>
      </c>
      <c r="L459" s="37" t="str">
        <f ca="1">IF(AND(بيانات_العملاء[[#This Row],[السجل التجارى]]="موجود",TODAY()+'Other Data'!$B$23&lt;J459,بيانات_العملاء[[#This Row],[مطابقة اسم العميل بالاسم بالسجل التجارى]]="مطابق"), "سارى", "يجب اعادة طلبه")</f>
        <v>يجب اعادة طلبه</v>
      </c>
      <c r="M459" s="37" t="s">
        <v>854</v>
      </c>
      <c r="N459" s="39" t="str" cm="1">
        <f t="array" aca="1" ref="N459" ca="1">INDEX('SAP Customer Data'!$A:$AC,MATCH(بيانات_العملاء[[#This Row],[رمز شريك الأعمال]],'SAP Customer Data'!$B:$B,0),CELL("col",Table_Customer_Data[[#Headers],[LicTradNum]]))</f>
        <v>310938173700003</v>
      </c>
      <c r="O45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59" s="37" t="s">
        <v>856</v>
      </c>
      <c r="Q459" s="38"/>
      <c r="R459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59" s="37" t="s">
        <v>1080</v>
      </c>
      <c r="T459" s="40"/>
      <c r="U459" s="41"/>
      <c r="V45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5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59" s="37" cm="1">
        <f t="array" aca="1" ref="X459" ca="1">INDEX('SAP Customer Data'!$A:$AC,MATCH(بيانات_العملاء[[#This Row],[رمز شريك الأعمال]],'SAP Customer Data'!$B:$B,0),CELL("col",Table_Customer_Data[[#Headers],[CreditLine]]))</f>
        <v>0</v>
      </c>
      <c r="Y45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59" s="37"/>
      <c r="AA45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59" s="37" t="s">
        <v>856</v>
      </c>
      <c r="AC459" s="37"/>
      <c r="AD459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59" s="37" t="s">
        <v>856</v>
      </c>
      <c r="AF459" s="37"/>
      <c r="AG45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59" s="37" t="s">
        <v>856</v>
      </c>
      <c r="AI459" s="37"/>
      <c r="AJ45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59" s="37" t="s">
        <v>856</v>
      </c>
      <c r="AL459" s="38"/>
      <c r="AM45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59" s="37" t="s">
        <v>856</v>
      </c>
      <c r="AO459" s="41"/>
      <c r="AP45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59" s="37" t="s">
        <v>856</v>
      </c>
      <c r="AR459" s="37"/>
      <c r="AS45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59" s="41" cm="1">
        <f t="array" aca="1" ref="AT459" ca="1">INDEX('SAP Customer Data'!A:Z,MATCH(بيانات_العملاء[[#This Row],[رمز شريك الأعمال]],'SAP Customer Data'!B:B,0),CELL("col",Table_Customer_Data[[#Headers],[CreateDate]]))</f>
        <v>45094</v>
      </c>
      <c r="AU459" s="41"/>
      <c r="AV459" s="41"/>
      <c r="AW459" s="37" t="s">
        <v>2096</v>
      </c>
      <c r="AX459" s="37"/>
    </row>
    <row r="460" spans="1:50" x14ac:dyDescent="0.25">
      <c r="A460" s="36" t="s">
        <v>74</v>
      </c>
      <c r="B460" s="35" t="s">
        <v>2183</v>
      </c>
      <c r="C460" s="37" t="str" cm="1">
        <f t="array" aca="1" ref="C460" ca="1">INDEX('SAP Customer Data'!$A:$AC,MATCH(بيانات_العملاء[[#This Row],[رمز شريك الأعمال]],'SAP Customer Data'!$B:$B,0),CELL("col",Table_Customer_Data[[#Headers],[CardName]]))</f>
        <v>مؤسسة حياة الانارة التجارية - نقدي</v>
      </c>
      <c r="D460" s="37" t="str">
        <f ca="1">IF(بيانات_العملاء[[#This Row],[حد الائتمان على SAP]]&gt;0,"آجل","نقدى")</f>
        <v>نقدى</v>
      </c>
      <c r="E460" s="37" t="s">
        <v>2191</v>
      </c>
      <c r="F460" s="37" t="s">
        <v>1081</v>
      </c>
      <c r="G460" s="37" t="s">
        <v>856</v>
      </c>
      <c r="H46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0" s="37" t="s">
        <v>854</v>
      </c>
      <c r="J460" s="38">
        <v>44605</v>
      </c>
      <c r="K460" s="41" t="s">
        <v>855</v>
      </c>
      <c r="L460" s="37" t="str">
        <f ca="1">IF(AND(بيانات_العملاء[[#This Row],[السجل التجارى]]="موجود",TODAY()+'Other Data'!$B$23&lt;J460,بيانات_العملاء[[#This Row],[مطابقة اسم العميل بالاسم بالسجل التجارى]]="مطابق"), "سارى", "يجب اعادة طلبه")</f>
        <v>يجب اعادة طلبه</v>
      </c>
      <c r="M460" s="37" t="s">
        <v>854</v>
      </c>
      <c r="N460" s="39" t="str" cm="1">
        <f t="array" aca="1" ref="N460" ca="1">INDEX('SAP Customer Data'!$A:$AC,MATCH(بيانات_العملاء[[#This Row],[رمز شريك الأعمال]],'SAP Customer Data'!$B:$B,0),CELL("col",Table_Customer_Data[[#Headers],[LicTradNum]]))</f>
        <v>310237833600003</v>
      </c>
      <c r="O46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0" s="37" t="s">
        <v>856</v>
      </c>
      <c r="Q460" s="38"/>
      <c r="R460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60" s="37" t="s">
        <v>1080</v>
      </c>
      <c r="T460" s="40"/>
      <c r="U460" s="41"/>
      <c r="V46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0" s="37" cm="1">
        <f t="array" aca="1" ref="X460" ca="1">INDEX('SAP Customer Data'!$A:$AC,MATCH(بيانات_العملاء[[#This Row],[رمز شريك الأعمال]],'SAP Customer Data'!$B:$B,0),CELL("col",Table_Customer_Data[[#Headers],[CreditLine]]))</f>
        <v>0</v>
      </c>
      <c r="Y46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0" s="37"/>
      <c r="AA46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60" s="37" t="s">
        <v>856</v>
      </c>
      <c r="AC460" s="37"/>
      <c r="AD460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0" s="37"/>
      <c r="AF460" s="37"/>
      <c r="AG46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60" s="37" t="s">
        <v>856</v>
      </c>
      <c r="AI460" s="37"/>
      <c r="AJ46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60" s="37" t="s">
        <v>856</v>
      </c>
      <c r="AL460" s="38"/>
      <c r="AM46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0" s="37" t="s">
        <v>854</v>
      </c>
      <c r="AO460" s="41"/>
      <c r="AP46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0" s="37" t="s">
        <v>856</v>
      </c>
      <c r="AR460" s="37"/>
      <c r="AS46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60" s="41" cm="1">
        <f t="array" aca="1" ref="AT460" ca="1">INDEX('SAP Customer Data'!A:Z,MATCH(بيانات_العملاء[[#This Row],[رمز شريك الأعمال]],'SAP Customer Data'!B:B,0),CELL("col",Table_Customer_Data[[#Headers],[CreateDate]]))</f>
        <v>45094</v>
      </c>
      <c r="AU460" s="41"/>
      <c r="AV460" s="41"/>
      <c r="AW460" s="37"/>
      <c r="AX460" s="37"/>
    </row>
    <row r="461" spans="1:50" x14ac:dyDescent="0.25">
      <c r="A461" s="36" t="s">
        <v>74</v>
      </c>
      <c r="B461" s="35" t="s">
        <v>2207</v>
      </c>
      <c r="C461" s="37" t="str" cm="1">
        <f t="array" aca="1" ref="C461" ca="1">INDEX('SAP Customer Data'!$A:$AC,MATCH(بيانات_العملاء[[#This Row],[رمز شريك الأعمال]],'SAP Customer Data'!$B:$B,0),CELL("col",Table_Customer_Data[[#Headers],[CardName]]))</f>
        <v>شركة استحقاق العرب للتجارة</v>
      </c>
      <c r="D461" s="37" t="str">
        <f ca="1">IF(بيانات_العملاء[[#This Row],[حد الائتمان على SAP]]&gt;0,"آجل","نقدى")</f>
        <v>آجل</v>
      </c>
      <c r="E461" s="37"/>
      <c r="F461" s="37" t="s">
        <v>908</v>
      </c>
      <c r="G461" s="37" t="s">
        <v>854</v>
      </c>
      <c r="H46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61" s="37" t="s">
        <v>854</v>
      </c>
      <c r="J461" s="38">
        <v>45344</v>
      </c>
      <c r="K461" s="41" t="s">
        <v>855</v>
      </c>
      <c r="L461" s="37" t="str">
        <f ca="1">IF(AND(بيانات_العملاء[[#This Row],[السجل التجارى]]="موجود",TODAY()+'Other Data'!$B$23&lt;J461,بيانات_العملاء[[#This Row],[مطابقة اسم العميل بالاسم بالسجل التجارى]]="مطابق"), "سارى", "يجب اعادة طلبه")</f>
        <v>سارى</v>
      </c>
      <c r="M461" s="37" t="s">
        <v>854</v>
      </c>
      <c r="N461" s="39" t="str" cm="1">
        <f t="array" aca="1" ref="N461" ca="1">INDEX('SAP Customer Data'!$A:$AC,MATCH(بيانات_العملاء[[#This Row],[رمز شريك الأعمال]],'SAP Customer Data'!$B:$B,0),CELL("col",Table_Customer_Data[[#Headers],[LicTradNum]]))</f>
        <v>311231956500003</v>
      </c>
      <c r="O46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1" s="37" t="s">
        <v>854</v>
      </c>
      <c r="Q461" s="38">
        <v>45132</v>
      </c>
      <c r="R461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61" s="37" t="s">
        <v>854</v>
      </c>
      <c r="T461" s="40">
        <v>50000</v>
      </c>
      <c r="U461" s="41">
        <v>45113</v>
      </c>
      <c r="V461" s="41">
        <f>IF(بيانات_العملاء[[#This Row],[تاريخ انشاء سند الامر او الاستثناء]]="",0,بيانات_العملاء[[#This Row],[تاريخ انشاء سند الامر او الاستثناء]]+365*3)</f>
        <v>46208</v>
      </c>
      <c r="W46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61" s="37" cm="1">
        <f t="array" aca="1" ref="X461" ca="1">INDEX('SAP Customer Data'!$A:$AC,MATCH(بيانات_العملاء[[#This Row],[رمز شريك الأعمال]],'SAP Customer Data'!$B:$B,0),CELL("col",Table_Customer_Data[[#Headers],[CreditLine]]))</f>
        <v>80000</v>
      </c>
      <c r="Y46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اصغر</v>
      </c>
      <c r="Z461" s="37" t="s">
        <v>855</v>
      </c>
      <c r="AA46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61" s="37"/>
      <c r="AC461" s="37"/>
      <c r="AD461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1" s="37"/>
      <c r="AF461" s="37"/>
      <c r="AG46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61" s="37"/>
      <c r="AI461" s="37"/>
      <c r="AJ46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61" s="37"/>
      <c r="AL461" s="38"/>
      <c r="AM46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1" s="37" t="s">
        <v>854</v>
      </c>
      <c r="AO461" s="41">
        <v>45338</v>
      </c>
      <c r="AP46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سارى</v>
      </c>
      <c r="AQ461" s="37"/>
      <c r="AR461" s="37"/>
      <c r="AS46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61" s="41" cm="1">
        <f t="array" aca="1" ref="AT461" ca="1">INDEX('SAP Customer Data'!A:Z,MATCH(بيانات_العملاء[[#This Row],[رمز شريك الأعمال]],'SAP Customer Data'!B:B,0),CELL("col",Table_Customer_Data[[#Headers],[CreateDate]]))</f>
        <v>45113</v>
      </c>
      <c r="AU461" s="83" t="s">
        <v>2478</v>
      </c>
      <c r="AV461" s="41"/>
      <c r="AW461" s="37"/>
      <c r="AX461" s="37"/>
    </row>
    <row r="462" spans="1:50" x14ac:dyDescent="0.25">
      <c r="A462" s="36" t="str" cm="1">
        <f t="array" aca="1" ref="A462" ca="1">INDEX('SAP Customer Data'!$A:$AC,MATCH(بيانات_العملاء[[#This Row],[رمز شريك الأعمال]],'SAP Customer Data'!$B:$B,0),CELL("col",Table_Customer_Data[[#Headers],[GroupName]]))</f>
        <v>CS09</v>
      </c>
      <c r="B462" s="35" t="s">
        <v>1443</v>
      </c>
      <c r="C462" s="37" t="str" cm="1">
        <f t="array" aca="1" ref="C462" ca="1">INDEX('SAP Customer Data'!$A:$AC,MATCH(بيانات_العملاء[[#This Row],[رمز شريك الأعمال]],'SAP Customer Data'!$B:$B,0),CELL("col",Table_Customer_Data[[#Headers],[CardName]]))</f>
        <v>عميل بضمان المندوب -CS09</v>
      </c>
      <c r="D462" s="37" t="str">
        <f ca="1">IF(بيانات_العملاء[[#This Row],[حد الائتمان على SAP]]&gt;0,"آجل","نقدى")</f>
        <v>نقدى</v>
      </c>
      <c r="E462" s="37"/>
      <c r="F462" s="37"/>
      <c r="G462" s="37"/>
      <c r="H46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2" s="37"/>
      <c r="J462" s="38"/>
      <c r="K462" s="41" t="str">
        <f>IF(بيانات_العملاء[[#This Row],[السجل التجارى]]="غير موجود", "غير مطابق", "")</f>
        <v/>
      </c>
      <c r="L462" s="37" t="str">
        <f ca="1">IF(AND(بيانات_العملاء[[#This Row],[السجل التجارى]]="موجود",TODAY()+'Other Data'!$B$23&lt;J462,بيانات_العملاء[[#This Row],[مطابقة اسم العميل بالاسم بالسجل التجارى]]="مطابق"), "سارى", "يجب اعادة طلبه")</f>
        <v>يجب اعادة طلبه</v>
      </c>
      <c r="M462" s="37"/>
      <c r="N462" s="39" t="str" cm="1">
        <f t="array" aca="1" ref="N462" ca="1">INDEX('SAP Customer Data'!$A:$AC,MATCH(بيانات_العملاء[[#This Row],[رمز شريك الأعمال]],'SAP Customer Data'!$B:$B,0),CELL("col",Table_Customer_Data[[#Headers],[LicTradNum]]))</f>
        <v>عمرو الشحات</v>
      </c>
      <c r="O46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62" s="37"/>
      <c r="Q462" s="38"/>
      <c r="R462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62" s="37" t="s">
        <v>1080</v>
      </c>
      <c r="T462" s="40"/>
      <c r="U462" s="41"/>
      <c r="V46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2" s="37" cm="1">
        <f t="array" aca="1" ref="X462" ca="1">INDEX('SAP Customer Data'!$A:$AC,MATCH(بيانات_العملاء[[#This Row],[رمز شريك الأعمال]],'SAP Customer Data'!$B:$B,0),CELL("col",Table_Customer_Data[[#Headers],[CreditLine]]))</f>
        <v>0</v>
      </c>
      <c r="Y46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2" s="37"/>
      <c r="AA46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62" s="37"/>
      <c r="AC462" s="37"/>
      <c r="AD462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2" s="37"/>
      <c r="AF462" s="37"/>
      <c r="AG46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62" s="37"/>
      <c r="AI462" s="37"/>
      <c r="AJ46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62" s="37"/>
      <c r="AL462" s="38"/>
      <c r="AM46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2" s="37"/>
      <c r="AO462" s="41"/>
      <c r="AP46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2" s="37"/>
      <c r="AR462" s="37"/>
      <c r="AS46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62" s="41" cm="1">
        <f t="array" aca="1" ref="AT462" ca="1">INDEX('SAP Customer Data'!A:Z,MATCH(بيانات_العملاء[[#This Row],[رمز شريك الأعمال]],'SAP Customer Data'!B:B,0),CELL("col",Table_Customer_Data[[#Headers],[CreateDate]]))</f>
        <v>44693</v>
      </c>
      <c r="AU462" s="41"/>
      <c r="AV462" s="41"/>
      <c r="AW462" s="37" t="s">
        <v>2097</v>
      </c>
      <c r="AX462" s="37"/>
    </row>
    <row r="463" spans="1:50" x14ac:dyDescent="0.25">
      <c r="A463" s="22" t="str" cm="1">
        <f t="array" aca="1" ref="A463" ca="1">INDEX('SAP Customer Data'!$A:$AC,MATCH(بيانات_العملاء[[#This Row],[رمز شريك الأعمال]],'SAP Customer Data'!$B:$B,0),CELL("col",Table_Customer_Data[[#Headers],[GroupName]]))</f>
        <v>CS09</v>
      </c>
      <c r="B463" s="23" t="s">
        <v>291</v>
      </c>
      <c r="C463" s="24" t="str" cm="1">
        <f t="array" aca="1" ref="C463" ca="1">INDEX('SAP Customer Data'!$A:$AC,MATCH(بيانات_العملاء[[#This Row],[رمز شريك الأعمال]],'SAP Customer Data'!$B:$B,0),CELL("col",Table_Customer_Data[[#Headers],[CardName]]))</f>
        <v>شركة المنازل المضيئة للتجارة</v>
      </c>
      <c r="D463" s="24" t="str">
        <f ca="1">IF(بيانات_العملاء[[#This Row],[حد الائتمان على SAP]]&gt;0,"آجل","نقدى")</f>
        <v>آجل</v>
      </c>
      <c r="E463" s="24"/>
      <c r="F463" s="24" t="s">
        <v>1082</v>
      </c>
      <c r="G463" s="24" t="s">
        <v>856</v>
      </c>
      <c r="H463" s="24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3" s="24" t="s">
        <v>856</v>
      </c>
      <c r="J463" s="25"/>
      <c r="K463" s="24"/>
      <c r="L463" s="24" t="str">
        <f ca="1">IF(AND(بيانات_العملاء[[#This Row],[السجل التجارى]]="موجود",TODAY()+'Other Data'!$B$23&lt;J463,بيانات_العملاء[[#This Row],[مطابقة اسم العميل بالاسم بالسجل التجارى]]="مطابق"), "سارى", "يجب اعادة طلبه")</f>
        <v>يجب اعادة طلبه</v>
      </c>
      <c r="M463" s="24" t="s">
        <v>854</v>
      </c>
      <c r="N463" s="26" t="str" cm="1">
        <f t="array" aca="1" ref="N463" ca="1">INDEX('SAP Customer Data'!$A:$AC,MATCH(بيانات_العملاء[[#This Row],[رمز شريك الأعمال]],'SAP Customer Data'!$B:$B,0),CELL("col",Table_Customer_Data[[#Headers],[LicTradNum]]))</f>
        <v>311191051300003</v>
      </c>
      <c r="O463" s="24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3" s="15" t="s">
        <v>856</v>
      </c>
      <c r="Q463" s="25"/>
      <c r="R463" s="24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63" s="15" t="s">
        <v>856</v>
      </c>
      <c r="T463" s="27"/>
      <c r="U463" s="11"/>
      <c r="V463" s="24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3" s="24" cm="1">
        <f t="array" aca="1" ref="X463" ca="1">INDEX('SAP Customer Data'!$A:$AC,MATCH(بيانات_العملاء[[#This Row],[رمز شريك الأعمال]],'SAP Customer Data'!$B:$B,0),CELL("col",Table_Customer_Data[[#Headers],[CreditLine]]))</f>
        <v>80000</v>
      </c>
      <c r="Y46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غير موجود</v>
      </c>
      <c r="Z463" s="37"/>
      <c r="AA46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63" s="15" t="s">
        <v>856</v>
      </c>
      <c r="AC463" s="24"/>
      <c r="AD463" s="24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3" s="15" t="s">
        <v>856</v>
      </c>
      <c r="AF463" s="24"/>
      <c r="AG463" s="24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63" s="15" t="s">
        <v>856</v>
      </c>
      <c r="AI463" s="24"/>
      <c r="AJ463" s="24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63" s="24"/>
      <c r="AL463" s="25"/>
      <c r="AM463" s="24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3" s="15" t="s">
        <v>856</v>
      </c>
      <c r="AO463" s="11"/>
      <c r="AP463" s="24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3" s="15" t="s">
        <v>856</v>
      </c>
      <c r="AR463" s="24"/>
      <c r="AS463" s="24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63" s="11" cm="1">
        <f t="array" aca="1" ref="AT463" ca="1">INDEX('SAP Customer Data'!A:Z,MATCH(بيانات_العملاء[[#This Row],[رمز شريك الأعمال]],'SAP Customer Data'!B:B,0),CELL("col",Table_Customer_Data[[#Headers],[CreateDate]]))</f>
        <v>44483</v>
      </c>
      <c r="AU463" s="24"/>
      <c r="AV463" s="33" t="s">
        <v>920</v>
      </c>
      <c r="AW463" s="24" t="s">
        <v>2096</v>
      </c>
      <c r="AX463" s="24"/>
    </row>
    <row r="464" spans="1:50" x14ac:dyDescent="0.25">
      <c r="A464" s="36" t="str" cm="1">
        <f t="array" aca="1" ref="A464" ca="1">INDEX('SAP Customer Data'!$A:$AC,MATCH(بيانات_العملاء[[#This Row],[رمز شريك الأعمال]],'SAP Customer Data'!$B:$B,0),CELL("col",Table_Customer_Data[[#Headers],[GroupName]]))</f>
        <v>CS09</v>
      </c>
      <c r="B464" s="35" t="s">
        <v>748</v>
      </c>
      <c r="C464" s="37" t="str" cm="1">
        <f t="array" aca="1" ref="C464" ca="1">INDEX('SAP Customer Data'!$A:$AC,MATCH(بيانات_العملاء[[#This Row],[رمز شريك الأعمال]],'SAP Customer Data'!$B:$B,0),CELL("col",Table_Customer_Data[[#Headers],[CardName]]))</f>
        <v>شركة علي المديني العنزي للتجارة-نقدي</v>
      </c>
      <c r="D464" s="37" t="str">
        <f ca="1">IF(بيانات_العملاء[[#This Row],[حد الائتمان على SAP]]&gt;0,"آجل","نقدى")</f>
        <v>نقدى</v>
      </c>
      <c r="E464" s="37"/>
      <c r="F464" s="37" t="s">
        <v>1082</v>
      </c>
      <c r="G464" s="37" t="s">
        <v>856</v>
      </c>
      <c r="H46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4" s="37" t="s">
        <v>856</v>
      </c>
      <c r="J464" s="38"/>
      <c r="K464" s="37"/>
      <c r="L464" s="37" t="str">
        <f ca="1">IF(AND(بيانات_العملاء[[#This Row],[السجل التجارى]]="موجود",TODAY()+'Other Data'!$B$23&lt;J464,بيانات_العملاء[[#This Row],[مطابقة اسم العميل بالاسم بالسجل التجارى]]="مطابق"), "سارى", "يجب اعادة طلبه")</f>
        <v>يجب اعادة طلبه</v>
      </c>
      <c r="M464" s="37" t="s">
        <v>854</v>
      </c>
      <c r="N464" s="39" t="str" cm="1">
        <f t="array" aca="1" ref="N464" ca="1">INDEX('SAP Customer Data'!$A:$AC,MATCH(بيانات_العملاء[[#This Row],[رمز شريك الأعمال]],'SAP Customer Data'!$B:$B,0),CELL("col",Table_Customer_Data[[#Headers],[LicTradNum]]))</f>
        <v>311264142300003</v>
      </c>
      <c r="O46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4" s="37" t="s">
        <v>856</v>
      </c>
      <c r="Q464" s="38"/>
      <c r="R46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64" s="37" t="s">
        <v>1080</v>
      </c>
      <c r="T464" s="40"/>
      <c r="U464" s="41"/>
      <c r="V46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4" s="37" cm="1">
        <f t="array" aca="1" ref="X464" ca="1">INDEX('SAP Customer Data'!$A:$AC,MATCH(بيانات_العملاء[[#This Row],[رمز شريك الأعمال]],'SAP Customer Data'!$B:$B,0),CELL("col",Table_Customer_Data[[#Headers],[CreditLine]]))</f>
        <v>0</v>
      </c>
      <c r="Y46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4" s="37"/>
      <c r="AA46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64" s="37" t="s">
        <v>856</v>
      </c>
      <c r="AC464" s="37"/>
      <c r="AD46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4" s="37"/>
      <c r="AF464" s="37"/>
      <c r="AG46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64" s="37"/>
      <c r="AI464" s="37"/>
      <c r="AJ46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64" s="37"/>
      <c r="AL464" s="38"/>
      <c r="AM46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4" s="37" t="s">
        <v>854</v>
      </c>
      <c r="AO464" s="41">
        <v>44563</v>
      </c>
      <c r="AP46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4" s="37"/>
      <c r="AR464" s="37"/>
      <c r="AS46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64" s="41" cm="1">
        <f t="array" aca="1" ref="AT464" ca="1">INDEX('SAP Customer Data'!A:Z,MATCH(بيانات_العملاء[[#This Row],[رمز شريك الأعمال]],'SAP Customer Data'!B:B,0),CELL("col",Table_Customer_Data[[#Headers],[CreateDate]]))</f>
        <v>44779</v>
      </c>
      <c r="AU464" s="37"/>
      <c r="AV464" s="41"/>
      <c r="AW464" s="37" t="s">
        <v>2097</v>
      </c>
      <c r="AX464" s="37"/>
    </row>
    <row r="465" spans="1:50" x14ac:dyDescent="0.25">
      <c r="A465" s="36" t="str" cm="1">
        <f t="array" aca="1" ref="A465" ca="1">INDEX('SAP Customer Data'!$A:$AC,MATCH(بيانات_العملاء[[#This Row],[رمز شريك الأعمال]],'SAP Customer Data'!$B:$B,0),CELL("col",Table_Customer_Data[[#Headers],[GroupName]]))</f>
        <v>CS09</v>
      </c>
      <c r="B465" s="42" t="s">
        <v>476</v>
      </c>
      <c r="C465" s="37" t="str" cm="1">
        <f t="array" aca="1" ref="C465" ca="1">INDEX('SAP Customer Data'!$A:$AC,MATCH(بيانات_العملاء[[#This Row],[رمز شريك الأعمال]],'SAP Customer Data'!$B:$B,0),CELL("col",Table_Customer_Data[[#Headers],[CardName]]))</f>
        <v>شركة أنوار ناسا التجارية فرع الروضة-نقدي</v>
      </c>
      <c r="D465" s="37" t="str">
        <f ca="1">IF(بيانات_العملاء[[#This Row],[حد الائتمان على SAP]]&gt;0,"آجل","نقدى")</f>
        <v>نقدى</v>
      </c>
      <c r="E465" s="37"/>
      <c r="F465" s="37" t="s">
        <v>1082</v>
      </c>
      <c r="G465" s="37"/>
      <c r="H46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5" s="37" t="s">
        <v>856</v>
      </c>
      <c r="J465" s="38"/>
      <c r="K465" s="37"/>
      <c r="L465" s="37" t="str">
        <f ca="1">IF(AND(بيانات_العملاء[[#This Row],[السجل التجارى]]="موجود",TODAY()+'Other Data'!$B$23&lt;J465,بيانات_العملاء[[#This Row],[مطابقة اسم العميل بالاسم بالسجل التجارى]]="مطابق"), "سارى", "يجب اعادة طلبه")</f>
        <v>يجب اعادة طلبه</v>
      </c>
      <c r="M465" s="37" t="s">
        <v>854</v>
      </c>
      <c r="N465" s="39" t="str" cm="1">
        <f t="array" aca="1" ref="N465" ca="1">INDEX('SAP Customer Data'!$A:$AC,MATCH(بيانات_العملاء[[#This Row],[رمز شريك الأعمال]],'SAP Customer Data'!$B:$B,0),CELL("col",Table_Customer_Data[[#Headers],[LicTradNum]]))</f>
        <v>300028437300003</v>
      </c>
      <c r="O46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5" s="37"/>
      <c r="Q465" s="38"/>
      <c r="R46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65" s="37" t="s">
        <v>1080</v>
      </c>
      <c r="T465" s="40"/>
      <c r="U465" s="41"/>
      <c r="V46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5" s="37" cm="1">
        <f t="array" aca="1" ref="X465" ca="1">INDEX('SAP Customer Data'!$A:$AC,MATCH(بيانات_العملاء[[#This Row],[رمز شريك الأعمال]],'SAP Customer Data'!$B:$B,0),CELL("col",Table_Customer_Data[[#Headers],[CreditLine]]))</f>
        <v>0</v>
      </c>
      <c r="Y46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5" s="37"/>
      <c r="AA46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65" s="37"/>
      <c r="AC465" s="37"/>
      <c r="AD46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5" s="37"/>
      <c r="AF465" s="37"/>
      <c r="AG46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65" s="37"/>
      <c r="AI465" s="37"/>
      <c r="AJ46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65" s="37"/>
      <c r="AL465" s="38"/>
      <c r="AM46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5" s="37"/>
      <c r="AO465" s="41"/>
      <c r="AP46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5" s="37"/>
      <c r="AR465" s="37"/>
      <c r="AS46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65" s="41" cm="1">
        <f t="array" aca="1" ref="AT465" ca="1">INDEX('SAP Customer Data'!A:Z,MATCH(بيانات_العملاء[[#This Row],[رمز شريك الأعمال]],'SAP Customer Data'!B:B,0),CELL("col",Table_Customer_Data[[#Headers],[CreateDate]]))</f>
        <v>44705</v>
      </c>
      <c r="AU465" s="37"/>
      <c r="AV465" s="41"/>
      <c r="AW465" s="37" t="s">
        <v>2097</v>
      </c>
      <c r="AX465" s="37"/>
    </row>
    <row r="466" spans="1:50" x14ac:dyDescent="0.25">
      <c r="A466" s="36" t="str" cm="1">
        <f t="array" aca="1" ref="A466" ca="1">INDEX('SAP Customer Data'!$A:$AC,MATCH(بيانات_العملاء[[#This Row],[رمز شريك الأعمال]],'SAP Customer Data'!$B:$B,0),CELL("col",Table_Customer_Data[[#Headers],[GroupName]]))</f>
        <v>CS09</v>
      </c>
      <c r="B466" s="42" t="s">
        <v>447</v>
      </c>
      <c r="C466" s="37" t="str" cm="1">
        <f t="array" aca="1" ref="C466" ca="1">INDEX('SAP Customer Data'!$A:$AC,MATCH(بيانات_العملاء[[#This Row],[رمز شريك الأعمال]],'SAP Customer Data'!$B:$B,0),CELL("col",Table_Customer_Data[[#Headers],[CardName]]))</f>
        <v>مؤسسة اللمس التجارية - نقدي</v>
      </c>
      <c r="D466" s="37" t="str">
        <f ca="1">IF(بيانات_العملاء[[#This Row],[حد الائتمان على SAP]]&gt;0,"آجل","نقدى")</f>
        <v>نقدى</v>
      </c>
      <c r="E466" s="37"/>
      <c r="F466" s="37"/>
      <c r="G466" s="37"/>
      <c r="H46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6" s="37" t="s">
        <v>856</v>
      </c>
      <c r="J466" s="38"/>
      <c r="K466" s="37"/>
      <c r="L466" s="37" t="str">
        <f ca="1">IF(AND(بيانات_العملاء[[#This Row],[السجل التجارى]]="موجود",TODAY()+'Other Data'!$B$23&lt;J466,بيانات_العملاء[[#This Row],[مطابقة اسم العميل بالاسم بالسجل التجارى]]="مطابق"), "سارى", "يجب اعادة طلبه")</f>
        <v>يجب اعادة طلبه</v>
      </c>
      <c r="M466" s="37" t="s">
        <v>854</v>
      </c>
      <c r="N466" s="39" t="str" cm="1">
        <f t="array" aca="1" ref="N466" ca="1">INDEX('SAP Customer Data'!$A:$AC,MATCH(بيانات_العملاء[[#This Row],[رمز شريك الأعمال]],'SAP Customer Data'!$B:$B,0),CELL("col",Table_Customer_Data[[#Headers],[LicTradNum]]))</f>
        <v>300036033900003</v>
      </c>
      <c r="O46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6" s="37"/>
      <c r="Q466" s="38"/>
      <c r="R46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66" s="37" t="s">
        <v>1080</v>
      </c>
      <c r="T466" s="40"/>
      <c r="U466" s="41"/>
      <c r="V46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6" s="37" cm="1">
        <f t="array" aca="1" ref="X466" ca="1">INDEX('SAP Customer Data'!$A:$AC,MATCH(بيانات_العملاء[[#This Row],[رمز شريك الأعمال]],'SAP Customer Data'!$B:$B,0),CELL("col",Table_Customer_Data[[#Headers],[CreditLine]]))</f>
        <v>0</v>
      </c>
      <c r="Y46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6" s="37"/>
      <c r="AA46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66" s="37"/>
      <c r="AC466" s="37"/>
      <c r="AD46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6" s="37"/>
      <c r="AF466" s="37"/>
      <c r="AG46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66" s="37"/>
      <c r="AI466" s="37"/>
      <c r="AJ46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66" s="37"/>
      <c r="AL466" s="38"/>
      <c r="AM46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6" s="37"/>
      <c r="AO466" s="41"/>
      <c r="AP46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6" s="37"/>
      <c r="AR466" s="37"/>
      <c r="AS46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66" s="41" cm="1">
        <f t="array" aca="1" ref="AT466" ca="1">INDEX('SAP Customer Data'!A:Z,MATCH(بيانات_العملاء[[#This Row],[رمز شريك الأعمال]],'SAP Customer Data'!B:B,0),CELL("col",Table_Customer_Data[[#Headers],[CreateDate]]))</f>
        <v>44135</v>
      </c>
      <c r="AU466" s="37"/>
      <c r="AV466" s="41"/>
      <c r="AW466" s="37" t="s">
        <v>2097</v>
      </c>
      <c r="AX466" s="37"/>
    </row>
    <row r="467" spans="1:50" x14ac:dyDescent="0.25">
      <c r="A467" s="36" t="str" cm="1">
        <f t="array" aca="1" ref="A467" ca="1">INDEX('SAP Customer Data'!$A:$AC,MATCH(بيانات_العملاء[[#This Row],[رمز شريك الأعمال]],'SAP Customer Data'!$B:$B,0),CELL("col",Table_Customer_Data[[#Headers],[GroupName]]))</f>
        <v>CS09</v>
      </c>
      <c r="B467" s="42" t="s">
        <v>371</v>
      </c>
      <c r="C467" s="37" t="str" cm="1">
        <f t="array" aca="1" ref="C467" ca="1">INDEX('SAP Customer Data'!$A:$AC,MATCH(بيانات_العملاء[[#This Row],[رمز شريك الأعمال]],'SAP Customer Data'!$B:$B,0),CELL("col",Table_Customer_Data[[#Headers],[CardName]]))</f>
        <v>مؤسسة فنون الصخر التجارية-نقدي</v>
      </c>
      <c r="D467" s="37" t="str">
        <f ca="1">IF(بيانات_العملاء[[#This Row],[حد الائتمان على SAP]]&gt;0,"آجل","نقدى")</f>
        <v>نقدى</v>
      </c>
      <c r="E467" s="37"/>
      <c r="F467" s="37" t="s">
        <v>1082</v>
      </c>
      <c r="G467" s="37"/>
      <c r="H46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7" s="37" t="s">
        <v>856</v>
      </c>
      <c r="J467" s="38"/>
      <c r="K467" s="37"/>
      <c r="L467" s="37" t="str">
        <f ca="1">IF(AND(بيانات_العملاء[[#This Row],[السجل التجارى]]="موجود",TODAY()+'Other Data'!$B$23&lt;J467,بيانات_العملاء[[#This Row],[مطابقة اسم العميل بالاسم بالسجل التجارى]]="مطابق"), "سارى", "يجب اعادة طلبه")</f>
        <v>يجب اعادة طلبه</v>
      </c>
      <c r="M467" s="37" t="s">
        <v>854</v>
      </c>
      <c r="N467" s="39" t="str" cm="1">
        <f t="array" aca="1" ref="N467" ca="1">INDEX('SAP Customer Data'!$A:$AC,MATCH(بيانات_العملاء[[#This Row],[رمز شريك الأعمال]],'SAP Customer Data'!$B:$B,0),CELL("col",Table_Customer_Data[[#Headers],[LicTradNum]]))</f>
        <v>300537181600003</v>
      </c>
      <c r="O46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7" s="37"/>
      <c r="Q467" s="38"/>
      <c r="R46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67" s="37" t="s">
        <v>1080</v>
      </c>
      <c r="T467" s="40"/>
      <c r="U467" s="41"/>
      <c r="V46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7" s="37" cm="1">
        <f t="array" aca="1" ref="X467" ca="1">INDEX('SAP Customer Data'!$A:$AC,MATCH(بيانات_العملاء[[#This Row],[رمز شريك الأعمال]],'SAP Customer Data'!$B:$B,0),CELL("col",Table_Customer_Data[[#Headers],[CreditLine]]))</f>
        <v>0</v>
      </c>
      <c r="Y46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7" s="37"/>
      <c r="AA46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67" s="37"/>
      <c r="AC467" s="37"/>
      <c r="AD46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7" s="37"/>
      <c r="AF467" s="37"/>
      <c r="AG46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67" s="37"/>
      <c r="AI467" s="37"/>
      <c r="AJ46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67" s="37"/>
      <c r="AL467" s="38"/>
      <c r="AM46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7" s="37"/>
      <c r="AO467" s="41"/>
      <c r="AP46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7" s="37"/>
      <c r="AR467" s="37"/>
      <c r="AS46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67" s="41" cm="1">
        <f t="array" aca="1" ref="AT467" ca="1">INDEX('SAP Customer Data'!A:Z,MATCH(بيانات_العملاء[[#This Row],[رمز شريك الأعمال]],'SAP Customer Data'!B:B,0),CELL("col",Table_Customer_Data[[#Headers],[CreateDate]]))</f>
        <v>44633</v>
      </c>
      <c r="AU467" s="37"/>
      <c r="AV467" s="41"/>
      <c r="AW467" s="37" t="s">
        <v>2097</v>
      </c>
      <c r="AX467" s="37"/>
    </row>
    <row r="468" spans="1:50" x14ac:dyDescent="0.25">
      <c r="A468" s="36" t="str" cm="1">
        <f t="array" aca="1" ref="A468" ca="1">INDEX('SAP Customer Data'!$A:$AC,MATCH(بيانات_العملاء[[#This Row],[رمز شريك الأعمال]],'SAP Customer Data'!$B:$B,0),CELL("col",Table_Customer_Data[[#Headers],[GroupName]]))</f>
        <v>CS09</v>
      </c>
      <c r="B468" s="35" t="s">
        <v>746</v>
      </c>
      <c r="C468" s="37" t="str" cm="1">
        <f t="array" aca="1" ref="C468" ca="1">INDEX('SAP Customer Data'!$A:$AC,MATCH(بيانات_العملاء[[#This Row],[رمز شريك الأعمال]],'SAP Customer Data'!$B:$B,0),CELL("col",Table_Customer_Data[[#Headers],[CardName]]))</f>
        <v>مؤسسة فينا للادوات الصحية - نقدي</v>
      </c>
      <c r="D468" s="37" t="str">
        <f ca="1">IF(بيانات_العملاء[[#This Row],[حد الائتمان على SAP]]&gt;0,"آجل","نقدى")</f>
        <v>نقدى</v>
      </c>
      <c r="E468" s="37" t="s">
        <v>2243</v>
      </c>
      <c r="F468" s="37" t="s">
        <v>1081</v>
      </c>
      <c r="G468" s="37" t="s">
        <v>856</v>
      </c>
      <c r="H46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8" s="37" t="s">
        <v>854</v>
      </c>
      <c r="J468" s="38">
        <v>44857</v>
      </c>
      <c r="K468" s="37" t="s">
        <v>855</v>
      </c>
      <c r="L468" s="37" t="str">
        <f ca="1">IF(AND(بيانات_العملاء[[#This Row],[السجل التجارى]]="موجود",TODAY()+'Other Data'!$B$23&lt;J468,بيانات_العملاء[[#This Row],[مطابقة اسم العميل بالاسم بالسجل التجارى]]="مطابق"), "سارى", "يجب اعادة طلبه")</f>
        <v>يجب اعادة طلبه</v>
      </c>
      <c r="M468" s="37" t="s">
        <v>856</v>
      </c>
      <c r="N468" s="39" t="str" cm="1">
        <f t="array" aca="1" ref="N468" ca="1">INDEX('SAP Customer Data'!$A:$AC,MATCH(بيانات_العملاء[[#This Row],[رمز شريك الأعمال]],'SAP Customer Data'!$B:$B,0),CELL("col",Table_Customer_Data[[#Headers],[LicTradNum]]))</f>
        <v>301101369200003</v>
      </c>
      <c r="O46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68" s="37" t="s">
        <v>856</v>
      </c>
      <c r="Q468" s="38"/>
      <c r="R46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68" s="37" t="s">
        <v>1080</v>
      </c>
      <c r="T468" s="40"/>
      <c r="U468" s="41"/>
      <c r="V46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8" s="37" cm="1">
        <f t="array" aca="1" ref="X468" ca="1">INDEX('SAP Customer Data'!$A:$AC,MATCH(بيانات_العملاء[[#This Row],[رمز شريك الأعمال]],'SAP Customer Data'!$B:$B,0),CELL("col",Table_Customer_Data[[#Headers],[CreditLine]]))</f>
        <v>0</v>
      </c>
      <c r="Y46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8" s="37"/>
      <c r="AA46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68" s="37" t="s">
        <v>856</v>
      </c>
      <c r="AC468" s="37"/>
      <c r="AD46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8" s="37"/>
      <c r="AF468" s="37"/>
      <c r="AG46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68" s="37"/>
      <c r="AI468" s="37"/>
      <c r="AJ46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68" s="37"/>
      <c r="AL468" s="38"/>
      <c r="AM46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8" s="37" t="s">
        <v>856</v>
      </c>
      <c r="AO468" s="41"/>
      <c r="AP46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8" s="37"/>
      <c r="AR468" s="37"/>
      <c r="AS46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68" s="41" cm="1">
        <f t="array" aca="1" ref="AT468" ca="1">INDEX('SAP Customer Data'!A:Z,MATCH(بيانات_العملاء[[#This Row],[رمز شريك الأعمال]],'SAP Customer Data'!B:B,0),CELL("col",Table_Customer_Data[[#Headers],[CreateDate]]))</f>
        <v>44759</v>
      </c>
      <c r="AU468" s="37"/>
      <c r="AV468" s="41"/>
      <c r="AW468" s="37" t="s">
        <v>2097</v>
      </c>
      <c r="AX468" s="37"/>
    </row>
    <row r="469" spans="1:50" x14ac:dyDescent="0.25">
      <c r="A469" s="36" t="str" cm="1">
        <f t="array" aca="1" ref="A469" ca="1">INDEX('SAP Customer Data'!$A:$AC,MATCH(بيانات_العملاء[[#This Row],[رمز شريك الأعمال]],'SAP Customer Data'!$B:$B,0),CELL("col",Table_Customer_Data[[#Headers],[GroupName]]))</f>
        <v>CS09</v>
      </c>
      <c r="B469" s="42" t="s">
        <v>409</v>
      </c>
      <c r="C469" s="37" t="str" cm="1">
        <f t="array" aca="1" ref="C469" ca="1">INDEX('SAP Customer Data'!$A:$AC,MATCH(بيانات_العملاء[[#This Row],[رمز شريك الأعمال]],'SAP Customer Data'!$B:$B,0),CELL("col",Table_Customer_Data[[#Headers],[CardName]]))</f>
        <v>مؤسسة اثير الرياض للتجارة - نقدي</v>
      </c>
      <c r="D469" s="37" t="str">
        <f ca="1">IF(بيانات_العملاء[[#This Row],[حد الائتمان على SAP]]&gt;0,"آجل","نقدى")</f>
        <v>نقدى</v>
      </c>
      <c r="E469" s="37"/>
      <c r="F469" s="37" t="s">
        <v>1082</v>
      </c>
      <c r="G469" s="37"/>
      <c r="H46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69" s="37" t="s">
        <v>856</v>
      </c>
      <c r="J469" s="38"/>
      <c r="K469" s="37"/>
      <c r="L469" s="37" t="str">
        <f ca="1">IF(AND(بيانات_العملاء[[#This Row],[السجل التجارى]]="موجود",TODAY()+'Other Data'!$B$23&lt;J469,بيانات_العملاء[[#This Row],[مطابقة اسم العميل بالاسم بالسجل التجارى]]="مطابق"), "سارى", "يجب اعادة طلبه")</f>
        <v>يجب اعادة طلبه</v>
      </c>
      <c r="M469" s="37" t="s">
        <v>854</v>
      </c>
      <c r="N469" s="39" t="str" cm="1">
        <f t="array" aca="1" ref="N469" ca="1">INDEX('SAP Customer Data'!$A:$AC,MATCH(بيانات_العملاء[[#This Row],[رمز شريك الأعمال]],'SAP Customer Data'!$B:$B,0),CELL("col",Table_Customer_Data[[#Headers],[LicTradNum]]))</f>
        <v>302107380300003</v>
      </c>
      <c r="O46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69" s="37"/>
      <c r="Q469" s="38"/>
      <c r="R46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69" s="37" t="s">
        <v>1080</v>
      </c>
      <c r="T469" s="40"/>
      <c r="U469" s="41"/>
      <c r="V46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6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69" s="37" cm="1">
        <f t="array" aca="1" ref="X469" ca="1">INDEX('SAP Customer Data'!$A:$AC,MATCH(بيانات_العملاء[[#This Row],[رمز شريك الأعمال]],'SAP Customer Data'!$B:$B,0),CELL("col",Table_Customer_Data[[#Headers],[CreditLine]]))</f>
        <v>0</v>
      </c>
      <c r="Y46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69" s="37"/>
      <c r="AA46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69" s="37"/>
      <c r="AC469" s="37"/>
      <c r="AD46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69" s="37"/>
      <c r="AF469" s="37"/>
      <c r="AG46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69" s="37"/>
      <c r="AI469" s="37"/>
      <c r="AJ46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69" s="37"/>
      <c r="AL469" s="38"/>
      <c r="AM46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69" s="37"/>
      <c r="AO469" s="41"/>
      <c r="AP46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69" s="37"/>
      <c r="AR469" s="37"/>
      <c r="AS46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69" s="41" cm="1">
        <f t="array" aca="1" ref="AT469" ca="1">INDEX('SAP Customer Data'!A:Z,MATCH(بيانات_العملاء[[#This Row],[رمز شريك الأعمال]],'SAP Customer Data'!B:B,0),CELL("col",Table_Customer_Data[[#Headers],[CreateDate]]))</f>
        <v>44221</v>
      </c>
      <c r="AU469" s="37"/>
      <c r="AV469" s="41"/>
      <c r="AW469" s="37" t="s">
        <v>2097</v>
      </c>
      <c r="AX469" s="37"/>
    </row>
    <row r="470" spans="1:50" x14ac:dyDescent="0.25">
      <c r="A470" s="36" t="str" cm="1">
        <f t="array" aca="1" ref="A470" ca="1">INDEX('SAP Customer Data'!$A:$AC,MATCH(بيانات_العملاء[[#This Row],[رمز شريك الأعمال]],'SAP Customer Data'!$B:$B,0),CELL("col",Table_Customer_Data[[#Headers],[GroupName]]))</f>
        <v>CS09</v>
      </c>
      <c r="B470" s="42" t="s">
        <v>303</v>
      </c>
      <c r="C470" s="37" t="str" cm="1">
        <f t="array" aca="1" ref="C470" ca="1">INDEX('SAP Customer Data'!$A:$AC,MATCH(بيانات_العملاء[[#This Row],[رمز شريك الأعمال]],'SAP Customer Data'!$B:$B,0),CELL("col",Table_Customer_Data[[#Headers],[CardName]]))</f>
        <v>مؤسسة سعيد حمد النهدي للتجارة - نقدي</v>
      </c>
      <c r="D470" s="37" t="str">
        <f ca="1">IF(بيانات_العملاء[[#This Row],[حد الائتمان على SAP]]&gt;0,"آجل","نقدى")</f>
        <v>نقدى</v>
      </c>
      <c r="E470" s="37"/>
      <c r="F470" s="37" t="s">
        <v>1082</v>
      </c>
      <c r="G470" s="37"/>
      <c r="H47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70" s="37" t="s">
        <v>856</v>
      </c>
      <c r="J470" s="38"/>
      <c r="K470" s="37"/>
      <c r="L470" s="37" t="str">
        <f ca="1">IF(AND(بيانات_العملاء[[#This Row],[السجل التجارى]]="موجود",TODAY()+'Other Data'!$B$23&lt;J470,بيانات_العملاء[[#This Row],[مطابقة اسم العميل بالاسم بالسجل التجارى]]="مطابق"), "سارى", "يجب اعادة طلبه")</f>
        <v>يجب اعادة طلبه</v>
      </c>
      <c r="M470" s="37" t="s">
        <v>854</v>
      </c>
      <c r="N470" s="39" t="str" cm="1">
        <f t="array" aca="1" ref="N470" ca="1">INDEX('SAP Customer Data'!$A:$AC,MATCH(بيانات_العملاء[[#This Row],[رمز شريك الأعمال]],'SAP Customer Data'!$B:$B,0),CELL("col",Table_Customer_Data[[#Headers],[LicTradNum]]))</f>
        <v>302160802100003</v>
      </c>
      <c r="O47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70" s="37"/>
      <c r="Q470" s="38"/>
      <c r="R47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70" s="37" t="s">
        <v>1080</v>
      </c>
      <c r="T470" s="40"/>
      <c r="U470" s="41"/>
      <c r="V47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70" s="37" cm="1">
        <f t="array" aca="1" ref="X470" ca="1">INDEX('SAP Customer Data'!$A:$AC,MATCH(بيانات_العملاء[[#This Row],[رمز شريك الأعمال]],'SAP Customer Data'!$B:$B,0),CELL("col",Table_Customer_Data[[#Headers],[CreditLine]]))</f>
        <v>0</v>
      </c>
      <c r="Y47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0" s="37"/>
      <c r="AA47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70" s="37"/>
      <c r="AC470" s="37"/>
      <c r="AD47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0" s="37"/>
      <c r="AF470" s="37"/>
      <c r="AG47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0" s="37"/>
      <c r="AI470" s="37"/>
      <c r="AJ47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0" s="37"/>
      <c r="AL470" s="38"/>
      <c r="AM47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0" s="37"/>
      <c r="AO470" s="41"/>
      <c r="AP47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0" s="37"/>
      <c r="AR470" s="37"/>
      <c r="AS47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0" s="41" cm="1">
        <f t="array" aca="1" ref="AT470" ca="1">INDEX('SAP Customer Data'!A:Z,MATCH(بيانات_العملاء[[#This Row],[رمز شريك الأعمال]],'SAP Customer Data'!B:B,0),CELL("col",Table_Customer_Data[[#Headers],[CreateDate]]))</f>
        <v>43983</v>
      </c>
      <c r="AU470" s="37"/>
      <c r="AV470" s="41"/>
      <c r="AW470" s="37" t="s">
        <v>2097</v>
      </c>
      <c r="AX470" s="37"/>
    </row>
    <row r="471" spans="1:50" x14ac:dyDescent="0.25">
      <c r="A471" s="36" t="str" cm="1">
        <f t="array" aca="1" ref="A471" ca="1">INDEX('SAP Customer Data'!$A:$AC,MATCH(بيانات_العملاء[[#This Row],[رمز شريك الأعمال]],'SAP Customer Data'!$B:$B,0),CELL("col",Table_Customer_Data[[#Headers],[GroupName]]))</f>
        <v>CS09</v>
      </c>
      <c r="B471" s="35" t="s">
        <v>361</v>
      </c>
      <c r="C471" s="37" t="str" cm="1">
        <f t="array" aca="1" ref="C471" ca="1">INDEX('SAP Customer Data'!$A:$AC,MATCH(بيانات_العملاء[[#This Row],[رمز شريك الأعمال]],'SAP Customer Data'!$B:$B,0),CELL("col",Table_Customer_Data[[#Headers],[CardName]]))</f>
        <v>مؤسسة اضواء الشبكة للتجارة-نقدي</v>
      </c>
      <c r="D471" s="37" t="str">
        <f ca="1">IF(بيانات_العملاء[[#This Row],[حد الائتمان على SAP]]&gt;0,"آجل","نقدى")</f>
        <v>نقدى</v>
      </c>
      <c r="E471" s="37" t="s">
        <v>2244</v>
      </c>
      <c r="F471" s="37" t="s">
        <v>1081</v>
      </c>
      <c r="G471" s="37" t="s">
        <v>918</v>
      </c>
      <c r="H47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71" s="37" t="s">
        <v>854</v>
      </c>
      <c r="J471" s="38">
        <v>45070</v>
      </c>
      <c r="K471" s="37" t="s">
        <v>855</v>
      </c>
      <c r="L471" s="37" t="str">
        <f ca="1">IF(AND(بيانات_العملاء[[#This Row],[السجل التجارى]]="موجود",TODAY()+'Other Data'!$B$23&lt;J471,بيانات_العملاء[[#This Row],[مطابقة اسم العميل بالاسم بالسجل التجارى]]="مطابق"), "سارى", "يجب اعادة طلبه")</f>
        <v>يجب اعادة طلبه</v>
      </c>
      <c r="M471" s="37" t="s">
        <v>856</v>
      </c>
      <c r="N471" s="39" t="str" cm="1">
        <f t="array" aca="1" ref="N471" ca="1">INDEX('SAP Customer Data'!$A:$AC,MATCH(بيانات_العملاء[[#This Row],[رمز شريك الأعمال]],'SAP Customer Data'!$B:$B,0),CELL("col",Table_Customer_Data[[#Headers],[LicTradNum]]))</f>
        <v>210969249200003</v>
      </c>
      <c r="O47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71" s="37" t="s">
        <v>856</v>
      </c>
      <c r="Q471" s="38"/>
      <c r="R47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71" s="37" t="s">
        <v>1080</v>
      </c>
      <c r="T471" s="40"/>
      <c r="U471" s="41"/>
      <c r="V47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71" s="37" cm="1">
        <f t="array" aca="1" ref="X471" ca="1">INDEX('SAP Customer Data'!$A:$AC,MATCH(بيانات_العملاء[[#This Row],[رمز شريك الأعمال]],'SAP Customer Data'!$B:$B,0),CELL("col",Table_Customer_Data[[#Headers],[CreditLine]]))</f>
        <v>0</v>
      </c>
      <c r="Y47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1" s="37"/>
      <c r="AA47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71" s="37" t="s">
        <v>856</v>
      </c>
      <c r="AC471" s="37"/>
      <c r="AD47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1" s="37"/>
      <c r="AF471" s="37"/>
      <c r="AG47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1" s="37"/>
      <c r="AI471" s="37"/>
      <c r="AJ47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1" s="37"/>
      <c r="AL471" s="38"/>
      <c r="AM47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1" s="37" t="s">
        <v>856</v>
      </c>
      <c r="AO471" s="41"/>
      <c r="AP47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1" s="37"/>
      <c r="AR471" s="37"/>
      <c r="AS47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1" s="41" cm="1">
        <f t="array" aca="1" ref="AT471" ca="1">INDEX('SAP Customer Data'!A:Z,MATCH(بيانات_العملاء[[#This Row],[رمز شريك الأعمال]],'SAP Customer Data'!B:B,0),CELL("col",Table_Customer_Data[[#Headers],[CreateDate]]))</f>
        <v>44598</v>
      </c>
      <c r="AU471" s="37"/>
      <c r="AV471" s="41"/>
      <c r="AW471" s="37" t="s">
        <v>2097</v>
      </c>
      <c r="AX471" s="37"/>
    </row>
    <row r="472" spans="1:50" x14ac:dyDescent="0.25">
      <c r="A472" s="36" t="str" cm="1">
        <f t="array" aca="1" ref="A472" ca="1">INDEX('SAP Customer Data'!$A:$AC,MATCH(بيانات_العملاء[[#This Row],[رمز شريك الأعمال]],'SAP Customer Data'!$B:$B,0),CELL("col",Table_Customer_Data[[#Headers],[GroupName]]))</f>
        <v>CS09</v>
      </c>
      <c r="B472" s="35" t="s">
        <v>437</v>
      </c>
      <c r="C472" s="37" t="str" cm="1">
        <f t="array" aca="1" ref="C472" ca="1">INDEX('SAP Customer Data'!$A:$AC,MATCH(بيانات_العملاء[[#This Row],[رمز شريك الأعمال]],'SAP Customer Data'!$B:$B,0),CELL("col",Table_Customer_Data[[#Headers],[CardName]]))</f>
        <v>شركة دائرة البيان للتجارة -نقدي</v>
      </c>
      <c r="D472" s="37" t="str">
        <f ca="1">IF(بيانات_العملاء[[#This Row],[حد الائتمان على SAP]]&gt;0,"آجل","نقدى")</f>
        <v>نقدى</v>
      </c>
      <c r="E472" s="37"/>
      <c r="F472" s="37"/>
      <c r="G472" s="37" t="s">
        <v>856</v>
      </c>
      <c r="H47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72" s="37" t="s">
        <v>856</v>
      </c>
      <c r="J472" s="38"/>
      <c r="K472" s="37"/>
      <c r="L472" s="37" t="str">
        <f ca="1">IF(AND(بيانات_العملاء[[#This Row],[السجل التجارى]]="موجود",TODAY()+'Other Data'!$B$23&lt;J472,بيانات_العملاء[[#This Row],[مطابقة اسم العميل بالاسم بالسجل التجارى]]="مطابق"), "سارى", "يجب اعادة طلبه")</f>
        <v>يجب اعادة طلبه</v>
      </c>
      <c r="M472" s="37" t="s">
        <v>854</v>
      </c>
      <c r="N472" s="39" t="str" cm="1">
        <f t="array" aca="1" ref="N472" ca="1">INDEX('SAP Customer Data'!$A:$AC,MATCH(بيانات_العملاء[[#This Row],[رمز شريك الأعمال]],'SAP Customer Data'!$B:$B,0),CELL("col",Table_Customer_Data[[#Headers],[LicTradNum]]))</f>
        <v>311304180500003</v>
      </c>
      <c r="O47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72" s="37" t="s">
        <v>856</v>
      </c>
      <c r="Q472" s="38"/>
      <c r="R47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72" s="37" t="s">
        <v>1080</v>
      </c>
      <c r="T472" s="40"/>
      <c r="U472" s="41"/>
      <c r="V47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72" s="37" cm="1">
        <f t="array" aca="1" ref="X472" ca="1">INDEX('SAP Customer Data'!$A:$AC,MATCH(بيانات_العملاء[[#This Row],[رمز شريك الأعمال]],'SAP Customer Data'!$B:$B,0),CELL("col",Table_Customer_Data[[#Headers],[CreditLine]]))</f>
        <v>0</v>
      </c>
      <c r="Y47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2" s="37"/>
      <c r="AA47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72" s="37"/>
      <c r="AC472" s="37"/>
      <c r="AD47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2" s="37"/>
      <c r="AF472" s="37"/>
      <c r="AG47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2" s="37"/>
      <c r="AI472" s="37"/>
      <c r="AJ47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2" s="37"/>
      <c r="AL472" s="38"/>
      <c r="AM47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2" s="37"/>
      <c r="AO472" s="41"/>
      <c r="AP47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2" s="37"/>
      <c r="AR472" s="37"/>
      <c r="AS47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2" s="41" cm="1">
        <f t="array" aca="1" ref="AT472" ca="1">INDEX('SAP Customer Data'!A:Z,MATCH(بيانات_العملاء[[#This Row],[رمز شريك الأعمال]],'SAP Customer Data'!B:B,0),CELL("col",Table_Customer_Data[[#Headers],[CreateDate]]))</f>
        <v>44114</v>
      </c>
      <c r="AU472" s="37"/>
      <c r="AV472" s="41"/>
      <c r="AW472" s="37" t="s">
        <v>2097</v>
      </c>
      <c r="AX472" s="37"/>
    </row>
    <row r="473" spans="1:50" x14ac:dyDescent="0.25">
      <c r="A473" s="36" t="str" cm="1">
        <f t="array" aca="1" ref="A473" ca="1">INDEX('SAP Customer Data'!$A:$AC,MATCH(بيانات_العملاء[[#This Row],[رمز شريك الأعمال]],'SAP Customer Data'!$B:$B,0),CELL("col",Table_Customer_Data[[#Headers],[GroupName]]))</f>
        <v>CS09</v>
      </c>
      <c r="B473" s="42" t="s">
        <v>826</v>
      </c>
      <c r="C473" s="37" t="str" cm="1">
        <f t="array" aca="1" ref="C473" ca="1">INDEX('SAP Customer Data'!$A:$AC,MATCH(بيانات_العملاء[[#This Row],[رمز شريك الأعمال]],'SAP Customer Data'!$B:$B,0),CELL("col",Table_Customer_Data[[#Headers],[CardName]]))</f>
        <v>شركة الاصول الاستثمارية  - نقدي  مكرر لايستخدم</v>
      </c>
      <c r="D473" s="37" t="str">
        <f ca="1">IF(بيانات_العملاء[[#This Row],[حد الائتمان على SAP]]&gt;0,"آجل","نقدى")</f>
        <v>نقدى</v>
      </c>
      <c r="E473" s="37"/>
      <c r="F473" s="37" t="s">
        <v>1082</v>
      </c>
      <c r="G473" s="37"/>
      <c r="H47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73" s="37" t="s">
        <v>856</v>
      </c>
      <c r="J473" s="38"/>
      <c r="K473" s="37"/>
      <c r="L473" s="37" t="str">
        <f ca="1">IF(AND(بيانات_العملاء[[#This Row],[السجل التجارى]]="موجود",TODAY()+'Other Data'!$B$23&lt;J473,بيانات_العملاء[[#This Row],[مطابقة اسم العميل بالاسم بالسجل التجارى]]="مطابق"), "سارى", "يجب اعادة طلبه")</f>
        <v>يجب اعادة طلبه</v>
      </c>
      <c r="M473" s="37" t="s">
        <v>856</v>
      </c>
      <c r="N473" s="39" t="str" cm="1">
        <f t="array" aca="1" ref="N473" ca="1">INDEX('SAP Customer Data'!$A:$AC,MATCH(بيانات_العملاء[[#This Row],[رمز شريك الأعمال]],'SAP Customer Data'!$B:$B,0),CELL("col",Table_Customer_Data[[#Headers],[LicTradNum]]))</f>
        <v>تم فتح حساب جديد بكود L0005</v>
      </c>
      <c r="O47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73" s="37"/>
      <c r="Q473" s="38"/>
      <c r="R47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73" s="37" t="s">
        <v>1080</v>
      </c>
      <c r="T473" s="40"/>
      <c r="U473" s="41"/>
      <c r="V47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73" s="37" cm="1">
        <f t="array" aca="1" ref="X473" ca="1">INDEX('SAP Customer Data'!$A:$AC,MATCH(بيانات_العملاء[[#This Row],[رمز شريك الأعمال]],'SAP Customer Data'!$B:$B,0),CELL("col",Table_Customer_Data[[#Headers],[CreditLine]]))</f>
        <v>0</v>
      </c>
      <c r="Y47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3" s="37"/>
      <c r="AA47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73" s="37"/>
      <c r="AC473" s="37"/>
      <c r="AD47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3" s="37"/>
      <c r="AF473" s="37"/>
      <c r="AG47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3" s="37"/>
      <c r="AI473" s="37"/>
      <c r="AJ47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3" s="37"/>
      <c r="AL473" s="38"/>
      <c r="AM47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3" s="37"/>
      <c r="AO473" s="41"/>
      <c r="AP47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3" s="37"/>
      <c r="AR473" s="37"/>
      <c r="AS47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3" s="41" cm="1">
        <f t="array" aca="1" ref="AT473" ca="1">INDEX('SAP Customer Data'!A:Z,MATCH(بيانات_العملاء[[#This Row],[رمز شريك الأعمال]],'SAP Customer Data'!B:B,0),CELL("col",Table_Customer_Data[[#Headers],[CreateDate]]))</f>
        <v>44341</v>
      </c>
      <c r="AU473" s="37"/>
      <c r="AV473" s="41"/>
      <c r="AW473" s="37" t="s">
        <v>2097</v>
      </c>
      <c r="AX473" s="37"/>
    </row>
    <row r="474" spans="1:50" x14ac:dyDescent="0.25">
      <c r="A474" s="36" t="str" cm="1">
        <f t="array" aca="1" ref="A474" ca="1">INDEX('SAP Customer Data'!$A:$AC,MATCH(بيانات_العملاء[[#This Row],[رمز شريك الأعمال]],'SAP Customer Data'!$B:$B,0),CELL("col",Table_Customer_Data[[#Headers],[GroupName]]))</f>
        <v>CS12</v>
      </c>
      <c r="B474" s="35" t="s">
        <v>1377</v>
      </c>
      <c r="C474" s="37" t="str" cm="1">
        <f t="array" aca="1" ref="C474" ca="1">INDEX('SAP Customer Data'!$A:$AC,MATCH(بيانات_العملاء[[#This Row],[رمز شريك الأعمال]],'SAP Customer Data'!$B:$B,0),CELL("col",Table_Customer_Data[[#Headers],[CardName]]))</f>
        <v>عميل بضمان المندوب CS02</v>
      </c>
      <c r="D474" s="37" t="str">
        <f ca="1">IF(بيانات_العملاء[[#This Row],[حد الائتمان على SAP]]&gt;0,"آجل","نقدى")</f>
        <v>نقدى</v>
      </c>
      <c r="E474" s="37"/>
      <c r="F474" s="37"/>
      <c r="G474" s="37"/>
      <c r="H47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74" s="37"/>
      <c r="J474" s="38"/>
      <c r="K474" s="41" t="str">
        <f>IF(بيانات_العملاء[[#This Row],[السجل التجارى]]="غير موجود", "غير مطابق", "")</f>
        <v/>
      </c>
      <c r="L474" s="37" t="str">
        <f ca="1">IF(AND(بيانات_العملاء[[#This Row],[السجل التجارى]]="موجود",TODAY()+'Other Data'!$B$23&lt;J474,بيانات_العملاء[[#This Row],[مطابقة اسم العميل بالاسم بالسجل التجارى]]="مطابق"), "سارى", "يجب اعادة طلبه")</f>
        <v>يجب اعادة طلبه</v>
      </c>
      <c r="M474" s="37"/>
      <c r="N474" s="39" t="str" cm="1">
        <f t="array" aca="1" ref="N474" ca="1">INDEX('SAP Customer Data'!$A:$AC,MATCH(بيانات_العملاء[[#This Row],[رمز شريك الأعمال]],'SAP Customer Data'!$B:$B,0),CELL("col",Table_Customer_Data[[#Headers],[LicTradNum]]))</f>
        <v>محمد رمضان</v>
      </c>
      <c r="O47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474" s="37"/>
      <c r="Q474" s="38"/>
      <c r="R474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74" s="37" t="s">
        <v>1080</v>
      </c>
      <c r="T474" s="40"/>
      <c r="U474" s="41"/>
      <c r="V47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74" s="37" cm="1">
        <f t="array" aca="1" ref="X474" ca="1">INDEX('SAP Customer Data'!$A:$AC,MATCH(بيانات_العملاء[[#This Row],[رمز شريك الأعمال]],'SAP Customer Data'!$B:$B,0),CELL("col",Table_Customer_Data[[#Headers],[CreditLine]]))</f>
        <v>0</v>
      </c>
      <c r="Y47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4" s="37"/>
      <c r="AA47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74" s="37"/>
      <c r="AC474" s="37"/>
      <c r="AD474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4" s="37"/>
      <c r="AF474" s="37"/>
      <c r="AG47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74" s="37"/>
      <c r="AI474" s="37"/>
      <c r="AJ47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74" s="37"/>
      <c r="AL474" s="38"/>
      <c r="AM47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4" s="37"/>
      <c r="AO474" s="41"/>
      <c r="AP47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4" s="37"/>
      <c r="AR474" s="37"/>
      <c r="AS47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74" s="41" cm="1">
        <f t="array" aca="1" ref="AT474" ca="1">INDEX('SAP Customer Data'!A:Z,MATCH(بيانات_العملاء[[#This Row],[رمز شريك الأعمال]],'SAP Customer Data'!B:B,0),CELL("col",Table_Customer_Data[[#Headers],[CreateDate]]))</f>
        <v>43680</v>
      </c>
      <c r="AU474" s="41"/>
      <c r="AV474" s="41"/>
      <c r="AW474" s="37" t="s">
        <v>2097</v>
      </c>
      <c r="AX474" s="37"/>
    </row>
    <row r="475" spans="1:50" x14ac:dyDescent="0.25">
      <c r="A475" s="36" t="str" cm="1">
        <f t="array" aca="1" ref="A475" ca="1">INDEX('SAP Customer Data'!$A:$AC,MATCH(بيانات_العملاء[[#This Row],[رمز شريك الأعمال]],'SAP Customer Data'!$B:$B,0),CELL("col",Table_Customer_Data[[#Headers],[GroupName]]))</f>
        <v>CS12</v>
      </c>
      <c r="B475" s="35" t="s">
        <v>852</v>
      </c>
      <c r="C475" s="37" t="str" cm="1">
        <f t="array" aca="1" ref="C475" ca="1">INDEX('SAP Customer Data'!$A:$AC,MATCH(بيانات_العملاء[[#This Row],[رمز شريك الأعمال]],'SAP Customer Data'!$B:$B,0),CELL("col",Table_Customer_Data[[#Headers],[CardName]]))</f>
        <v>مؤسسة رواد المكان التجارية</v>
      </c>
      <c r="D475" s="37" t="str">
        <f ca="1">IF(بيانات_العملاء[[#This Row],[حد الائتمان على SAP]]&gt;0,"آجل","نقدى")</f>
        <v>آجل</v>
      </c>
      <c r="E475" s="37" t="s">
        <v>2210</v>
      </c>
      <c r="F475" s="37" t="s">
        <v>1081</v>
      </c>
      <c r="G475" s="37" t="s">
        <v>854</v>
      </c>
      <c r="H47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75" s="37" t="s">
        <v>854</v>
      </c>
      <c r="J475" s="38">
        <v>44904</v>
      </c>
      <c r="K475" s="37" t="s">
        <v>855</v>
      </c>
      <c r="L475" s="37" t="str">
        <f ca="1">IF(AND(بيانات_العملاء[[#This Row],[السجل التجارى]]="موجود",TODAY()+'Other Data'!$B$23&lt;J475,بيانات_العملاء[[#This Row],[مطابقة اسم العميل بالاسم بالسجل التجارى]]="مطابق"), "سارى", "يجب اعادة طلبه")</f>
        <v>يجب اعادة طلبه</v>
      </c>
      <c r="M475" s="37" t="s">
        <v>854</v>
      </c>
      <c r="N475" s="39" t="str" cm="1">
        <f t="array" aca="1" ref="N475" ca="1">INDEX('SAP Customer Data'!$A:$AC,MATCH(بيانات_العملاء[[#This Row],[رمز شريك الأعمال]],'SAP Customer Data'!$B:$B,0),CELL("col",Table_Customer_Data[[#Headers],[LicTradNum]]))</f>
        <v>310839694600003</v>
      </c>
      <c r="O47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75" s="37" t="s">
        <v>856</v>
      </c>
      <c r="Q475" s="38"/>
      <c r="R47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75" s="37" t="s">
        <v>854</v>
      </c>
      <c r="T475" s="40">
        <v>50000</v>
      </c>
      <c r="U475" s="41"/>
      <c r="V47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75" s="37" cm="1">
        <f t="array" aca="1" ref="X475" ca="1">INDEX('SAP Customer Data'!$A:$AC,MATCH(بيانات_العملاء[[#This Row],[رمز شريك الأعمال]],'SAP Customer Data'!$B:$B,0),CELL("col",Table_Customer_Data[[#Headers],[CreditLine]]))</f>
        <v>40000</v>
      </c>
      <c r="Y47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5" s="37" t="s">
        <v>855</v>
      </c>
      <c r="AA47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75" s="37" t="s">
        <v>854</v>
      </c>
      <c r="AC475" s="37"/>
      <c r="AD47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5" s="37" t="s">
        <v>856</v>
      </c>
      <c r="AF475" s="37"/>
      <c r="AG47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5" s="37" t="s">
        <v>856</v>
      </c>
      <c r="AI475" s="37"/>
      <c r="AJ47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5" s="37"/>
      <c r="AL475" s="38"/>
      <c r="AM47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5" s="37" t="s">
        <v>856</v>
      </c>
      <c r="AO475" s="41"/>
      <c r="AP47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5" s="37" t="s">
        <v>856</v>
      </c>
      <c r="AR475" s="37"/>
      <c r="AS47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5" s="41" cm="1">
        <f t="array" aca="1" ref="AT475" ca="1">INDEX('SAP Customer Data'!A:Z,MATCH(بيانات_العملاء[[#This Row],[رمز شريك الأعمال]],'SAP Customer Data'!B:B,0),CELL("col",Table_Customer_Data[[#Headers],[CreateDate]]))</f>
        <v>44816</v>
      </c>
      <c r="AU475" s="37"/>
      <c r="AV475" s="41"/>
      <c r="AW475" s="37" t="s">
        <v>2097</v>
      </c>
      <c r="AX475" s="37"/>
    </row>
    <row r="476" spans="1:50" x14ac:dyDescent="0.25">
      <c r="A476" s="36" t="str" cm="1">
        <f t="array" aca="1" ref="A476" ca="1">INDEX('SAP Customer Data'!$A:$AC,MATCH(بيانات_العملاء[[#This Row],[رمز شريك الأعمال]],'SAP Customer Data'!$B:$B,0),CELL("col",Table_Customer_Data[[#Headers],[GroupName]]))</f>
        <v>CS12</v>
      </c>
      <c r="B476" s="35" t="s">
        <v>857</v>
      </c>
      <c r="C476" s="37" t="str" cm="1">
        <f t="array" aca="1" ref="C476" ca="1">INDEX('SAP Customer Data'!$A:$AC,MATCH(بيانات_العملاء[[#This Row],[رمز شريك الأعمال]],'SAP Customer Data'!$B:$B,0),CELL("col",Table_Customer_Data[[#Headers],[CardName]]))</f>
        <v>مؤسسة ابراهيم سعيد المدعث التجارية- نقدي</v>
      </c>
      <c r="D476" s="37" t="str">
        <f ca="1">IF(بيانات_العملاء[[#This Row],[حد الائتمان على SAP]]&gt;0,"آجل","نقدى")</f>
        <v>نقدى</v>
      </c>
      <c r="E476" s="37" t="s">
        <v>2211</v>
      </c>
      <c r="F476" s="37" t="s">
        <v>1081</v>
      </c>
      <c r="G476" s="37" t="s">
        <v>854</v>
      </c>
      <c r="H47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76" s="37" t="s">
        <v>854</v>
      </c>
      <c r="J476" s="38">
        <v>46135</v>
      </c>
      <c r="K476" s="37" t="s">
        <v>855</v>
      </c>
      <c r="L476" s="37" t="str">
        <f ca="1">IF(AND(بيانات_العملاء[[#This Row],[السجل التجارى]]="موجود",TODAY()+'Other Data'!$B$23&lt;J476,بيانات_العملاء[[#This Row],[مطابقة اسم العميل بالاسم بالسجل التجارى]]="مطابق"), "سارى", "يجب اعادة طلبه")</f>
        <v>سارى</v>
      </c>
      <c r="M476" s="37" t="s">
        <v>854</v>
      </c>
      <c r="N476" s="39" t="str" cm="1">
        <f t="array" aca="1" ref="N476" ca="1">INDEX('SAP Customer Data'!$A:$AC,MATCH(بيانات_العملاء[[#This Row],[رمز شريك الأعمال]],'SAP Customer Data'!$B:$B,0),CELL("col",Table_Customer_Data[[#Headers],[LicTradNum]]))</f>
        <v>310084946200003</v>
      </c>
      <c r="O47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76" s="37" t="s">
        <v>856</v>
      </c>
      <c r="Q476" s="38"/>
      <c r="R47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76" s="37" t="s">
        <v>1080</v>
      </c>
      <c r="T476" s="40"/>
      <c r="U476" s="41"/>
      <c r="V47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76" s="37" cm="1">
        <f t="array" aca="1" ref="X476" ca="1">INDEX('SAP Customer Data'!$A:$AC,MATCH(بيانات_العملاء[[#This Row],[رمز شريك الأعمال]],'SAP Customer Data'!$B:$B,0),CELL("col",Table_Customer_Data[[#Headers],[CreditLine]]))</f>
        <v>0</v>
      </c>
      <c r="Y47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6" s="37"/>
      <c r="AA47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76" s="37" t="s">
        <v>856</v>
      </c>
      <c r="AC476" s="37"/>
      <c r="AD47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6" s="37" t="s">
        <v>856</v>
      </c>
      <c r="AF476" s="37"/>
      <c r="AG47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6" s="37" t="s">
        <v>856</v>
      </c>
      <c r="AI476" s="37"/>
      <c r="AJ47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6" s="37"/>
      <c r="AL476" s="38"/>
      <c r="AM47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6" s="37" t="s">
        <v>856</v>
      </c>
      <c r="AO476" s="41"/>
      <c r="AP47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6" s="37" t="s">
        <v>856</v>
      </c>
      <c r="AR476" s="37"/>
      <c r="AS47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6" s="41" cm="1">
        <f t="array" aca="1" ref="AT476" ca="1">INDEX('SAP Customer Data'!A:Z,MATCH(بيانات_العملاء[[#This Row],[رمز شريك الأعمال]],'SAP Customer Data'!B:B,0),CELL("col",Table_Customer_Data[[#Headers],[CreateDate]]))</f>
        <v>44818</v>
      </c>
      <c r="AU476" s="37"/>
      <c r="AV476" s="41"/>
      <c r="AW476" s="37" t="s">
        <v>2097</v>
      </c>
      <c r="AX476" s="37"/>
    </row>
    <row r="477" spans="1:50" x14ac:dyDescent="0.25">
      <c r="A477" s="36" t="str" cm="1">
        <f t="array" aca="1" ref="A477" ca="1">INDEX('SAP Customer Data'!$A:$AC,MATCH(بيانات_العملاء[[#This Row],[رمز شريك الأعمال]],'SAP Customer Data'!$B:$B,0),CELL("col",Table_Customer_Data[[#Headers],[GroupName]]))</f>
        <v>CS12</v>
      </c>
      <c r="B477" s="35" t="s">
        <v>860</v>
      </c>
      <c r="C477" s="37" t="str" cm="1">
        <f t="array" aca="1" ref="C477" ca="1">INDEX('SAP Customer Data'!$A:$AC,MATCH(بيانات_العملاء[[#This Row],[رمز شريك الأعمال]],'SAP Customer Data'!$B:$B,0),CELL("col",Table_Customer_Data[[#Headers],[CardName]]))</f>
        <v>مؤسسة عبد الله سالم باعبيد للتجارة</v>
      </c>
      <c r="D477" s="37" t="str">
        <f ca="1">IF(بيانات_العملاء[[#This Row],[حد الائتمان على SAP]]&gt;0,"آجل","نقدى")</f>
        <v>آجل</v>
      </c>
      <c r="E477" s="37" t="s">
        <v>2212</v>
      </c>
      <c r="F477" s="37" t="s">
        <v>1081</v>
      </c>
      <c r="G477" s="37" t="s">
        <v>854</v>
      </c>
      <c r="H47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77" s="37" t="s">
        <v>854</v>
      </c>
      <c r="J477" s="38">
        <v>45986</v>
      </c>
      <c r="K477" s="37" t="s">
        <v>855</v>
      </c>
      <c r="L477" s="37" t="str">
        <f ca="1">IF(AND(بيانات_العملاء[[#This Row],[السجل التجارى]]="موجود",TODAY()+'Other Data'!$B$23&lt;J477,بيانات_العملاء[[#This Row],[مطابقة اسم العميل بالاسم بالسجل التجارى]]="مطابق"), "سارى", "يجب اعادة طلبه")</f>
        <v>سارى</v>
      </c>
      <c r="M477" s="37" t="s">
        <v>854</v>
      </c>
      <c r="N477" s="39" t="str" cm="1">
        <f t="array" aca="1" ref="N477" ca="1">INDEX('SAP Customer Data'!$A:$AC,MATCH(بيانات_العملاء[[#This Row],[رمز شريك الأعمال]],'SAP Customer Data'!$B:$B,0),CELL("col",Table_Customer_Data[[#Headers],[LicTradNum]]))</f>
        <v>300768392200003</v>
      </c>
      <c r="O47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77" s="37" t="s">
        <v>854</v>
      </c>
      <c r="Q477" s="38">
        <v>45339</v>
      </c>
      <c r="R47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77" s="37" t="s">
        <v>854</v>
      </c>
      <c r="T477" s="40">
        <v>100000</v>
      </c>
      <c r="U477" s="41"/>
      <c r="V47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477" s="37" cm="1">
        <f t="array" aca="1" ref="X477" ca="1">INDEX('SAP Customer Data'!$A:$AC,MATCH(بيانات_العملاء[[#This Row],[رمز شريك الأعمال]],'SAP Customer Data'!$B:$B,0),CELL("col",Table_Customer_Data[[#Headers],[CreditLine]]))</f>
        <v>80000</v>
      </c>
      <c r="Y47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7" s="37" t="s">
        <v>855</v>
      </c>
      <c r="AA47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77" s="37" t="s">
        <v>854</v>
      </c>
      <c r="AC477" s="37"/>
      <c r="AD47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7" s="37" t="s">
        <v>854</v>
      </c>
      <c r="AF477" s="37"/>
      <c r="AG47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7" s="37" t="s">
        <v>856</v>
      </c>
      <c r="AI477" s="37"/>
      <c r="AJ47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7" s="37"/>
      <c r="AL477" s="38"/>
      <c r="AM47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7" s="37" t="s">
        <v>854</v>
      </c>
      <c r="AO477" s="41"/>
      <c r="AP47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7" s="37" t="s">
        <v>856</v>
      </c>
      <c r="AR477" s="37"/>
      <c r="AS47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7" s="41" cm="1">
        <f t="array" aca="1" ref="AT477" ca="1">INDEX('SAP Customer Data'!A:Z,MATCH(بيانات_العملاء[[#This Row],[رمز شريك الأعمال]],'SAP Customer Data'!B:B,0),CELL("col",Table_Customer_Data[[#Headers],[CreateDate]]))</f>
        <v>44844</v>
      </c>
      <c r="AU477" s="37"/>
      <c r="AV477" s="41"/>
      <c r="AW477" s="37" t="s">
        <v>2097</v>
      </c>
      <c r="AX477" s="37"/>
    </row>
    <row r="478" spans="1:50" x14ac:dyDescent="0.25">
      <c r="A478" s="36" t="str" cm="1">
        <f t="array" aca="1" ref="A478" ca="1">INDEX('SAP Customer Data'!$A:$AC,MATCH(بيانات_العملاء[[#This Row],[رمز شريك الأعمال]],'SAP Customer Data'!$B:$B,0),CELL("col",Table_Customer_Data[[#Headers],[GroupName]]))</f>
        <v>CS12</v>
      </c>
      <c r="B478" s="35" t="s">
        <v>862</v>
      </c>
      <c r="C478" s="37" t="str" cm="1">
        <f t="array" aca="1" ref="C478" ca="1">INDEX('SAP Customer Data'!$A:$AC,MATCH(بيانات_العملاء[[#This Row],[رمز شريك الأعمال]],'SAP Customer Data'!$B:$B,0),CELL("col",Table_Customer_Data[[#Headers],[CardName]]))</f>
        <v>مؤسسة محمد ناصر السيد للتجارة-جنوب</v>
      </c>
      <c r="D478" s="37" t="str">
        <f ca="1">IF(بيانات_العملاء[[#This Row],[حد الائتمان على SAP]]&gt;0,"آجل","نقدى")</f>
        <v>آجل</v>
      </c>
      <c r="E478" s="37" t="s">
        <v>2104</v>
      </c>
      <c r="F478" s="37" t="s">
        <v>1081</v>
      </c>
      <c r="G478" s="37" t="s">
        <v>854</v>
      </c>
      <c r="H47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78" s="37" t="s">
        <v>854</v>
      </c>
      <c r="J478" s="38">
        <v>45166</v>
      </c>
      <c r="K478" s="37" t="s">
        <v>855</v>
      </c>
      <c r="L478" s="37" t="str">
        <f ca="1">IF(AND(بيانات_العملاء[[#This Row],[السجل التجارى]]="موجود",TODAY()+'Other Data'!$B$23&lt;J478,بيانات_العملاء[[#This Row],[مطابقة اسم العميل بالاسم بالسجل التجارى]]="مطابق"), "سارى", "يجب اعادة طلبه")</f>
        <v>يجب اعادة طلبه</v>
      </c>
      <c r="M478" s="37" t="s">
        <v>854</v>
      </c>
      <c r="N478" s="39" t="str" cm="1">
        <f t="array" aca="1" ref="N478" ca="1">INDEX('SAP Customer Data'!$A:$AC,MATCH(بيانات_العملاء[[#This Row],[رمز شريك الأعمال]],'SAP Customer Data'!$B:$B,0),CELL("col",Table_Customer_Data[[#Headers],[LicTradNum]]))</f>
        <v>302178551700003</v>
      </c>
      <c r="O47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78" s="37" t="s">
        <v>854</v>
      </c>
      <c r="Q478" s="38">
        <v>45566</v>
      </c>
      <c r="R47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78" s="37" t="s">
        <v>854</v>
      </c>
      <c r="T478" s="40">
        <v>25000</v>
      </c>
      <c r="U478" s="41"/>
      <c r="V47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20000</v>
      </c>
      <c r="X478" s="37" cm="1">
        <f t="array" aca="1" ref="X478" ca="1">INDEX('SAP Customer Data'!$A:$AC,MATCH(بيانات_العملاء[[#This Row],[رمز شريك الأعمال]],'SAP Customer Data'!$B:$B,0),CELL("col",Table_Customer_Data[[#Headers],[CreditLine]]))</f>
        <v>20000</v>
      </c>
      <c r="Y47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8" s="37" t="s">
        <v>855</v>
      </c>
      <c r="AA47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78" s="37" t="s">
        <v>856</v>
      </c>
      <c r="AC478" s="37"/>
      <c r="AD47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8" s="37" t="s">
        <v>856</v>
      </c>
      <c r="AF478" s="37"/>
      <c r="AG47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8" s="37" t="s">
        <v>856</v>
      </c>
      <c r="AI478" s="37"/>
      <c r="AJ47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8" s="37" t="s">
        <v>856</v>
      </c>
      <c r="AL478" s="38"/>
      <c r="AM47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8" s="37" t="s">
        <v>856</v>
      </c>
      <c r="AO478" s="41"/>
      <c r="AP47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8" s="37" t="s">
        <v>856</v>
      </c>
      <c r="AR478" s="37"/>
      <c r="AS47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8" s="41" cm="1">
        <f t="array" aca="1" ref="AT478" ca="1">INDEX('SAP Customer Data'!A:Z,MATCH(بيانات_العملاء[[#This Row],[رمز شريك الأعمال]],'SAP Customer Data'!B:B,0),CELL("col",Table_Customer_Data[[#Headers],[CreateDate]]))</f>
        <v>44844</v>
      </c>
      <c r="AU478" s="37"/>
      <c r="AV478" s="41"/>
      <c r="AW478" s="37" t="s">
        <v>2096</v>
      </c>
      <c r="AX478" s="37">
        <v>100000</v>
      </c>
    </row>
    <row r="479" spans="1:50" x14ac:dyDescent="0.25">
      <c r="A479" s="36" t="str" cm="1">
        <f t="array" aca="1" ref="A479" ca="1">INDEX('SAP Customer Data'!$A:$AC,MATCH(بيانات_العملاء[[#This Row],[رمز شريك الأعمال]],'SAP Customer Data'!$B:$B,0),CELL("col",Table_Customer_Data[[#Headers],[GroupName]]))</f>
        <v>CS12</v>
      </c>
      <c r="B479" s="35" t="s">
        <v>864</v>
      </c>
      <c r="C479" s="37" t="str" cm="1">
        <f t="array" aca="1" ref="C479" ca="1">INDEX('SAP Customer Data'!$A:$AC,MATCH(بيانات_العملاء[[#This Row],[رمز شريك الأعمال]],'SAP Customer Data'!$B:$B,0),CELL("col",Table_Customer_Data[[#Headers],[CardName]]))</f>
        <v>مؤسسة شعلان محمد شعلان القرنى للتجارة</v>
      </c>
      <c r="D479" s="37" t="str">
        <f ca="1">IF(بيانات_العملاء[[#This Row],[حد الائتمان على SAP]]&gt;0,"آجل","نقدى")</f>
        <v>آجل</v>
      </c>
      <c r="E479" s="37" t="s">
        <v>2213</v>
      </c>
      <c r="F479" s="37" t="s">
        <v>1081</v>
      </c>
      <c r="G479" s="37" t="s">
        <v>918</v>
      </c>
      <c r="H47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79" s="37" t="s">
        <v>854</v>
      </c>
      <c r="J479" s="38">
        <v>44571</v>
      </c>
      <c r="K479" s="37" t="s">
        <v>855</v>
      </c>
      <c r="L479" s="37" t="str">
        <f ca="1">IF(AND(بيانات_العملاء[[#This Row],[السجل التجارى]]="موجود",TODAY()+'Other Data'!$B$23&lt;J479,بيانات_العملاء[[#This Row],[مطابقة اسم العميل بالاسم بالسجل التجارى]]="مطابق"), "سارى", "يجب اعادة طلبه")</f>
        <v>يجب اعادة طلبه</v>
      </c>
      <c r="M479" s="37" t="s">
        <v>854</v>
      </c>
      <c r="N479" s="39" t="str" cm="1">
        <f t="array" aca="1" ref="N479" ca="1">INDEX('SAP Customer Data'!$A:$AC,MATCH(بيانات_العملاء[[#This Row],[رمز شريك الأعمال]],'SAP Customer Data'!$B:$B,0),CELL("col",Table_Customer_Data[[#Headers],[LicTradNum]]))</f>
        <v>301111682900003</v>
      </c>
      <c r="O47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79" s="37" t="s">
        <v>854</v>
      </c>
      <c r="Q479" s="38">
        <v>45899</v>
      </c>
      <c r="R47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79" s="37" t="s">
        <v>854</v>
      </c>
      <c r="T479" s="40">
        <v>30000</v>
      </c>
      <c r="U479" s="41"/>
      <c r="V47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7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479" s="37" cm="1">
        <f t="array" aca="1" ref="X479" ca="1">INDEX('SAP Customer Data'!$A:$AC,MATCH(بيانات_العملاء[[#This Row],[رمز شريك الأعمال]],'SAP Customer Data'!$B:$B,0),CELL("col",Table_Customer_Data[[#Headers],[CreditLine]]))</f>
        <v>24000</v>
      </c>
      <c r="Y47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79" s="37" t="s">
        <v>855</v>
      </c>
      <c r="AA47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79" s="37" t="s">
        <v>856</v>
      </c>
      <c r="AC479" s="37"/>
      <c r="AD47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79" s="37" t="s">
        <v>856</v>
      </c>
      <c r="AF479" s="37"/>
      <c r="AG47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79" s="37" t="s">
        <v>856</v>
      </c>
      <c r="AI479" s="37"/>
      <c r="AJ47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79" s="37"/>
      <c r="AL479" s="38"/>
      <c r="AM47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79" s="37" t="s">
        <v>856</v>
      </c>
      <c r="AO479" s="41"/>
      <c r="AP47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79" s="37" t="s">
        <v>856</v>
      </c>
      <c r="AR479" s="37"/>
      <c r="AS47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79" s="41" cm="1">
        <f t="array" aca="1" ref="AT479" ca="1">INDEX('SAP Customer Data'!A:Z,MATCH(بيانات_العملاء[[#This Row],[رمز شريك الأعمال]],'SAP Customer Data'!B:B,0),CELL("col",Table_Customer_Data[[#Headers],[CreateDate]]))</f>
        <v>44845</v>
      </c>
      <c r="AU479" s="37"/>
      <c r="AV479" s="41"/>
      <c r="AW479" s="37" t="s">
        <v>2097</v>
      </c>
      <c r="AX479" s="37"/>
    </row>
    <row r="480" spans="1:50" x14ac:dyDescent="0.25">
      <c r="A480" s="36" t="str" cm="1">
        <f t="array" aca="1" ref="A480" ca="1">INDEX('SAP Customer Data'!$A:$AC,MATCH(بيانات_العملاء[[#This Row],[رمز شريك الأعمال]],'SAP Customer Data'!$B:$B,0),CELL("col",Table_Customer_Data[[#Headers],[GroupName]]))</f>
        <v>CS12</v>
      </c>
      <c r="B480" s="35" t="s">
        <v>866</v>
      </c>
      <c r="C480" s="37" t="str" cm="1">
        <f t="array" aca="1" ref="C480" ca="1">INDEX('SAP Customer Data'!$A:$AC,MATCH(بيانات_العملاء[[#This Row],[رمز شريك الأعمال]],'SAP Customer Data'!$B:$B,0),CELL("col",Table_Customer_Data[[#Headers],[CardName]]))</f>
        <v>مؤسسة علي مهدي ال ذيبان التجارية</v>
      </c>
      <c r="D480" s="37" t="str">
        <f ca="1">IF(بيانات_العملاء[[#This Row],[حد الائتمان على SAP]]&gt;0,"آجل","نقدى")</f>
        <v>آجل</v>
      </c>
      <c r="E480" s="37" t="s">
        <v>2214</v>
      </c>
      <c r="F480" s="37" t="s">
        <v>1081</v>
      </c>
      <c r="G480" s="37" t="s">
        <v>854</v>
      </c>
      <c r="H48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80" s="37" t="s">
        <v>854</v>
      </c>
      <c r="J480" s="38">
        <v>45639</v>
      </c>
      <c r="K480" s="37" t="s">
        <v>855</v>
      </c>
      <c r="L480" s="37" t="str">
        <f ca="1">IF(AND(بيانات_العملاء[[#This Row],[السجل التجارى]]="موجود",TODAY()+'Other Data'!$B$23&lt;J480,بيانات_العملاء[[#This Row],[مطابقة اسم العميل بالاسم بالسجل التجارى]]="مطابق"), "سارى", "يجب اعادة طلبه")</f>
        <v>سارى</v>
      </c>
      <c r="M480" s="37" t="s">
        <v>854</v>
      </c>
      <c r="N480" s="39" t="str" cm="1">
        <f t="array" aca="1" ref="N480" ca="1">INDEX('SAP Customer Data'!$A:$AC,MATCH(بيانات_العملاء[[#This Row],[رمز شريك الأعمال]],'SAP Customer Data'!$B:$B,0),CELL("col",Table_Customer_Data[[#Headers],[LicTradNum]]))</f>
        <v>300907585900003</v>
      </c>
      <c r="O48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0" s="37" t="s">
        <v>854</v>
      </c>
      <c r="Q480" s="38">
        <v>44541</v>
      </c>
      <c r="R48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80" s="37" t="s">
        <v>854</v>
      </c>
      <c r="T480" s="40">
        <v>200000</v>
      </c>
      <c r="U480" s="41"/>
      <c r="V48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8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160000</v>
      </c>
      <c r="X480" s="37" cm="1">
        <f t="array" aca="1" ref="X480" ca="1">INDEX('SAP Customer Data'!$A:$AC,MATCH(بيانات_العملاء[[#This Row],[رمز شريك الأعمال]],'SAP Customer Data'!$B:$B,0),CELL("col",Table_Customer_Data[[#Headers],[CreditLine]]))</f>
        <v>160000</v>
      </c>
      <c r="Y48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0" s="37" t="s">
        <v>855</v>
      </c>
      <c r="AA48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80" s="37" t="s">
        <v>854</v>
      </c>
      <c r="AC480" s="37"/>
      <c r="AD48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0" s="37" t="s">
        <v>854</v>
      </c>
      <c r="AF480" s="37"/>
      <c r="AG48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0" s="37" t="s">
        <v>854</v>
      </c>
      <c r="AI480" s="37"/>
      <c r="AJ48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0" s="37"/>
      <c r="AL480" s="38"/>
      <c r="AM48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0" s="37" t="s">
        <v>854</v>
      </c>
      <c r="AO480" s="41"/>
      <c r="AP48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0" s="37" t="s">
        <v>856</v>
      </c>
      <c r="AR480" s="37"/>
      <c r="AS48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0" s="41" cm="1">
        <f t="array" aca="1" ref="AT480" ca="1">INDEX('SAP Customer Data'!A:Z,MATCH(بيانات_العملاء[[#This Row],[رمز شريك الأعمال]],'SAP Customer Data'!B:B,0),CELL("col",Table_Customer_Data[[#Headers],[CreateDate]]))</f>
        <v>44852</v>
      </c>
      <c r="AU480" s="37"/>
      <c r="AV480" s="41"/>
      <c r="AW480" s="37" t="s">
        <v>2097</v>
      </c>
      <c r="AX480" s="37"/>
    </row>
    <row r="481" spans="1:50" x14ac:dyDescent="0.25">
      <c r="A481" s="36" t="str" cm="1">
        <f t="array" aca="1" ref="A481" ca="1">INDEX('SAP Customer Data'!$A:$AC,MATCH(بيانات_العملاء[[#This Row],[رمز شريك الأعمال]],'SAP Customer Data'!$B:$B,0),CELL("col",Table_Customer_Data[[#Headers],[GroupName]]))</f>
        <v>CS12</v>
      </c>
      <c r="B481" s="35" t="s">
        <v>868</v>
      </c>
      <c r="C481" s="37" t="str" cm="1">
        <f t="array" aca="1" ref="C481" ca="1">INDEX('SAP Customer Data'!$A:$AC,MATCH(بيانات_العملاء[[#This Row],[رمز شريك الأعمال]],'SAP Customer Data'!$B:$B,0),CELL("col",Table_Customer_Data[[#Headers],[CardName]]))</f>
        <v>شركة انارة نجف التجارية - نقدى</v>
      </c>
      <c r="D481" s="37" t="str">
        <f ca="1">IF(بيانات_العملاء[[#This Row],[حد الائتمان على SAP]]&gt;0,"آجل","نقدى")</f>
        <v>نقدى</v>
      </c>
      <c r="E481" s="37"/>
      <c r="F481" s="37" t="s">
        <v>908</v>
      </c>
      <c r="G481" s="37" t="s">
        <v>856</v>
      </c>
      <c r="H48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81" s="37" t="s">
        <v>854</v>
      </c>
      <c r="J481" s="38">
        <v>45364</v>
      </c>
      <c r="K481" s="37" t="s">
        <v>855</v>
      </c>
      <c r="L481" s="37" t="str">
        <f ca="1">IF(AND(بيانات_العملاء[[#This Row],[السجل التجارى]]="موجود",TODAY()+'Other Data'!$B$23&lt;J481,بيانات_العملاء[[#This Row],[مطابقة اسم العميل بالاسم بالسجل التجارى]]="مطابق"), "سارى", "يجب اعادة طلبه")</f>
        <v>سارى</v>
      </c>
      <c r="M481" s="37" t="s">
        <v>854</v>
      </c>
      <c r="N481" s="39" t="str" cm="1">
        <f t="array" aca="1" ref="N481" ca="1">INDEX('SAP Customer Data'!$A:$AC,MATCH(بيانات_العملاء[[#This Row],[رمز شريك الأعمال]],'SAP Customer Data'!$B:$B,0),CELL("col",Table_Customer_Data[[#Headers],[LicTradNum]]))</f>
        <v>311251108700003</v>
      </c>
      <c r="O48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1" s="37" t="s">
        <v>854</v>
      </c>
      <c r="Q481" s="38">
        <v>46448</v>
      </c>
      <c r="R48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81" s="37" t="s">
        <v>1080</v>
      </c>
      <c r="T481" s="40"/>
      <c r="U481" s="41"/>
      <c r="V48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8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81" s="37" cm="1">
        <f t="array" aca="1" ref="X481" ca="1">INDEX('SAP Customer Data'!$A:$AC,MATCH(بيانات_العملاء[[#This Row],[رمز شريك الأعمال]],'SAP Customer Data'!$B:$B,0),CELL("col",Table_Customer_Data[[#Headers],[CreditLine]]))</f>
        <v>0</v>
      </c>
      <c r="Y48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1" s="37"/>
      <c r="AA48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1" s="37" t="s">
        <v>856</v>
      </c>
      <c r="AC481" s="37"/>
      <c r="AD48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1" s="37" t="s">
        <v>856</v>
      </c>
      <c r="AF481" s="37"/>
      <c r="AG48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1" s="37" t="s">
        <v>856</v>
      </c>
      <c r="AI481" s="37"/>
      <c r="AJ48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1" s="37"/>
      <c r="AL481" s="38"/>
      <c r="AM48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1" s="37" t="s">
        <v>856</v>
      </c>
      <c r="AO481" s="41"/>
      <c r="AP48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1" s="37" t="s">
        <v>856</v>
      </c>
      <c r="AR481" s="37"/>
      <c r="AS48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1" s="41" cm="1">
        <f t="array" aca="1" ref="AT481" ca="1">INDEX('SAP Customer Data'!A:Z,MATCH(بيانات_العملاء[[#This Row],[رمز شريك الأعمال]],'SAP Customer Data'!B:B,0),CELL("col",Table_Customer_Data[[#Headers],[CreateDate]]))</f>
        <v>44860</v>
      </c>
      <c r="AU481" s="37"/>
      <c r="AV481" s="41"/>
      <c r="AW481" s="37" t="s">
        <v>2097</v>
      </c>
      <c r="AX481" s="37"/>
    </row>
    <row r="482" spans="1:50" x14ac:dyDescent="0.25">
      <c r="A482" s="36" t="str" cm="1">
        <f t="array" aca="1" ref="A482" ca="1">INDEX('SAP Customer Data'!$A:$AC,MATCH(بيانات_العملاء[[#This Row],[رمز شريك الأعمال]],'SAP Customer Data'!$B:$B,0),CELL("col",Table_Customer_Data[[#Headers],[GroupName]]))</f>
        <v>CS12</v>
      </c>
      <c r="B482" s="35" t="s">
        <v>870</v>
      </c>
      <c r="C482" s="37" t="str" cm="1">
        <f t="array" aca="1" ref="C482" ca="1">INDEX('SAP Customer Data'!$A:$AC,MATCH(بيانات_العملاء[[#This Row],[رمز شريك الأعمال]],'SAP Customer Data'!$B:$B,0),CELL("col",Table_Customer_Data[[#Headers],[CardName]]))</f>
        <v>شركة لمسات الاضاءة التجارية - نقدى</v>
      </c>
      <c r="D482" s="37" t="str">
        <f ca="1">IF(بيانات_العملاء[[#This Row],[حد الائتمان على SAP]]&gt;0,"آجل","نقدى")</f>
        <v>نقدى</v>
      </c>
      <c r="E482" s="37"/>
      <c r="F482" s="37" t="s">
        <v>1082</v>
      </c>
      <c r="G482" s="37" t="s">
        <v>856</v>
      </c>
      <c r="H48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82" s="37" t="s">
        <v>856</v>
      </c>
      <c r="J482" s="38"/>
      <c r="K482" s="37"/>
      <c r="L482" s="37" t="str">
        <f ca="1">IF(AND(بيانات_العملاء[[#This Row],[السجل التجارى]]="موجود",TODAY()+'Other Data'!$B$23&lt;J482,بيانات_العملاء[[#This Row],[مطابقة اسم العميل بالاسم بالسجل التجارى]]="مطابق"), "سارى", "يجب اعادة طلبه")</f>
        <v>يجب اعادة طلبه</v>
      </c>
      <c r="M482" s="37" t="s">
        <v>854</v>
      </c>
      <c r="N482" s="39" t="str" cm="1">
        <f t="array" aca="1" ref="N482" ca="1">INDEX('SAP Customer Data'!$A:$AC,MATCH(بيانات_العملاء[[#This Row],[رمز شريك الأعمال]],'SAP Customer Data'!$B:$B,0),CELL("col",Table_Customer_Data[[#Headers],[LicTradNum]]))</f>
        <v>311291814500003</v>
      </c>
      <c r="O48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2" s="37" t="s">
        <v>854</v>
      </c>
      <c r="Q482" s="38">
        <v>45430</v>
      </c>
      <c r="R48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82" s="37" t="s">
        <v>1080</v>
      </c>
      <c r="T482" s="40"/>
      <c r="U482" s="41"/>
      <c r="V48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8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82" s="37" cm="1">
        <f t="array" aca="1" ref="X482" ca="1">INDEX('SAP Customer Data'!$A:$AC,MATCH(بيانات_العملاء[[#This Row],[رمز شريك الأعمال]],'SAP Customer Data'!$B:$B,0),CELL("col",Table_Customer_Data[[#Headers],[CreditLine]]))</f>
        <v>0</v>
      </c>
      <c r="Y48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2" s="37"/>
      <c r="AA48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2" s="37" t="s">
        <v>856</v>
      </c>
      <c r="AC482" s="37"/>
      <c r="AD48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2" s="37" t="s">
        <v>856</v>
      </c>
      <c r="AF482" s="37"/>
      <c r="AG48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2" s="37" t="s">
        <v>856</v>
      </c>
      <c r="AI482" s="37"/>
      <c r="AJ48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2" s="37"/>
      <c r="AL482" s="38"/>
      <c r="AM48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2" s="37" t="s">
        <v>856</v>
      </c>
      <c r="AO482" s="41"/>
      <c r="AP48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2" s="37" t="s">
        <v>856</v>
      </c>
      <c r="AR482" s="37"/>
      <c r="AS48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2" s="41" cm="1">
        <f t="array" aca="1" ref="AT482" ca="1">INDEX('SAP Customer Data'!A:Z,MATCH(بيانات_العملاء[[#This Row],[رمز شريك الأعمال]],'SAP Customer Data'!B:B,0),CELL("col",Table_Customer_Data[[#Headers],[CreateDate]]))</f>
        <v>44870</v>
      </c>
      <c r="AU482" s="37"/>
      <c r="AV482" s="41"/>
      <c r="AW482" s="37" t="s">
        <v>2097</v>
      </c>
      <c r="AX482" s="37"/>
    </row>
    <row r="483" spans="1:50" x14ac:dyDescent="0.25">
      <c r="A483" s="36" t="str" cm="1">
        <f t="array" aca="1" ref="A483" ca="1">INDEX('SAP Customer Data'!$A:$AC,MATCH(بيانات_العملاء[[#This Row],[رمز شريك الأعمال]],'SAP Customer Data'!$B:$B,0),CELL("col",Table_Customer_Data[[#Headers],[GroupName]]))</f>
        <v>CS12</v>
      </c>
      <c r="B483" s="35" t="s">
        <v>872</v>
      </c>
      <c r="C483" s="37" t="str" cm="1">
        <f t="array" aca="1" ref="C483" ca="1">INDEX('SAP Customer Data'!$A:$AC,MATCH(بيانات_العملاء[[#This Row],[رمز شريك الأعمال]],'SAP Customer Data'!$B:$B,0),CELL("col",Table_Customer_Data[[#Headers],[CardName]]))</f>
        <v>مؤسسة انوار محمد ال عطشان التجارية</v>
      </c>
      <c r="D483" s="37" t="str">
        <f ca="1">IF(بيانات_العملاء[[#This Row],[حد الائتمان على SAP]]&gt;0,"آجل","نقدى")</f>
        <v>آجل</v>
      </c>
      <c r="E483" s="37" t="s">
        <v>2215</v>
      </c>
      <c r="F483" s="37" t="s">
        <v>1081</v>
      </c>
      <c r="G483" s="37" t="s">
        <v>854</v>
      </c>
      <c r="H48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83" s="37" t="s">
        <v>854</v>
      </c>
      <c r="J483" s="38">
        <v>45629</v>
      </c>
      <c r="K483" s="37" t="s">
        <v>855</v>
      </c>
      <c r="L483" s="37" t="str">
        <f ca="1">IF(AND(بيانات_العملاء[[#This Row],[السجل التجارى]]="موجود",TODAY()+'Other Data'!$B$23&lt;J483,بيانات_العملاء[[#This Row],[مطابقة اسم العميل بالاسم بالسجل التجارى]]="مطابق"), "سارى", "يجب اعادة طلبه")</f>
        <v>سارى</v>
      </c>
      <c r="M483" s="37" t="s">
        <v>854</v>
      </c>
      <c r="N483" s="39" t="str" cm="1">
        <f t="array" aca="1" ref="N483" ca="1">INDEX('SAP Customer Data'!$A:$AC,MATCH(بيانات_العملاء[[#This Row],[رمز شريك الأعمال]],'SAP Customer Data'!$B:$B,0),CELL("col",Table_Customer_Data[[#Headers],[LicTradNum]]))</f>
        <v>302192979800003</v>
      </c>
      <c r="O48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3" s="37" t="s">
        <v>854</v>
      </c>
      <c r="Q483" s="38">
        <v>45426</v>
      </c>
      <c r="R48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83" s="37" t="s">
        <v>854</v>
      </c>
      <c r="T483" s="40">
        <v>40000</v>
      </c>
      <c r="U483" s="41"/>
      <c r="V48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8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32000</v>
      </c>
      <c r="X483" s="37" cm="1">
        <f t="array" aca="1" ref="X483" ca="1">INDEX('SAP Customer Data'!$A:$AC,MATCH(بيانات_العملاء[[#This Row],[رمز شريك الأعمال]],'SAP Customer Data'!$B:$B,0),CELL("col",Table_Customer_Data[[#Headers],[CreditLine]]))</f>
        <v>32000</v>
      </c>
      <c r="Y48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3" s="37" t="s">
        <v>855</v>
      </c>
      <c r="AA48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83" s="37" t="s">
        <v>856</v>
      </c>
      <c r="AC483" s="37"/>
      <c r="AD48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3" s="37" t="s">
        <v>856</v>
      </c>
      <c r="AF483" s="37"/>
      <c r="AG48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3" s="37" t="s">
        <v>856</v>
      </c>
      <c r="AI483" s="37"/>
      <c r="AJ48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3" s="37"/>
      <c r="AL483" s="38"/>
      <c r="AM48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3" s="37" t="s">
        <v>856</v>
      </c>
      <c r="AO483" s="41"/>
      <c r="AP48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3" s="37" t="s">
        <v>856</v>
      </c>
      <c r="AR483" s="37"/>
      <c r="AS48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3" s="41" cm="1">
        <f t="array" aca="1" ref="AT483" ca="1">INDEX('SAP Customer Data'!A:Z,MATCH(بيانات_العملاء[[#This Row],[رمز شريك الأعمال]],'SAP Customer Data'!B:B,0),CELL("col",Table_Customer_Data[[#Headers],[CreateDate]]))</f>
        <v>44882</v>
      </c>
      <c r="AU483" s="37"/>
      <c r="AV483" s="41"/>
      <c r="AW483" s="37" t="s">
        <v>2097</v>
      </c>
      <c r="AX483" s="37"/>
    </row>
    <row r="484" spans="1:50" x14ac:dyDescent="0.25">
      <c r="A484" s="36" t="str" cm="1">
        <f t="array" aca="1" ref="A484" ca="1">INDEX('SAP Customer Data'!$A:$AC,MATCH(بيانات_العملاء[[#This Row],[رمز شريك الأعمال]],'SAP Customer Data'!$B:$B,0),CELL("col",Table_Customer_Data[[#Headers],[GroupName]]))</f>
        <v>CS12</v>
      </c>
      <c r="B484" s="35" t="s">
        <v>874</v>
      </c>
      <c r="C484" s="37" t="str" cm="1">
        <f t="array" aca="1" ref="C484" ca="1">INDEX('SAP Customer Data'!$A:$AC,MATCH(بيانات_العملاء[[#This Row],[رمز شريك الأعمال]],'SAP Customer Data'!$B:$B,0),CELL("col",Table_Customer_Data[[#Headers],[CardName]]))</f>
        <v>شركة انارة العميد للتجارة - نقدى</v>
      </c>
      <c r="D484" s="37" t="str">
        <f ca="1">IF(بيانات_العملاء[[#This Row],[حد الائتمان على SAP]]&gt;0,"آجل","نقدى")</f>
        <v>نقدى</v>
      </c>
      <c r="E484" s="37"/>
      <c r="F484" s="37" t="s">
        <v>996</v>
      </c>
      <c r="G484" s="37" t="s">
        <v>856</v>
      </c>
      <c r="H48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84" s="37" t="s">
        <v>854</v>
      </c>
      <c r="J484" s="38">
        <v>45025</v>
      </c>
      <c r="K484" s="37" t="s">
        <v>855</v>
      </c>
      <c r="L484" s="37" t="str">
        <f ca="1">IF(AND(بيانات_العملاء[[#This Row],[السجل التجارى]]="موجود",TODAY()+'Other Data'!$B$23&lt;J484,بيانات_العملاء[[#This Row],[مطابقة اسم العميل بالاسم بالسجل التجارى]]="مطابق"), "سارى", "يجب اعادة طلبه")</f>
        <v>يجب اعادة طلبه</v>
      </c>
      <c r="M484" s="37" t="s">
        <v>854</v>
      </c>
      <c r="N484" s="39" t="str" cm="1">
        <f t="array" aca="1" ref="N484" ca="1">INDEX('SAP Customer Data'!$A:$AC,MATCH(بيانات_العملاء[[#This Row],[رمز شريك الأعمال]],'SAP Customer Data'!$B:$B,0),CELL("col",Table_Customer_Data[[#Headers],[LicTradNum]]))</f>
        <v>311291571400003</v>
      </c>
      <c r="O48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4" s="37" t="s">
        <v>854</v>
      </c>
      <c r="Q484" s="38">
        <v>45342</v>
      </c>
      <c r="R48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84" s="37" t="s">
        <v>1080</v>
      </c>
      <c r="T484" s="40"/>
      <c r="U484" s="41"/>
      <c r="V48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8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84" s="37" cm="1">
        <f t="array" aca="1" ref="X484" ca="1">INDEX('SAP Customer Data'!$A:$AC,MATCH(بيانات_العملاء[[#This Row],[رمز شريك الأعمال]],'SAP Customer Data'!$B:$B,0),CELL("col",Table_Customer_Data[[#Headers],[CreditLine]]))</f>
        <v>0</v>
      </c>
      <c r="Y48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4" s="37"/>
      <c r="AA48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4" s="37" t="s">
        <v>854</v>
      </c>
      <c r="AC484" s="37"/>
      <c r="AD48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4" s="37" t="s">
        <v>854</v>
      </c>
      <c r="AF484" s="41">
        <v>15440</v>
      </c>
      <c r="AG48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4" s="37" t="s">
        <v>856</v>
      </c>
      <c r="AI484" s="37"/>
      <c r="AJ48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4" s="37"/>
      <c r="AL484" s="38"/>
      <c r="AM48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4" s="37" t="s">
        <v>856</v>
      </c>
      <c r="AO484" s="41"/>
      <c r="AP48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4" s="37" t="s">
        <v>856</v>
      </c>
      <c r="AR484" s="37"/>
      <c r="AS48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4" s="41" cm="1">
        <f t="array" aca="1" ref="AT484" ca="1">INDEX('SAP Customer Data'!A:Z,MATCH(بيانات_العملاء[[#This Row],[رمز شريك الأعمال]],'SAP Customer Data'!B:B,0),CELL("col",Table_Customer_Data[[#Headers],[CreateDate]]))</f>
        <v>44898</v>
      </c>
      <c r="AU484" s="37"/>
      <c r="AV484" s="41"/>
      <c r="AW484" s="37" t="s">
        <v>2097</v>
      </c>
      <c r="AX484" s="37"/>
    </row>
    <row r="485" spans="1:50" x14ac:dyDescent="0.25">
      <c r="A485" s="36" t="str" cm="1">
        <f t="array" aca="1" ref="A485" ca="1">INDEX('SAP Customer Data'!$A:$AC,MATCH(بيانات_العملاء[[#This Row],[رمز شريك الأعمال]],'SAP Customer Data'!$B:$B,0),CELL("col",Table_Customer_Data[[#Headers],[GroupName]]))</f>
        <v>CS12</v>
      </c>
      <c r="B485" s="35" t="s">
        <v>876</v>
      </c>
      <c r="C485" s="37" t="str" cm="1">
        <f t="array" aca="1" ref="C485" ca="1">INDEX('SAP Customer Data'!$A:$AC,MATCH(بيانات_العملاء[[#This Row],[رمز شريك الأعمال]],'SAP Customer Data'!$B:$B,0),CELL("col",Table_Customer_Data[[#Headers],[CardName]]))</f>
        <v>شركة ركن الشرق الاوسط للمقاولات -نقدي</v>
      </c>
      <c r="D485" s="37" t="str">
        <f ca="1">IF(بيانات_العملاء[[#This Row],[حد الائتمان على SAP]]&gt;0,"آجل","نقدى")</f>
        <v>نقدى</v>
      </c>
      <c r="E485" s="37"/>
      <c r="F485" s="37" t="s">
        <v>997</v>
      </c>
      <c r="G485" s="37" t="s">
        <v>856</v>
      </c>
      <c r="H48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85" s="37" t="s">
        <v>854</v>
      </c>
      <c r="J485" s="38">
        <v>44912</v>
      </c>
      <c r="K485" s="37" t="s">
        <v>855</v>
      </c>
      <c r="L485" s="37" t="str">
        <f ca="1">IF(AND(بيانات_العملاء[[#This Row],[السجل التجارى]]="موجود",TODAY()+'Other Data'!$B$23&lt;J485,بيانات_العملاء[[#This Row],[مطابقة اسم العميل بالاسم بالسجل التجارى]]="مطابق"), "سارى", "يجب اعادة طلبه")</f>
        <v>يجب اعادة طلبه</v>
      </c>
      <c r="M485" s="37" t="s">
        <v>854</v>
      </c>
      <c r="N485" s="39" t="str" cm="1">
        <f t="array" aca="1" ref="N485" ca="1">INDEX('SAP Customer Data'!$A:$AC,MATCH(بيانات_العملاء[[#This Row],[رمز شريك الأعمال]],'SAP Customer Data'!$B:$B,0),CELL("col",Table_Customer_Data[[#Headers],[LicTradNum]]))</f>
        <v>310165666400003</v>
      </c>
      <c r="O48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5" s="37" t="s">
        <v>854</v>
      </c>
      <c r="Q485" s="38">
        <v>45144</v>
      </c>
      <c r="R48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85" s="37" t="s">
        <v>1080</v>
      </c>
      <c r="T485" s="40"/>
      <c r="U485" s="41"/>
      <c r="V48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8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85" s="37" cm="1">
        <f t="array" aca="1" ref="X485" ca="1">INDEX('SAP Customer Data'!$A:$AC,MATCH(بيانات_العملاء[[#This Row],[رمز شريك الأعمال]],'SAP Customer Data'!$B:$B,0),CELL("col",Table_Customer_Data[[#Headers],[CreditLine]]))</f>
        <v>0</v>
      </c>
      <c r="Y48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5" s="37"/>
      <c r="AA48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5" s="37"/>
      <c r="AC485" s="37"/>
      <c r="AD48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5" s="37"/>
      <c r="AF485" s="37"/>
      <c r="AG48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5" s="37"/>
      <c r="AI485" s="37"/>
      <c r="AJ48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5" s="37"/>
      <c r="AL485" s="38"/>
      <c r="AM48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5" s="37"/>
      <c r="AO485" s="41"/>
      <c r="AP48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5" s="37"/>
      <c r="AR485" s="37"/>
      <c r="AS48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5" s="41" cm="1">
        <f t="array" aca="1" ref="AT485" ca="1">INDEX('SAP Customer Data'!A:Z,MATCH(بيانات_العملاء[[#This Row],[رمز شريك الأعمال]],'SAP Customer Data'!B:B,0),CELL("col",Table_Customer_Data[[#Headers],[CreateDate]]))</f>
        <v>44909</v>
      </c>
      <c r="AU485" s="37"/>
      <c r="AV485" s="41"/>
      <c r="AW485" s="37" t="s">
        <v>2097</v>
      </c>
      <c r="AX485" s="37"/>
    </row>
    <row r="486" spans="1:50" x14ac:dyDescent="0.25">
      <c r="A486" s="36" t="str" cm="1">
        <f t="array" aca="1" ref="A486" ca="1">INDEX('SAP Customer Data'!$A:$AC,MATCH(بيانات_العملاء[[#This Row],[رمز شريك الأعمال]],'SAP Customer Data'!$B:$B,0),CELL("col",Table_Customer_Data[[#Headers],[GroupName]]))</f>
        <v>CS12</v>
      </c>
      <c r="B486" s="35" t="s">
        <v>878</v>
      </c>
      <c r="C486" s="37" t="str" cm="1">
        <f t="array" aca="1" ref="C486" ca="1">INDEX('SAP Customer Data'!$A:$AC,MATCH(بيانات_العملاء[[#This Row],[رمز شريك الأعمال]],'SAP Customer Data'!$B:$B,0),CELL("col",Table_Customer_Data[[#Headers],[CardName]]))</f>
        <v>شركة جملة الدرب الحديث التجارية</v>
      </c>
      <c r="D486" s="37" t="str">
        <f ca="1">IF(بيانات_العملاء[[#This Row],[حد الائتمان على SAP]]&gt;0,"آجل","نقدى")</f>
        <v>آجل</v>
      </c>
      <c r="E486" s="37"/>
      <c r="F486" s="37" t="s">
        <v>996</v>
      </c>
      <c r="G486" s="37" t="s">
        <v>854</v>
      </c>
      <c r="H48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86" s="37" t="s">
        <v>854</v>
      </c>
      <c r="J486" s="38">
        <v>45002</v>
      </c>
      <c r="K486" s="37" t="s">
        <v>855</v>
      </c>
      <c r="L486" s="37" t="str">
        <f ca="1">IF(AND(بيانات_العملاء[[#This Row],[السجل التجارى]]="موجود",TODAY()+'Other Data'!$B$23&lt;J486,بيانات_العملاء[[#This Row],[مطابقة اسم العميل بالاسم بالسجل التجارى]]="مطابق"), "سارى", "يجب اعادة طلبه")</f>
        <v>يجب اعادة طلبه</v>
      </c>
      <c r="M486" s="37" t="s">
        <v>854</v>
      </c>
      <c r="N486" s="39" t="str" cm="1">
        <f t="array" aca="1" ref="N486" ca="1">INDEX('SAP Customer Data'!$A:$AC,MATCH(بيانات_العملاء[[#This Row],[رمز شريك الأعمال]],'SAP Customer Data'!$B:$B,0),CELL("col",Table_Customer_Data[[#Headers],[LicTradNum]]))</f>
        <v>311242601800003</v>
      </c>
      <c r="O48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6" s="37" t="s">
        <v>854</v>
      </c>
      <c r="Q486" s="38">
        <v>44941</v>
      </c>
      <c r="R48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86" s="37" t="s">
        <v>854</v>
      </c>
      <c r="T486" s="40">
        <v>50000</v>
      </c>
      <c r="U486" s="41">
        <v>44929</v>
      </c>
      <c r="V486" s="41">
        <f>IF(بيانات_العملاء[[#This Row],[تاريخ انشاء سند الامر او الاستثناء]]="",0,بيانات_العملاء[[#This Row],[تاريخ انشاء سند الامر او الاستثناء]]+365*3)</f>
        <v>46024</v>
      </c>
      <c r="W48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86" s="37" cm="1">
        <f t="array" aca="1" ref="X486" ca="1">INDEX('SAP Customer Data'!$A:$AC,MATCH(بيانات_العملاء[[#This Row],[رمز شريك الأعمال]],'SAP Customer Data'!$B:$B,0),CELL("col",Table_Customer_Data[[#Headers],[CreditLine]]))</f>
        <v>40000</v>
      </c>
      <c r="Y48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6" s="37" t="s">
        <v>855</v>
      </c>
      <c r="AA48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6" s="37" t="s">
        <v>854</v>
      </c>
      <c r="AC486" s="37"/>
      <c r="AD48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6" s="37" t="s">
        <v>854</v>
      </c>
      <c r="AF486" s="37"/>
      <c r="AG48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6" s="37" t="s">
        <v>856</v>
      </c>
      <c r="AI486" s="37"/>
      <c r="AJ48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6" s="37"/>
      <c r="AL486" s="38"/>
      <c r="AM48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6" s="37" t="s">
        <v>854</v>
      </c>
      <c r="AO486" s="41">
        <v>44862</v>
      </c>
      <c r="AP48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6" s="37" t="s">
        <v>856</v>
      </c>
      <c r="AR486" s="37"/>
      <c r="AS48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6" s="41" cm="1">
        <f t="array" aca="1" ref="AT486" ca="1">INDEX('SAP Customer Data'!A:Z,MATCH(بيانات_العملاء[[#This Row],[رمز شريك الأعمال]],'SAP Customer Data'!B:B,0),CELL("col",Table_Customer_Data[[#Headers],[CreateDate]]))</f>
        <v>44934</v>
      </c>
      <c r="AU486" s="37"/>
      <c r="AV486" s="41"/>
      <c r="AW486" s="37" t="s">
        <v>2097</v>
      </c>
      <c r="AX486" s="37"/>
    </row>
    <row r="487" spans="1:50" x14ac:dyDescent="0.25">
      <c r="A487" s="36" t="str" cm="1">
        <f t="array" aca="1" ref="A487" ca="1">INDEX('SAP Customer Data'!$A:$AC,MATCH(بيانات_العملاء[[#This Row],[رمز شريك الأعمال]],'SAP Customer Data'!$B:$B,0),CELL("col",Table_Customer_Data[[#Headers],[GroupName]]))</f>
        <v>CS12</v>
      </c>
      <c r="B487" s="35" t="s">
        <v>941</v>
      </c>
      <c r="C487" s="37" t="str" cm="1">
        <f t="array" aca="1" ref="C487" ca="1">INDEX('SAP Customer Data'!$A:$AC,MATCH(بيانات_العملاء[[#This Row],[رمز شريك الأعمال]],'SAP Customer Data'!$B:$B,0),CELL("col",Table_Customer_Data[[#Headers],[CardName]]))</f>
        <v>مؤسسة حمود محمد احمد عواجى للتجارة</v>
      </c>
      <c r="D487" s="37" t="str">
        <f ca="1">IF(بيانات_العملاء[[#This Row],[حد الائتمان على SAP]]&gt;0,"آجل","نقدى")</f>
        <v>آجل</v>
      </c>
      <c r="E487" s="37" t="s">
        <v>2107</v>
      </c>
      <c r="F487" s="37" t="s">
        <v>1081</v>
      </c>
      <c r="G487" s="37" t="s">
        <v>854</v>
      </c>
      <c r="H487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87" s="37" t="s">
        <v>854</v>
      </c>
      <c r="J487" s="38">
        <v>45215</v>
      </c>
      <c r="K487" s="37" t="s">
        <v>855</v>
      </c>
      <c r="L487" s="37" t="str">
        <f ca="1">IF(AND(بيانات_العملاء[[#This Row],[السجل التجارى]]="موجود",TODAY()+'Other Data'!$B$23&lt;J487,بيانات_العملاء[[#This Row],[مطابقة اسم العميل بالاسم بالسجل التجارى]]="مطابق"), "سارى", "يجب اعادة طلبه")</f>
        <v>يجب اعادة طلبه</v>
      </c>
      <c r="M487" s="37" t="s">
        <v>854</v>
      </c>
      <c r="N487" s="39" t="str" cm="1">
        <f t="array" aca="1" ref="N487" ca="1">INDEX('SAP Customer Data'!$A:$AC,MATCH(بيانات_العملاء[[#This Row],[رمز شريك الأعمال]],'SAP Customer Data'!$B:$B,0),CELL("col",Table_Customer_Data[[#Headers],[LicTradNum]]))</f>
        <v>300847537400003</v>
      </c>
      <c r="O48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7" s="37" t="s">
        <v>854</v>
      </c>
      <c r="Q487" s="38">
        <v>45075</v>
      </c>
      <c r="R48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87" s="37" t="s">
        <v>854</v>
      </c>
      <c r="T487" s="40">
        <v>50000</v>
      </c>
      <c r="U487" s="41">
        <v>44930</v>
      </c>
      <c r="V487" s="41">
        <f>IF(بيانات_العملاء[[#This Row],[تاريخ انشاء سند الامر او الاستثناء]]="",0,بيانات_العملاء[[#This Row],[تاريخ انشاء سند الامر او الاستثناء]]+365*3)</f>
        <v>46025</v>
      </c>
      <c r="W48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87" s="37" cm="1">
        <f t="array" aca="1" ref="X487" ca="1">INDEX('SAP Customer Data'!$A:$AC,MATCH(بيانات_العملاء[[#This Row],[رمز شريك الأعمال]],'SAP Customer Data'!$B:$B,0),CELL("col",Table_Customer_Data[[#Headers],[CreditLine]]))</f>
        <v>40000</v>
      </c>
      <c r="Y48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7" s="37" t="s">
        <v>855</v>
      </c>
      <c r="AA48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7" s="37" t="s">
        <v>854</v>
      </c>
      <c r="AC487" s="41"/>
      <c r="AD48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7" s="37" t="s">
        <v>854</v>
      </c>
      <c r="AF487" s="41">
        <v>46960</v>
      </c>
      <c r="AG48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487" s="37" t="s">
        <v>856</v>
      </c>
      <c r="AI487" s="37"/>
      <c r="AJ48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7" s="37"/>
      <c r="AL487" s="38"/>
      <c r="AM48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7" s="37" t="s">
        <v>854</v>
      </c>
      <c r="AO487" s="41"/>
      <c r="AP48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7" s="37" t="s">
        <v>856</v>
      </c>
      <c r="AR487" s="37"/>
      <c r="AS48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7" s="41" cm="1">
        <f t="array" aca="1" ref="AT487" ca="1">INDEX('SAP Customer Data'!A:Z,MATCH(بيانات_العملاء[[#This Row],[رمز شريك الأعمال]],'SAP Customer Data'!B:B,0),CELL("col",Table_Customer_Data[[#Headers],[CreateDate]]))</f>
        <v>44937</v>
      </c>
      <c r="AU487" s="37"/>
      <c r="AV487" s="41"/>
      <c r="AW487" s="37" t="s">
        <v>2097</v>
      </c>
      <c r="AX487" s="37"/>
    </row>
    <row r="488" spans="1:50" x14ac:dyDescent="0.25">
      <c r="A488" s="36" t="str" cm="1">
        <f t="array" aca="1" ref="A488" ca="1">INDEX('SAP Customer Data'!$A:$AC,MATCH(بيانات_العملاء[[#This Row],[رمز شريك الأعمال]],'SAP Customer Data'!$B:$B,0),CELL("col",Table_Customer_Data[[#Headers],[GroupName]]))</f>
        <v>CS12</v>
      </c>
      <c r="B488" s="35" t="s">
        <v>942</v>
      </c>
      <c r="C488" s="37" t="str" cm="1">
        <f t="array" aca="1" ref="C488" ca="1">INDEX('SAP Customer Data'!$A:$AC,MATCH(بيانات_العملاء[[#This Row],[رمز شريك الأعمال]],'SAP Customer Data'!$B:$B,0),CELL("col",Table_Customer_Data[[#Headers],[CardName]]))</f>
        <v>شركة محفوظ المميز الرئيسي للتجارة</v>
      </c>
      <c r="D488" s="37" t="str">
        <f ca="1">IF(بيانات_العملاء[[#This Row],[حد الائتمان على SAP]]&gt;0,"آجل","نقدى")</f>
        <v>آجل</v>
      </c>
      <c r="E488" s="37"/>
      <c r="F488" s="37" t="s">
        <v>996</v>
      </c>
      <c r="G488" s="37" t="s">
        <v>854</v>
      </c>
      <c r="H48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88" s="37" t="s">
        <v>854</v>
      </c>
      <c r="J488" s="38">
        <v>45046</v>
      </c>
      <c r="K488" s="37" t="s">
        <v>855</v>
      </c>
      <c r="L488" s="37" t="str">
        <f ca="1">IF(AND(بيانات_العملاء[[#This Row],[السجل التجارى]]="موجود",TODAY()+'Other Data'!$B$23&lt;J488,بيانات_العملاء[[#This Row],[مطابقة اسم العميل بالاسم بالسجل التجارى]]="مطابق"), "سارى", "يجب اعادة طلبه")</f>
        <v>يجب اعادة طلبه</v>
      </c>
      <c r="M488" s="37" t="s">
        <v>854</v>
      </c>
      <c r="N488" s="39" t="str" cm="1">
        <f t="array" aca="1" ref="N488" ca="1">INDEX('SAP Customer Data'!$A:$AC,MATCH(بيانات_العملاء[[#This Row],[رمز شريك الأعمال]],'SAP Customer Data'!$B:$B,0),CELL("col",Table_Customer_Data[[#Headers],[LicTradNum]]))</f>
        <v>311288866100003</v>
      </c>
      <c r="O48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8" s="37" t="s">
        <v>854</v>
      </c>
      <c r="Q488" s="38">
        <v>44725</v>
      </c>
      <c r="R48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88" s="37" t="s">
        <v>854</v>
      </c>
      <c r="T488" s="40">
        <v>50000</v>
      </c>
      <c r="U488" s="41">
        <v>44931</v>
      </c>
      <c r="V488" s="41">
        <f>IF(بيانات_العملاء[[#This Row],[تاريخ انشاء سند الامر او الاستثناء]]="",0,بيانات_العملاء[[#This Row],[تاريخ انشاء سند الامر او الاستثناء]]+365*3)</f>
        <v>46026</v>
      </c>
      <c r="W48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88" s="37" cm="1">
        <f t="array" aca="1" ref="X488" ca="1">INDEX('SAP Customer Data'!$A:$AC,MATCH(بيانات_العملاء[[#This Row],[رمز شريك الأعمال]],'SAP Customer Data'!$B:$B,0),CELL("col",Table_Customer_Data[[#Headers],[CreditLine]]))</f>
        <v>40000</v>
      </c>
      <c r="Y48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8" s="37" t="s">
        <v>855</v>
      </c>
      <c r="AA48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8" s="37" t="s">
        <v>854</v>
      </c>
      <c r="AC488" s="37"/>
      <c r="AD48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8" s="37" t="s">
        <v>856</v>
      </c>
      <c r="AF488" s="37"/>
      <c r="AG48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8" s="37" t="s">
        <v>856</v>
      </c>
      <c r="AI488" s="37"/>
      <c r="AJ48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8" s="37"/>
      <c r="AL488" s="38"/>
      <c r="AM48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8" s="37" t="s">
        <v>854</v>
      </c>
      <c r="AO488" s="41">
        <v>44906</v>
      </c>
      <c r="AP48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8" s="37" t="s">
        <v>856</v>
      </c>
      <c r="AR488" s="37"/>
      <c r="AS48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8" s="41" cm="1">
        <f t="array" aca="1" ref="AT488" ca="1">INDEX('SAP Customer Data'!A:Z,MATCH(بيانات_العملاء[[#This Row],[رمز شريك الأعمال]],'SAP Customer Data'!B:B,0),CELL("col",Table_Customer_Data[[#Headers],[CreateDate]]))</f>
        <v>44938</v>
      </c>
      <c r="AU488" s="37"/>
      <c r="AV488" s="41"/>
      <c r="AW488" s="37" t="s">
        <v>2097</v>
      </c>
      <c r="AX488" s="37"/>
    </row>
    <row r="489" spans="1:50" x14ac:dyDescent="0.25">
      <c r="A489" s="36" t="str" cm="1">
        <f t="array" aca="1" ref="A489" ca="1">INDEX('SAP Customer Data'!$A:$AC,MATCH(بيانات_العملاء[[#This Row],[رمز شريك الأعمال]],'SAP Customer Data'!$B:$B,0),CELL("col",Table_Customer_Data[[#Headers],[GroupName]]))</f>
        <v>CS12</v>
      </c>
      <c r="B489" s="35" t="s">
        <v>943</v>
      </c>
      <c r="C489" s="37" t="str" cm="1">
        <f t="array" aca="1" ref="C489" ca="1">INDEX('SAP Customer Data'!$A:$AC,MATCH(بيانات_العملاء[[#This Row],[رمز شريك الأعمال]],'SAP Customer Data'!$B:$B,0),CELL("col",Table_Customer_Data[[#Headers],[CardName]]))</f>
        <v>مؤسسة حصن الاعمار للتجارة - نقدى</v>
      </c>
      <c r="D489" s="37" t="str">
        <f ca="1">IF(بيانات_العملاء[[#This Row],[حد الائتمان على SAP]]&gt;0,"آجل","نقدى")</f>
        <v>نقدى</v>
      </c>
      <c r="E489" s="37" t="s">
        <v>1005</v>
      </c>
      <c r="F489" s="37" t="s">
        <v>1081</v>
      </c>
      <c r="G489" s="37" t="s">
        <v>856</v>
      </c>
      <c r="H48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89" s="37" t="s">
        <v>854</v>
      </c>
      <c r="J489" s="38">
        <v>45218</v>
      </c>
      <c r="K489" s="37" t="s">
        <v>855</v>
      </c>
      <c r="L489" s="37" t="str">
        <f ca="1">IF(AND(بيانات_العملاء[[#This Row],[السجل التجارى]]="موجود",TODAY()+'Other Data'!$B$23&lt;J489,بيانات_العملاء[[#This Row],[مطابقة اسم العميل بالاسم بالسجل التجارى]]="مطابق"), "سارى", "يجب اعادة طلبه")</f>
        <v>سارى</v>
      </c>
      <c r="M489" s="37" t="s">
        <v>854</v>
      </c>
      <c r="N489" s="39" t="str" cm="1">
        <f t="array" aca="1" ref="N489" ca="1">INDEX('SAP Customer Data'!$A:$AC,MATCH(بيانات_العملاء[[#This Row],[رمز شريك الأعمال]],'SAP Customer Data'!$B:$B,0),CELL("col",Table_Customer_Data[[#Headers],[LicTradNum]]))</f>
        <v>310782104300003</v>
      </c>
      <c r="O48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89" s="37" t="s">
        <v>856</v>
      </c>
      <c r="Q489" s="38"/>
      <c r="R48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89" s="37" t="s">
        <v>1080</v>
      </c>
      <c r="T489" s="40"/>
      <c r="U489" s="41"/>
      <c r="V48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8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89" s="37" cm="1">
        <f t="array" aca="1" ref="X489" ca="1">INDEX('SAP Customer Data'!$A:$AC,MATCH(بيانات_العملاء[[#This Row],[رمز شريك الأعمال]],'SAP Customer Data'!$B:$B,0),CELL("col",Table_Customer_Data[[#Headers],[CreditLine]]))</f>
        <v>0</v>
      </c>
      <c r="Y48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89" s="37"/>
      <c r="AA48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89" s="37" t="s">
        <v>856</v>
      </c>
      <c r="AC489" s="37"/>
      <c r="AD48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89" s="37" t="s">
        <v>856</v>
      </c>
      <c r="AF489" s="37"/>
      <c r="AG48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89" s="37" t="s">
        <v>856</v>
      </c>
      <c r="AI489" s="37"/>
      <c r="AJ48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89" s="37"/>
      <c r="AL489" s="38"/>
      <c r="AM48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89" s="37" t="s">
        <v>856</v>
      </c>
      <c r="AO489" s="41"/>
      <c r="AP48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89" s="37" t="s">
        <v>856</v>
      </c>
      <c r="AR489" s="37"/>
      <c r="AS48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89" s="41" cm="1">
        <f t="array" aca="1" ref="AT489" ca="1">INDEX('SAP Customer Data'!A:Z,MATCH(بيانات_العملاء[[#This Row],[رمز شريك الأعمال]],'SAP Customer Data'!B:B,0),CELL("col",Table_Customer_Data[[#Headers],[CreateDate]]))</f>
        <v>44961</v>
      </c>
      <c r="AU489" s="37"/>
      <c r="AV489" s="41"/>
      <c r="AW489" s="37" t="s">
        <v>2097</v>
      </c>
      <c r="AX489" s="37"/>
    </row>
    <row r="490" spans="1:50" x14ac:dyDescent="0.25">
      <c r="A490" s="36" t="str" cm="1">
        <f t="array" aca="1" ref="A490" ca="1">INDEX('SAP Customer Data'!$A:$AC,MATCH(بيانات_العملاء[[#This Row],[رمز شريك الأعمال]],'SAP Customer Data'!$B:$B,0),CELL("col",Table_Customer_Data[[#Headers],[GroupName]]))</f>
        <v>CS12</v>
      </c>
      <c r="B490" s="35" t="s">
        <v>944</v>
      </c>
      <c r="C490" s="37" t="str" cm="1">
        <f t="array" aca="1" ref="C490" ca="1">INDEX('SAP Customer Data'!$A:$AC,MATCH(بيانات_العملاء[[#This Row],[رمز شريك الأعمال]],'SAP Customer Data'!$B:$B,0),CELL("col",Table_Customer_Data[[#Headers],[CardName]]))</f>
        <v>مؤسسة الدقة العمرانية لمواد البناء</v>
      </c>
      <c r="D490" s="37" t="str">
        <f ca="1">IF(بيانات_العملاء[[#This Row],[حد الائتمان على SAP]]&gt;0,"آجل","نقدى")</f>
        <v>آجل</v>
      </c>
      <c r="E490" s="37" t="s">
        <v>1006</v>
      </c>
      <c r="F490" s="37" t="s">
        <v>1081</v>
      </c>
      <c r="G490" s="37" t="s">
        <v>854</v>
      </c>
      <c r="H49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90" s="37" t="s">
        <v>854</v>
      </c>
      <c r="J490" s="38">
        <v>45438</v>
      </c>
      <c r="K490" s="37" t="s">
        <v>855</v>
      </c>
      <c r="L490" s="37" t="str">
        <f ca="1">IF(AND(بيانات_العملاء[[#This Row],[السجل التجارى]]="موجود",TODAY()+'Other Data'!$B$23&lt;J490,بيانات_العملاء[[#This Row],[مطابقة اسم العميل بالاسم بالسجل التجارى]]="مطابق"), "سارى", "يجب اعادة طلبه")</f>
        <v>سارى</v>
      </c>
      <c r="M490" s="37" t="s">
        <v>854</v>
      </c>
      <c r="N490" s="39" t="str" cm="1">
        <f t="array" aca="1" ref="N490" ca="1">INDEX('SAP Customer Data'!$A:$AC,MATCH(بيانات_العملاء[[#This Row],[رمز شريك الأعمال]],'SAP Customer Data'!$B:$B,0),CELL("col",Table_Customer_Data[[#Headers],[LicTradNum]]))</f>
        <v>310965030300003</v>
      </c>
      <c r="O49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0" s="37" t="s">
        <v>854</v>
      </c>
      <c r="Q490" s="38">
        <v>45179</v>
      </c>
      <c r="R49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490" s="37" t="s">
        <v>854</v>
      </c>
      <c r="T490" s="40">
        <v>50000</v>
      </c>
      <c r="U490" s="41">
        <v>44972</v>
      </c>
      <c r="V490" s="41">
        <f>IF(بيانات_العملاء[[#This Row],[تاريخ انشاء سند الامر او الاستثناء]]="",0,بيانات_العملاء[[#This Row],[تاريخ انشاء سند الامر او الاستثناء]]+365*3)</f>
        <v>46067</v>
      </c>
      <c r="W49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90" s="37" cm="1">
        <f t="array" aca="1" ref="X490" ca="1">INDEX('SAP Customer Data'!$A:$AC,MATCH(بيانات_العملاء[[#This Row],[رمز شريك الأعمال]],'SAP Customer Data'!$B:$B,0),CELL("col",Table_Customer_Data[[#Headers],[CreditLine]]))</f>
        <v>40000</v>
      </c>
      <c r="Y49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0" s="37" t="s">
        <v>855</v>
      </c>
      <c r="AA49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0" s="37" t="s">
        <v>854</v>
      </c>
      <c r="AC490" s="41">
        <v>49665</v>
      </c>
      <c r="AD49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490" s="37" t="s">
        <v>854</v>
      </c>
      <c r="AF490" s="41">
        <v>46647</v>
      </c>
      <c r="AG49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490" s="37" t="s">
        <v>854</v>
      </c>
      <c r="AI490" s="37"/>
      <c r="AJ49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90" s="37" t="s">
        <v>854</v>
      </c>
      <c r="AL490" s="41">
        <v>46647</v>
      </c>
      <c r="AM49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سارى</v>
      </c>
      <c r="AN490" s="37" t="s">
        <v>854</v>
      </c>
      <c r="AO490" s="41">
        <v>44856</v>
      </c>
      <c r="AP49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0" s="37" t="s">
        <v>856</v>
      </c>
      <c r="AR490" s="37"/>
      <c r="AS49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90" s="41" cm="1">
        <f t="array" aca="1" ref="AT490" ca="1">INDEX('SAP Customer Data'!A:Z,MATCH(بيانات_العملاء[[#This Row],[رمز شريك الأعمال]],'SAP Customer Data'!B:B,0),CELL("col",Table_Customer_Data[[#Headers],[CreateDate]]))</f>
        <v>44990</v>
      </c>
      <c r="AU490" s="37"/>
      <c r="AV490" s="41"/>
      <c r="AW490" s="37" t="s">
        <v>2097</v>
      </c>
      <c r="AX490" s="37"/>
    </row>
    <row r="491" spans="1:50" x14ac:dyDescent="0.25">
      <c r="A491" s="36" t="str" cm="1">
        <f t="array" aca="1" ref="A491" ca="1">INDEX('SAP Customer Data'!$A:$AC,MATCH(بيانات_العملاء[[#This Row],[رمز شريك الأعمال]],'SAP Customer Data'!$B:$B,0),CELL("col",Table_Customer_Data[[#Headers],[GroupName]]))</f>
        <v>CS12</v>
      </c>
      <c r="B491" s="35" t="s">
        <v>1017</v>
      </c>
      <c r="C491" s="37" t="str" cm="1">
        <f t="array" aca="1" ref="C491" ca="1">INDEX('SAP Customer Data'!$A:$AC,MATCH(بيانات_العملاء[[#This Row],[رمز شريك الأعمال]],'SAP Customer Data'!$B:$B,0),CELL("col",Table_Customer_Data[[#Headers],[CardName]]))</f>
        <v>شركة تخصص الاعمار للتجارة</v>
      </c>
      <c r="D491" s="37" t="str">
        <f ca="1">IF(بيانات_العملاء[[#This Row],[حد الائتمان على SAP]]&gt;0,"آجل","نقدى")</f>
        <v>آجل</v>
      </c>
      <c r="E491" s="37"/>
      <c r="F491" s="46" t="s">
        <v>1019</v>
      </c>
      <c r="G491" s="37" t="s">
        <v>854</v>
      </c>
      <c r="H49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491" s="37" t="s">
        <v>854</v>
      </c>
      <c r="J491" s="38">
        <v>45219</v>
      </c>
      <c r="K491" s="41" t="s">
        <v>855</v>
      </c>
      <c r="L491" s="37" t="str">
        <f ca="1">IF(AND(بيانات_العملاء[[#This Row],[السجل التجارى]]="موجود",TODAY()+'Other Data'!$B$23&lt;J491,بيانات_العملاء[[#This Row],[مطابقة اسم العميل بالاسم بالسجل التجارى]]="مطابق"), "سارى", "يجب اعادة طلبه")</f>
        <v>سارى</v>
      </c>
      <c r="M491" s="37" t="s">
        <v>854</v>
      </c>
      <c r="N491" s="39" t="str" cm="1">
        <f t="array" aca="1" ref="N491" ca="1">INDEX('SAP Customer Data'!$A:$AC,MATCH(بيانات_العملاء[[#This Row],[رمز شريك الأعمال]],'SAP Customer Data'!$B:$B,0),CELL("col",Table_Customer_Data[[#Headers],[LicTradNum]]))</f>
        <v>311157027100003</v>
      </c>
      <c r="O49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1" s="37" t="s">
        <v>854</v>
      </c>
      <c r="Q491" s="38">
        <v>45688</v>
      </c>
      <c r="R49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491" s="37" t="s">
        <v>854</v>
      </c>
      <c r="T491" s="40">
        <v>50000</v>
      </c>
      <c r="U491" s="41">
        <v>44955</v>
      </c>
      <c r="V491" s="41">
        <f>IF(بيانات_العملاء[[#This Row],[تاريخ انشاء سند الامر او الاستثناء]]="",0,بيانات_العملاء[[#This Row],[تاريخ انشاء سند الامر او الاستثناء]]+365*3)</f>
        <v>46050</v>
      </c>
      <c r="W49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491" s="37" cm="1">
        <f t="array" aca="1" ref="X491" ca="1">INDEX('SAP Customer Data'!$A:$AC,MATCH(بيانات_العملاء[[#This Row],[رمز شريك الأعمال]],'SAP Customer Data'!$B:$B,0),CELL("col",Table_Customer_Data[[#Headers],[CreditLine]]))</f>
        <v>40000</v>
      </c>
      <c r="Y49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1" s="37" t="s">
        <v>855</v>
      </c>
      <c r="AA49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1" s="37" t="s">
        <v>856</v>
      </c>
      <c r="AC491" s="41"/>
      <c r="AD49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1" s="37" t="s">
        <v>854</v>
      </c>
      <c r="AF491" s="41"/>
      <c r="AG49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491" s="37" t="s">
        <v>856</v>
      </c>
      <c r="AI491" s="41"/>
      <c r="AJ49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491" s="37"/>
      <c r="AL491" s="38"/>
      <c r="AM49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1" s="37" t="s">
        <v>854</v>
      </c>
      <c r="AO491" s="41">
        <v>44879</v>
      </c>
      <c r="AP49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1" s="37" t="s">
        <v>856</v>
      </c>
      <c r="AR491" s="37"/>
      <c r="AS49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491" s="41" cm="1">
        <f t="array" aca="1" ref="AT491" ca="1">INDEX('SAP Customer Data'!A:Z,MATCH(بيانات_العملاء[[#This Row],[رمز شريك الأعمال]],'SAP Customer Data'!B:B,0),CELL("col",Table_Customer_Data[[#Headers],[CreateDate]]))</f>
        <v>45027</v>
      </c>
      <c r="AU491" s="37" t="s">
        <v>1020</v>
      </c>
      <c r="AV491" s="41"/>
      <c r="AW491" s="37" t="s">
        <v>2097</v>
      </c>
      <c r="AX491" s="37"/>
    </row>
    <row r="492" spans="1:50" x14ac:dyDescent="0.25">
      <c r="A492" s="36" t="str" cm="1">
        <f t="array" aca="1" ref="A492" ca="1">INDEX('SAP Customer Data'!$A:$AC,MATCH(بيانات_العملاء[[#This Row],[رمز شريك الأعمال]],'SAP Customer Data'!$B:$B,0),CELL("col",Table_Customer_Data[[#Headers],[GroupName]]))</f>
        <v>CS12</v>
      </c>
      <c r="B492" s="35" t="s">
        <v>1024</v>
      </c>
      <c r="C492" s="37" t="str" cm="1">
        <f t="array" aca="1" ref="C492" ca="1">INDEX('SAP Customer Data'!$A:$AC,MATCH(بيانات_العملاء[[#This Row],[رمز شريك الأعمال]],'SAP Customer Data'!$B:$B,0),CELL("col",Table_Customer_Data[[#Headers],[CardName]]))</f>
        <v>مؤسسة سعيد محمد حنبوط القحطانى لمواد البناء - نقدى</v>
      </c>
      <c r="D492" s="37" t="str">
        <f ca="1">IF(بيانات_العملاء[[#This Row],[حد الائتمان على SAP]]&gt;0,"آجل","نقدى")</f>
        <v>نقدى</v>
      </c>
      <c r="E492" s="46"/>
      <c r="F492" s="46" t="s">
        <v>1082</v>
      </c>
      <c r="G492" s="37" t="s">
        <v>856</v>
      </c>
      <c r="H49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92" s="37" t="s">
        <v>856</v>
      </c>
      <c r="J492" s="38"/>
      <c r="K492" s="41"/>
      <c r="L492" s="37" t="str">
        <f ca="1">IF(AND(بيانات_العملاء[[#This Row],[السجل التجارى]]="موجود",TODAY()+'Other Data'!$B$23&lt;J492,بيانات_العملاء[[#This Row],[مطابقة اسم العميل بالاسم بالسجل التجارى]]="مطابق"), "سارى", "يجب اعادة طلبه")</f>
        <v>يجب اعادة طلبه</v>
      </c>
      <c r="M492" s="37" t="s">
        <v>854</v>
      </c>
      <c r="N492" s="39" t="str" cm="1">
        <f t="array" aca="1" ref="N492" ca="1">INDEX('SAP Customer Data'!$A:$AC,MATCH(بيانات_العملاء[[#This Row],[رمز شريك الأعمال]],'SAP Customer Data'!$B:$B,0),CELL("col",Table_Customer_Data[[#Headers],[LicTradNum]]))</f>
        <v>310099902900003</v>
      </c>
      <c r="O49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2" s="37" t="s">
        <v>854</v>
      </c>
      <c r="Q492" s="38">
        <v>44971</v>
      </c>
      <c r="R492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92" s="37" t="s">
        <v>1080</v>
      </c>
      <c r="T492" s="40"/>
      <c r="U492" s="41"/>
      <c r="V49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9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92" s="37" cm="1">
        <f t="array" aca="1" ref="X492" ca="1">INDEX('SAP Customer Data'!$A:$AC,MATCH(بيانات_العملاء[[#This Row],[رمز شريك الأعمال]],'SAP Customer Data'!$B:$B,0),CELL("col",Table_Customer_Data[[#Headers],[CreditLine]]))</f>
        <v>0</v>
      </c>
      <c r="Y49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2" s="37"/>
      <c r="AA49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2" s="37" t="s">
        <v>856</v>
      </c>
      <c r="AC492" s="41"/>
      <c r="AD492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2" s="37" t="s">
        <v>856</v>
      </c>
      <c r="AF492" s="41"/>
      <c r="AG49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92" s="37" t="s">
        <v>856</v>
      </c>
      <c r="AI492" s="41"/>
      <c r="AJ49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92" s="37"/>
      <c r="AL492" s="38"/>
      <c r="AM49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2" s="37" t="s">
        <v>856</v>
      </c>
      <c r="AO492" s="41"/>
      <c r="AP49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2" s="37" t="s">
        <v>856</v>
      </c>
      <c r="AR492" s="37"/>
      <c r="AS49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92" s="41" cm="1">
        <f t="array" aca="1" ref="AT492" ca="1">INDEX('SAP Customer Data'!A:Z,MATCH(بيانات_العملاء[[#This Row],[رمز شريك الأعمال]],'SAP Customer Data'!B:B,0),CELL("col",Table_Customer_Data[[#Headers],[CreateDate]]))</f>
        <v>45032</v>
      </c>
      <c r="AU492" s="37"/>
      <c r="AV492" s="41"/>
      <c r="AW492" s="37" t="s">
        <v>2097</v>
      </c>
      <c r="AX492" s="37"/>
    </row>
    <row r="493" spans="1:50" x14ac:dyDescent="0.25">
      <c r="A493" s="36" t="str" cm="1">
        <f t="array" aca="1" ref="A493" ca="1">INDEX('SAP Customer Data'!$A:$AC,MATCH(بيانات_العملاء[[#This Row],[رمز شريك الأعمال]],'SAP Customer Data'!$B:$B,0),CELL("col",Table_Customer_Data[[#Headers],[GroupName]]))</f>
        <v>CS12</v>
      </c>
      <c r="B493" s="35" t="s">
        <v>1037</v>
      </c>
      <c r="C493" s="37" t="str" cm="1">
        <f t="array" aca="1" ref="C493" ca="1">INDEX('SAP Customer Data'!$A:$AC,MATCH(بيانات_العملاء[[#This Row],[رمز شريك الأعمال]],'SAP Customer Data'!$B:$B,0),CELL("col",Table_Customer_Data[[#Headers],[CardName]]))</f>
        <v>مؤسسة محمد سالم بن سعد المهري للتجارة - نقدى</v>
      </c>
      <c r="D493" s="37" t="str">
        <f ca="1">IF(بيانات_العملاء[[#This Row],[حد الائتمان على SAP]]&gt;0,"آجل","نقدى")</f>
        <v>نقدى</v>
      </c>
      <c r="E493" s="46" t="s">
        <v>1039</v>
      </c>
      <c r="F493" s="46" t="s">
        <v>1081</v>
      </c>
      <c r="G493" s="37" t="s">
        <v>856</v>
      </c>
      <c r="H49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93" s="37" t="s">
        <v>854</v>
      </c>
      <c r="J493" s="43">
        <v>46047</v>
      </c>
      <c r="K493" s="41" t="s">
        <v>855</v>
      </c>
      <c r="L493" s="37" t="str">
        <f ca="1">IF(AND(بيانات_العملاء[[#This Row],[السجل التجارى]]="موجود",TODAY()+'Other Data'!$B$23&lt;J493,بيانات_العملاء[[#This Row],[مطابقة اسم العميل بالاسم بالسجل التجارى]]="مطابق"), "سارى", "يجب اعادة طلبه")</f>
        <v>سارى</v>
      </c>
      <c r="M493" s="37" t="s">
        <v>854</v>
      </c>
      <c r="N493" s="39" t="str" cm="1">
        <f t="array" aca="1" ref="N493" ca="1">INDEX('SAP Customer Data'!$A:$AC,MATCH(بيانات_العملاء[[#This Row],[رمز شريك الأعمال]],'SAP Customer Data'!$B:$B,0),CELL("col",Table_Customer_Data[[#Headers],[LicTradNum]]))</f>
        <v>310389704400003</v>
      </c>
      <c r="O49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3" s="37" t="s">
        <v>856</v>
      </c>
      <c r="Q493" s="38"/>
      <c r="R493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93" s="37" t="s">
        <v>1080</v>
      </c>
      <c r="T493" s="40"/>
      <c r="U493" s="41"/>
      <c r="V49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9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93" s="37" cm="1">
        <f t="array" aca="1" ref="X493" ca="1">INDEX('SAP Customer Data'!$A:$AC,MATCH(بيانات_العملاء[[#This Row],[رمز شريك الأعمال]],'SAP Customer Data'!$B:$B,0),CELL("col",Table_Customer_Data[[#Headers],[CreditLine]]))</f>
        <v>0</v>
      </c>
      <c r="Y49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3" s="37"/>
      <c r="AA49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3" s="37" t="s">
        <v>856</v>
      </c>
      <c r="AC493" s="41"/>
      <c r="AD493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3" s="37" t="s">
        <v>856</v>
      </c>
      <c r="AF493" s="41"/>
      <c r="AG49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93" s="37" t="s">
        <v>856</v>
      </c>
      <c r="AI493" s="41"/>
      <c r="AJ49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93" s="37"/>
      <c r="AL493" s="38"/>
      <c r="AM49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3" s="37" t="s">
        <v>856</v>
      </c>
      <c r="AO493" s="41"/>
      <c r="AP49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3" s="37" t="s">
        <v>856</v>
      </c>
      <c r="AR493" s="37"/>
      <c r="AS49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93" s="41" cm="1">
        <f t="array" aca="1" ref="AT493" ca="1">INDEX('SAP Customer Data'!A:Z,MATCH(بيانات_العملاء[[#This Row],[رمز شريك الأعمال]],'SAP Customer Data'!B:B,0),CELL("col",Table_Customer_Data[[#Headers],[CreateDate]]))</f>
        <v>45047</v>
      </c>
      <c r="AU493" s="37"/>
      <c r="AV493" s="41"/>
      <c r="AW493" s="37" t="s">
        <v>2097</v>
      </c>
      <c r="AX493" s="37"/>
    </row>
    <row r="494" spans="1:50" x14ac:dyDescent="0.25">
      <c r="A494" s="36" t="str" cm="1">
        <f t="array" aca="1" ref="A494" ca="1">INDEX('SAP Customer Data'!$A:$AC,MATCH(بيانات_العملاء[[#This Row],[رمز شريك الأعمال]],'SAP Customer Data'!$B:$B,0),CELL("col",Table_Customer_Data[[#Headers],[GroupName]]))</f>
        <v>CS12</v>
      </c>
      <c r="B494" s="35" t="s">
        <v>1040</v>
      </c>
      <c r="C494" s="37" t="str" cm="1">
        <f t="array" aca="1" ref="C494" ca="1">INDEX('SAP Customer Data'!$A:$AC,MATCH(بيانات_العملاء[[#This Row],[رمز شريك الأعمال]],'SAP Customer Data'!$B:$B,0),CELL("col",Table_Customer_Data[[#Headers],[CardName]]))</f>
        <v>مؤسسة اجيال العود التجارية - نقدى</v>
      </c>
      <c r="D494" s="37" t="str">
        <f ca="1">IF(بيانات_العملاء[[#This Row],[حد الائتمان على SAP]]&gt;0,"آجل","نقدى")</f>
        <v>نقدى</v>
      </c>
      <c r="E494" s="46" t="s">
        <v>1042</v>
      </c>
      <c r="F494" s="46" t="s">
        <v>1081</v>
      </c>
      <c r="G494" s="37" t="s">
        <v>856</v>
      </c>
      <c r="H49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94" s="37" t="s">
        <v>854</v>
      </c>
      <c r="J494" s="43">
        <v>45407</v>
      </c>
      <c r="K494" s="41" t="s">
        <v>855</v>
      </c>
      <c r="L494" s="37" t="str">
        <f ca="1">IF(AND(بيانات_العملاء[[#This Row],[السجل التجارى]]="موجود",TODAY()+'Other Data'!$B$23&lt;J494,بيانات_العملاء[[#This Row],[مطابقة اسم العميل بالاسم بالسجل التجارى]]="مطابق"), "سارى", "يجب اعادة طلبه")</f>
        <v>سارى</v>
      </c>
      <c r="M494" s="37" t="s">
        <v>854</v>
      </c>
      <c r="N494" s="39" t="str" cm="1">
        <f t="array" aca="1" ref="N494" ca="1">INDEX('SAP Customer Data'!$A:$AC,MATCH(بيانات_العملاء[[#This Row],[رمز شريك الأعمال]],'SAP Customer Data'!$B:$B,0),CELL("col",Table_Customer_Data[[#Headers],[LicTradNum]]))</f>
        <v>310381554200003</v>
      </c>
      <c r="O49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4" s="37" t="s">
        <v>854</v>
      </c>
      <c r="Q494" s="38">
        <v>45548</v>
      </c>
      <c r="R494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494" s="37" t="s">
        <v>1080</v>
      </c>
      <c r="T494" s="40"/>
      <c r="U494" s="41"/>
      <c r="V49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9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94" s="37" cm="1">
        <f t="array" aca="1" ref="X494" ca="1">INDEX('SAP Customer Data'!$A:$AC,MATCH(بيانات_العملاء[[#This Row],[رمز شريك الأعمال]],'SAP Customer Data'!$B:$B,0),CELL("col",Table_Customer_Data[[#Headers],[CreditLine]]))</f>
        <v>0</v>
      </c>
      <c r="Y49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4" s="37"/>
      <c r="AA49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4" s="37" t="s">
        <v>856</v>
      </c>
      <c r="AC494" s="41"/>
      <c r="AD494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4" s="37" t="s">
        <v>856</v>
      </c>
      <c r="AF494" s="41"/>
      <c r="AG49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94" s="37" t="s">
        <v>856</v>
      </c>
      <c r="AI494" s="41"/>
      <c r="AJ49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94" s="37"/>
      <c r="AL494" s="38"/>
      <c r="AM49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4" s="37" t="s">
        <v>856</v>
      </c>
      <c r="AO494" s="41"/>
      <c r="AP49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4" s="37" t="s">
        <v>856</v>
      </c>
      <c r="AR494" s="37"/>
      <c r="AS49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94" s="41" cm="1">
        <f t="array" aca="1" ref="AT494" ca="1">INDEX('SAP Customer Data'!A:Z,MATCH(بيانات_العملاء[[#This Row],[رمز شريك الأعمال]],'SAP Customer Data'!B:B,0),CELL("col",Table_Customer_Data[[#Headers],[CreateDate]]))</f>
        <v>45045</v>
      </c>
      <c r="AU494" s="41"/>
      <c r="AV494" s="41"/>
      <c r="AW494" s="37" t="s">
        <v>2097</v>
      </c>
      <c r="AX494" s="37"/>
    </row>
    <row r="495" spans="1:50" x14ac:dyDescent="0.25">
      <c r="A495" s="36" t="str" cm="1">
        <f t="array" aca="1" ref="A495" ca="1">INDEX('SAP Customer Data'!$A:$AC,MATCH(بيانات_العملاء[[#This Row],[رمز شريك الأعمال]],'SAP Customer Data'!$B:$B,0),CELL("col",Table_Customer_Data[[#Headers],[GroupName]]))</f>
        <v>CS12</v>
      </c>
      <c r="B495" s="35" t="s">
        <v>1056</v>
      </c>
      <c r="C495" s="37" t="str" cm="1">
        <f t="array" aca="1" ref="C495" ca="1">INDEX('SAP Customer Data'!$A:$AC,MATCH(بيانات_العملاء[[#This Row],[رمز شريك الأعمال]],'SAP Customer Data'!$B:$B,0),CELL("col",Table_Customer_Data[[#Headers],[CardName]]))</f>
        <v>مؤسسة ركن وضوح البيان للأدوات الكهربائية - نقدى</v>
      </c>
      <c r="D495" s="37" t="str">
        <f ca="1">IF(بيانات_العملاء[[#This Row],[حد الائتمان على SAP]]&gt;0,"آجل","نقدى")</f>
        <v>نقدى</v>
      </c>
      <c r="E495" s="46" t="s">
        <v>1057</v>
      </c>
      <c r="F495" s="46" t="s">
        <v>1081</v>
      </c>
      <c r="G495" s="37" t="s">
        <v>856</v>
      </c>
      <c r="H49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95" s="37" t="s">
        <v>854</v>
      </c>
      <c r="J495" s="43">
        <v>45347</v>
      </c>
      <c r="K495" s="41" t="s">
        <v>855</v>
      </c>
      <c r="L495" s="37" t="str">
        <f ca="1">IF(AND(بيانات_العملاء[[#This Row],[السجل التجارى]]="موجود",TODAY()+'Other Data'!$B$23&lt;J495,بيانات_العملاء[[#This Row],[مطابقة اسم العميل بالاسم بالسجل التجارى]]="مطابق"), "سارى", "يجب اعادة طلبه")</f>
        <v>سارى</v>
      </c>
      <c r="M495" s="37" t="s">
        <v>854</v>
      </c>
      <c r="N495" s="39" t="str" cm="1">
        <f t="array" aca="1" ref="N495" ca="1">INDEX('SAP Customer Data'!$A:$AC,MATCH(بيانات_العملاء[[#This Row],[رمز شريك الأعمال]],'SAP Customer Data'!$B:$B,0),CELL("col",Table_Customer_Data[[#Headers],[LicTradNum]]))</f>
        <v>310902101800003</v>
      </c>
      <c r="O49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5" s="37" t="s">
        <v>854</v>
      </c>
      <c r="Q495" s="38">
        <v>46056</v>
      </c>
      <c r="R495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495" s="37" t="s">
        <v>1080</v>
      </c>
      <c r="T495" s="40"/>
      <c r="U495" s="41"/>
      <c r="V49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9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95" s="37" cm="1">
        <f t="array" aca="1" ref="X495" ca="1">INDEX('SAP Customer Data'!$A:$AC,MATCH(بيانات_العملاء[[#This Row],[رمز شريك الأعمال]],'SAP Customer Data'!$B:$B,0),CELL("col",Table_Customer_Data[[#Headers],[CreditLine]]))</f>
        <v>0</v>
      </c>
      <c r="Y49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5" s="37"/>
      <c r="AA49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5" s="37" t="s">
        <v>856</v>
      </c>
      <c r="AC495" s="41"/>
      <c r="AD495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5" s="37" t="s">
        <v>856</v>
      </c>
      <c r="AF495" s="41"/>
      <c r="AG49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95" s="37" t="s">
        <v>856</v>
      </c>
      <c r="AI495" s="41"/>
      <c r="AJ49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95" s="37"/>
      <c r="AL495" s="38"/>
      <c r="AM49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5" s="37" t="s">
        <v>854</v>
      </c>
      <c r="AO495" s="41"/>
      <c r="AP49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5" s="37"/>
      <c r="AR495" s="37"/>
      <c r="AS49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95" s="41" cm="1">
        <f t="array" aca="1" ref="AT495" ca="1">INDEX('SAP Customer Data'!A:Z,MATCH(بيانات_العملاء[[#This Row],[رمز شريك الأعمال]],'SAP Customer Data'!B:B,0),CELL("col",Table_Customer_Data[[#Headers],[CreateDate]]))</f>
        <v>45059</v>
      </c>
      <c r="AU495" s="41"/>
      <c r="AV495" s="41"/>
      <c r="AW495" s="37" t="s">
        <v>2097</v>
      </c>
      <c r="AX495" s="37"/>
    </row>
    <row r="496" spans="1:50" x14ac:dyDescent="0.25">
      <c r="A496" s="36" t="str" cm="1">
        <f t="array" aca="1" ref="A496" ca="1">INDEX('SAP Customer Data'!$A:$AC,MATCH(بيانات_العملاء[[#This Row],[رمز شريك الأعمال]],'SAP Customer Data'!$B:$B,0),CELL("col",Table_Customer_Data[[#Headers],[GroupName]]))</f>
        <v>CS12</v>
      </c>
      <c r="B496" s="35" t="s">
        <v>1521</v>
      </c>
      <c r="C496" s="37" t="str" cm="1">
        <f t="array" aca="1" ref="C496" ca="1">INDEX('SAP Customer Data'!$A:$AC,MATCH(بيانات_العملاء[[#This Row],[رمز شريك الأعمال]],'SAP Customer Data'!$B:$B,0),CELL("col",Table_Customer_Data[[#Headers],[CardName]]))</f>
        <v>شركة ضوء الأندلس التجارية - نقدي</v>
      </c>
      <c r="D496" s="37" t="str">
        <f ca="1">IF(بيانات_العملاء[[#This Row],[حد الائتمان على SAP]]&gt;0,"آجل","نقدى")</f>
        <v>نقدى</v>
      </c>
      <c r="E496" s="46"/>
      <c r="F496" s="46" t="s">
        <v>996</v>
      </c>
      <c r="G496" s="37" t="s">
        <v>856</v>
      </c>
      <c r="H49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96" s="37" t="s">
        <v>854</v>
      </c>
      <c r="J496" s="43">
        <v>45402</v>
      </c>
      <c r="K496" s="41" t="s">
        <v>855</v>
      </c>
      <c r="L496" s="37" t="str">
        <f ca="1">IF(AND(بيانات_العملاء[[#This Row],[السجل التجارى]]="موجود",TODAY()+'Other Data'!$B$23&lt;J496,بيانات_العملاء[[#This Row],[مطابقة اسم العميل بالاسم بالسجل التجارى]]="مطابق"), "سارى", "يجب اعادة طلبه")</f>
        <v>سارى</v>
      </c>
      <c r="M496" s="37" t="s">
        <v>854</v>
      </c>
      <c r="N496" s="39" t="str" cm="1">
        <f t="array" aca="1" ref="N496" ca="1">INDEX('SAP Customer Data'!$A:$AC,MATCH(بيانات_العملاء[[#This Row],[رمز شريك الأعمال]],'SAP Customer Data'!$B:$B,0),CELL("col",Table_Customer_Data[[#Headers],[LicTradNum]]))</f>
        <v>311299571600003</v>
      </c>
      <c r="O49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6" s="37" t="s">
        <v>854</v>
      </c>
      <c r="Q496" s="38">
        <v>45244</v>
      </c>
      <c r="R496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96" s="37" t="s">
        <v>1080</v>
      </c>
      <c r="T496" s="40"/>
      <c r="U496" s="41"/>
      <c r="V49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9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96" s="37" cm="1">
        <f t="array" aca="1" ref="X496" ca="1">INDEX('SAP Customer Data'!$A:$AC,MATCH(بيانات_العملاء[[#This Row],[رمز شريك الأعمال]],'SAP Customer Data'!$B:$B,0),CELL("col",Table_Customer_Data[[#Headers],[CreditLine]]))</f>
        <v>0</v>
      </c>
      <c r="Y49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6" s="37"/>
      <c r="AA49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6" s="37" t="s">
        <v>856</v>
      </c>
      <c r="AC496" s="41"/>
      <c r="AD496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6" s="37" t="s">
        <v>856</v>
      </c>
      <c r="AF496" s="41"/>
      <c r="AG49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96" s="37" t="s">
        <v>856</v>
      </c>
      <c r="AI496" s="41"/>
      <c r="AJ49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96" s="37" t="s">
        <v>856</v>
      </c>
      <c r="AL496" s="38"/>
      <c r="AM49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6" s="37" t="s">
        <v>856</v>
      </c>
      <c r="AO496" s="41"/>
      <c r="AP49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6" s="37" t="s">
        <v>856</v>
      </c>
      <c r="AR496" s="37"/>
      <c r="AS49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96" s="41" cm="1">
        <f t="array" aca="1" ref="AT496" ca="1">INDEX('SAP Customer Data'!A:Z,MATCH(بيانات_العملاء[[#This Row],[رمز شريك الأعمال]],'SAP Customer Data'!B:B,0),CELL("col",Table_Customer_Data[[#Headers],[CreateDate]]))</f>
        <v>45073</v>
      </c>
      <c r="AU496" s="41"/>
      <c r="AV496" s="41"/>
      <c r="AW496" s="37" t="s">
        <v>2097</v>
      </c>
      <c r="AX496" s="37"/>
    </row>
    <row r="497" spans="1:50" x14ac:dyDescent="0.25">
      <c r="A497" s="36" t="str" cm="1">
        <f t="array" aca="1" ref="A497" ca="1">INDEX('SAP Customer Data'!$A:$AC,MATCH(بيانات_العملاء[[#This Row],[رمز شريك الأعمال]],'SAP Customer Data'!$B:$B,0),CELL("col",Table_Customer_Data[[#Headers],[GroupName]]))</f>
        <v>CS12</v>
      </c>
      <c r="B497" s="35" t="s">
        <v>1983</v>
      </c>
      <c r="C497" s="37" t="str" cm="1">
        <f t="array" aca="1" ref="C497" ca="1">INDEX('SAP Customer Data'!$A:$AC,MATCH(بيانات_العملاء[[#This Row],[رمز شريك الأعمال]],'SAP Customer Data'!$B:$B,0),CELL("col",Table_Customer_Data[[#Headers],[CardName]]))</f>
        <v>شركة التوريد الفوري فرع الجيزان</v>
      </c>
      <c r="D497" s="37" t="str">
        <f ca="1">IF(بيانات_العملاء[[#This Row],[حد الائتمان على SAP]]&gt;0,"آجل","نقدى")</f>
        <v>آجل</v>
      </c>
      <c r="E497" s="37"/>
      <c r="F497" s="46" t="s">
        <v>997</v>
      </c>
      <c r="G497" s="37" t="s">
        <v>856</v>
      </c>
      <c r="H49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97" s="37" t="s">
        <v>854</v>
      </c>
      <c r="J497" s="43">
        <v>45248</v>
      </c>
      <c r="K497" s="41" t="s">
        <v>855</v>
      </c>
      <c r="L497" s="37" t="str">
        <f ca="1">IF(AND(بيانات_العملاء[[#This Row],[السجل التجارى]]="موجود",TODAY()+'Other Data'!$B$23&lt;J497,بيانات_العملاء[[#This Row],[مطابقة اسم العميل بالاسم بالسجل التجارى]]="مطابق"), "سارى", "يجب اعادة طلبه")</f>
        <v>سارى</v>
      </c>
      <c r="M497" s="37" t="s">
        <v>854</v>
      </c>
      <c r="N497" s="39" t="str" cm="1">
        <f t="array" aca="1" ref="N497" ca="1">INDEX('SAP Customer Data'!$A:$AC,MATCH(بيانات_العملاء[[#This Row],[رمز شريك الأعمال]],'SAP Customer Data'!$B:$B,0),CELL("col",Table_Customer_Data[[#Headers],[LicTradNum]]))</f>
        <v>300024635700003</v>
      </c>
      <c r="O49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7" s="37" t="s">
        <v>854</v>
      </c>
      <c r="Q497" s="38">
        <v>45721</v>
      </c>
      <c r="R497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497" s="37" t="s">
        <v>854</v>
      </c>
      <c r="T497" s="40">
        <v>62500</v>
      </c>
      <c r="U497" s="41">
        <v>43678</v>
      </c>
      <c r="V497" s="41">
        <f>IF(بيانات_العملاء[[#This Row],[تاريخ انشاء سند الامر او الاستثناء]]="",0,بيانات_العملاء[[#This Row],[تاريخ انشاء سند الامر او الاستثناء]]+365*3)</f>
        <v>44773</v>
      </c>
      <c r="W49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497" s="37" cm="1">
        <f t="array" aca="1" ref="X497" ca="1">INDEX('SAP Customer Data'!$A:$AC,MATCH(بيانات_العملاء[[#This Row],[رمز شريك الأعمال]],'SAP Customer Data'!$B:$B,0),CELL("col",Table_Customer_Data[[#Headers],[CreditLine]]))</f>
        <v>50000</v>
      </c>
      <c r="Y49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7" s="37" t="s">
        <v>859</v>
      </c>
      <c r="AA49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497" s="37" t="s">
        <v>856</v>
      </c>
      <c r="AC497" s="41"/>
      <c r="AD497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7" s="37" t="s">
        <v>856</v>
      </c>
      <c r="AF497" s="41"/>
      <c r="AG49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97" s="37" t="s">
        <v>856</v>
      </c>
      <c r="AI497" s="41"/>
      <c r="AJ49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97" s="37" t="s">
        <v>856</v>
      </c>
      <c r="AL497" s="38"/>
      <c r="AM49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7" s="37" t="s">
        <v>856</v>
      </c>
      <c r="AO497" s="41"/>
      <c r="AP49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7" s="37" t="s">
        <v>856</v>
      </c>
      <c r="AR497" s="37"/>
      <c r="AS49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97" s="41" cm="1">
        <f t="array" aca="1" ref="AT497" ca="1">INDEX('SAP Customer Data'!A:Z,MATCH(بيانات_العملاء[[#This Row],[رمز شريك الأعمال]],'SAP Customer Data'!B:B,0),CELL("col",Table_Customer_Data[[#Headers],[CreateDate]]))</f>
        <v>45078</v>
      </c>
      <c r="AU497" s="41"/>
      <c r="AV497" s="41" t="s">
        <v>2479</v>
      </c>
      <c r="AW497" s="37" t="s">
        <v>2096</v>
      </c>
      <c r="AX497" s="37">
        <v>240000</v>
      </c>
    </row>
    <row r="498" spans="1:50" x14ac:dyDescent="0.25">
      <c r="A498" s="36" t="str" cm="1">
        <f t="array" aca="1" ref="A498" ca="1">INDEX('SAP Customer Data'!$A:$AC,MATCH(بيانات_العملاء[[#This Row],[رمز شريك الأعمال]],'SAP Customer Data'!$B:$B,0),CELL("col",Table_Customer_Data[[#Headers],[GroupName]]))</f>
        <v>CS12</v>
      </c>
      <c r="B498" s="35" t="s">
        <v>2055</v>
      </c>
      <c r="C498" s="37" t="str" cm="1">
        <f t="array" aca="1" ref="C498" ca="1">INDEX('SAP Customer Data'!$A:$AC,MATCH(بيانات_العملاء[[#This Row],[رمز شريك الأعمال]],'SAP Customer Data'!$B:$B,0),CELL("col",Table_Customer_Data[[#Headers],[CardName]]))</f>
        <v>شركة اركان الموسى للتجارة - نقدى</v>
      </c>
      <c r="D498" s="37" t="str">
        <f ca="1">IF(بيانات_العملاء[[#This Row],[حد الائتمان على SAP]]&gt;0,"آجل","نقدى")</f>
        <v>نقدى</v>
      </c>
      <c r="E498" s="46"/>
      <c r="F498" s="46" t="s">
        <v>908</v>
      </c>
      <c r="G498" s="37" t="s">
        <v>856</v>
      </c>
      <c r="H49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98" s="37" t="s">
        <v>854</v>
      </c>
      <c r="J498" s="43">
        <v>45908</v>
      </c>
      <c r="K498" s="41" t="s">
        <v>855</v>
      </c>
      <c r="L498" s="37" t="str">
        <f ca="1">IF(AND(بيانات_العملاء[[#This Row],[السجل التجارى]]="موجود",TODAY()+'Other Data'!$B$23&lt;J498,بيانات_العملاء[[#This Row],[مطابقة اسم العميل بالاسم بالسجل التجارى]]="مطابق"), "سارى", "يجب اعادة طلبه")</f>
        <v>سارى</v>
      </c>
      <c r="M498" s="37" t="s">
        <v>854</v>
      </c>
      <c r="N498" s="39" t="str" cm="1">
        <f t="array" aca="1" ref="N498" ca="1">INDEX('SAP Customer Data'!$A:$AC,MATCH(بيانات_العملاء[[#This Row],[رمز شريك الأعمال]],'SAP Customer Data'!$B:$B,0),CELL("col",Table_Customer_Data[[#Headers],[LicTradNum]]))</f>
        <v>310811284500003</v>
      </c>
      <c r="O49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8" s="37" t="s">
        <v>856</v>
      </c>
      <c r="Q498" s="38"/>
      <c r="R498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498" s="37" t="s">
        <v>1080</v>
      </c>
      <c r="T498" s="40"/>
      <c r="U498" s="41"/>
      <c r="V49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9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98" s="37" cm="1">
        <f t="array" aca="1" ref="X498" ca="1">INDEX('SAP Customer Data'!$A:$AC,MATCH(بيانات_العملاء[[#This Row],[رمز شريك الأعمال]],'SAP Customer Data'!$B:$B,0),CELL("col",Table_Customer_Data[[#Headers],[CreditLine]]))</f>
        <v>0</v>
      </c>
      <c r="Y49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8" s="37"/>
      <c r="AA49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8" s="37" t="s">
        <v>856</v>
      </c>
      <c r="AC498" s="41"/>
      <c r="AD498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8" s="37" t="s">
        <v>856</v>
      </c>
      <c r="AF498" s="41"/>
      <c r="AG49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98" s="37" t="s">
        <v>856</v>
      </c>
      <c r="AI498" s="41"/>
      <c r="AJ49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98" s="37" t="s">
        <v>856</v>
      </c>
      <c r="AL498" s="38"/>
      <c r="AM49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8" s="37" t="s">
        <v>856</v>
      </c>
      <c r="AO498" s="41"/>
      <c r="AP49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8" s="37" t="s">
        <v>856</v>
      </c>
      <c r="AR498" s="37"/>
      <c r="AS49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98" s="41" cm="1">
        <f t="array" aca="1" ref="AT498" ca="1">INDEX('SAP Customer Data'!A:Z,MATCH(بيانات_العملاء[[#This Row],[رمز شريك الأعمال]],'SAP Customer Data'!B:B,0),CELL("col",Table_Customer_Data[[#Headers],[CreateDate]]))</f>
        <v>45082</v>
      </c>
      <c r="AU498" s="41"/>
      <c r="AV498" s="41"/>
      <c r="AW498" s="37" t="s">
        <v>2097</v>
      </c>
      <c r="AX498" s="37"/>
    </row>
    <row r="499" spans="1:50" x14ac:dyDescent="0.25">
      <c r="A499" s="36" t="str" cm="1">
        <f t="array" aca="1" ref="A499" ca="1">INDEX('SAP Customer Data'!$A:$AC,MATCH(بيانات_العملاء[[#This Row],[رمز شريك الأعمال]],'SAP Customer Data'!$B:$B,0),CELL("col",Table_Customer_Data[[#Headers],[GroupName]]))</f>
        <v>CS12</v>
      </c>
      <c r="B499" s="35" t="s">
        <v>2067</v>
      </c>
      <c r="C499" s="37" t="str" cm="1">
        <f t="array" aca="1" ref="C499" ca="1">INDEX('SAP Customer Data'!$A:$AC,MATCH(بيانات_العملاء[[#This Row],[رمز شريك الأعمال]],'SAP Customer Data'!$B:$B,0),CELL("col",Table_Customer_Data[[#Headers],[CardName]]))</f>
        <v>مؤسسة التسهيلات الحديثة التجارية - نقدى</v>
      </c>
      <c r="D499" s="37" t="str">
        <f ca="1">IF(بيانات_العملاء[[#This Row],[حد الائتمان على SAP]]&gt;0,"آجل","نقدى")</f>
        <v>نقدى</v>
      </c>
      <c r="E499" s="37" t="s">
        <v>2070</v>
      </c>
      <c r="F499" s="37" t="s">
        <v>1081</v>
      </c>
      <c r="G499" s="37" t="s">
        <v>856</v>
      </c>
      <c r="H49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499" s="37" t="s">
        <v>854</v>
      </c>
      <c r="J499" s="38">
        <v>45079</v>
      </c>
      <c r="K499" s="37" t="s">
        <v>855</v>
      </c>
      <c r="L499" s="37" t="str">
        <f ca="1">IF(AND(بيانات_العملاء[[#This Row],[السجل التجارى]]="موجود",TODAY()+'Other Data'!$B$23&lt;J499,بيانات_العملاء[[#This Row],[مطابقة اسم العميل بالاسم بالسجل التجارى]]="مطابق"), "سارى", "يجب اعادة طلبه")</f>
        <v>يجب اعادة طلبه</v>
      </c>
      <c r="M499" s="37" t="s">
        <v>854</v>
      </c>
      <c r="N499" s="39" t="str" cm="1">
        <f t="array" aca="1" ref="N499" ca="1">INDEX('SAP Customer Data'!$A:$AC,MATCH(بيانات_العملاء[[#This Row],[رمز شريك الأعمال]],'SAP Customer Data'!$B:$B,0),CELL("col",Table_Customer_Data[[#Headers],[LicTradNum]]))</f>
        <v>300736121800003</v>
      </c>
      <c r="O49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499" s="37" t="s">
        <v>854</v>
      </c>
      <c r="Q499" s="38">
        <v>45573</v>
      </c>
      <c r="R499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499" s="37" t="s">
        <v>1080</v>
      </c>
      <c r="T499" s="40"/>
      <c r="U499" s="41"/>
      <c r="V49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49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499" s="37" cm="1">
        <f t="array" aca="1" ref="X499" ca="1">INDEX('SAP Customer Data'!$A:$AC,MATCH(بيانات_العملاء[[#This Row],[رمز شريك الأعمال]],'SAP Customer Data'!$B:$B,0),CELL("col",Table_Customer_Data[[#Headers],[CreditLine]]))</f>
        <v>0</v>
      </c>
      <c r="Y49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499" s="37"/>
      <c r="AA49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499" s="37" t="s">
        <v>856</v>
      </c>
      <c r="AC499" s="37"/>
      <c r="AD499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499" s="37" t="s">
        <v>856</v>
      </c>
      <c r="AF499" s="37"/>
      <c r="AG49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499" s="37" t="s">
        <v>856</v>
      </c>
      <c r="AI499" s="37"/>
      <c r="AJ49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499" s="37" t="s">
        <v>856</v>
      </c>
      <c r="AL499" s="38"/>
      <c r="AM49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499" s="37" t="s">
        <v>856</v>
      </c>
      <c r="AO499" s="41"/>
      <c r="AP49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499" s="37" t="s">
        <v>856</v>
      </c>
      <c r="AR499" s="37"/>
      <c r="AS49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499" s="41" cm="1">
        <f t="array" aca="1" ref="AT499" ca="1">INDEX('SAP Customer Data'!A:Z,MATCH(بيانات_العملاء[[#This Row],[رمز شريك الأعمال]],'SAP Customer Data'!B:B,0),CELL("col",Table_Customer_Data[[#Headers],[CreateDate]]))</f>
        <v>45083</v>
      </c>
      <c r="AU499" s="37"/>
      <c r="AV499" s="41"/>
      <c r="AW499" s="37" t="s">
        <v>2097</v>
      </c>
      <c r="AX499" s="37"/>
    </row>
    <row r="500" spans="1:50" x14ac:dyDescent="0.25">
      <c r="A500" s="36" t="str" cm="1">
        <f t="array" aca="1" ref="A500" ca="1">INDEX('SAP Customer Data'!$A:$AC,MATCH(بيانات_العملاء[[#This Row],[رمز شريك الأعمال]],'SAP Customer Data'!$B:$B,0),CELL("col",Table_Customer_Data[[#Headers],[GroupName]]))</f>
        <v>CS12</v>
      </c>
      <c r="B500" s="35" t="s">
        <v>2110</v>
      </c>
      <c r="C500" s="37" t="str" cm="1">
        <f t="array" aca="1" ref="C500" ca="1">INDEX('SAP Customer Data'!$A:$AC,MATCH(بيانات_العملاء[[#This Row],[رمز شريك الأعمال]],'SAP Customer Data'!$B:$B,0),CELL("col",Table_Customer_Data[[#Headers],[CardName]]))</f>
        <v>محل نجم الكهرباء لمواد البناء - نقدى</v>
      </c>
      <c r="D500" s="37" t="str">
        <f ca="1">IF(بيانات_العملاء[[#This Row],[حد الائتمان على SAP]]&gt;0,"آجل","نقدى")</f>
        <v>نقدى</v>
      </c>
      <c r="E500" s="37" t="s">
        <v>2111</v>
      </c>
      <c r="F500" s="37" t="s">
        <v>1081</v>
      </c>
      <c r="G500" s="37" t="s">
        <v>856</v>
      </c>
      <c r="H50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0" s="37" t="s">
        <v>854</v>
      </c>
      <c r="J500" s="38">
        <v>44973</v>
      </c>
      <c r="K500" s="37" t="s">
        <v>855</v>
      </c>
      <c r="L500" s="37" t="str">
        <f ca="1">IF(AND(بيانات_العملاء[[#This Row],[السجل التجارى]]="موجود",TODAY()+'Other Data'!$B$23&lt;J500,بيانات_العملاء[[#This Row],[مطابقة اسم العميل بالاسم بالسجل التجارى]]="مطابق"), "سارى", "يجب اعادة طلبه")</f>
        <v>يجب اعادة طلبه</v>
      </c>
      <c r="M500" s="37" t="s">
        <v>854</v>
      </c>
      <c r="N500" s="39" t="str" cm="1">
        <f t="array" aca="1" ref="N500" ca="1">INDEX('SAP Customer Data'!$A:$AC,MATCH(بيانات_العملاء[[#This Row],[رمز شريك الأعمال]],'SAP Customer Data'!$B:$B,0),CELL("col",Table_Customer_Data[[#Headers],[LicTradNum]]))</f>
        <v>310336877300003</v>
      </c>
      <c r="O50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0" s="37" t="s">
        <v>856</v>
      </c>
      <c r="Q500" s="38"/>
      <c r="R500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00" s="37" t="s">
        <v>1080</v>
      </c>
      <c r="T500" s="40"/>
      <c r="U500" s="41"/>
      <c r="V50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00" s="37" cm="1">
        <f t="array" aca="1" ref="X500" ca="1">INDEX('SAP Customer Data'!$A:$AC,MATCH(بيانات_العملاء[[#This Row],[رمز شريك الأعمال]],'SAP Customer Data'!$B:$B,0),CELL("col",Table_Customer_Data[[#Headers],[CreditLine]]))</f>
        <v>0</v>
      </c>
      <c r="Y50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0" s="37"/>
      <c r="AA50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0" s="37" t="s">
        <v>856</v>
      </c>
      <c r="AC500" s="37"/>
      <c r="AD500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0" s="37" t="s">
        <v>856</v>
      </c>
      <c r="AF500" s="37"/>
      <c r="AG50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00" s="37" t="s">
        <v>856</v>
      </c>
      <c r="AI500" s="37"/>
      <c r="AJ50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00" s="37" t="s">
        <v>856</v>
      </c>
      <c r="AL500" s="38"/>
      <c r="AM50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0" s="37" t="s">
        <v>856</v>
      </c>
      <c r="AO500" s="41"/>
      <c r="AP50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0" s="37" t="s">
        <v>856</v>
      </c>
      <c r="AR500" s="37"/>
      <c r="AS50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00" s="41" cm="1">
        <f t="array" aca="1" ref="AT500" ca="1">INDEX('SAP Customer Data'!A:Z,MATCH(بيانات_العملاء[[#This Row],[رمز شريك الأعمال]],'SAP Customer Data'!B:B,0),CELL("col",Table_Customer_Data[[#Headers],[CreateDate]]))</f>
        <v>45088</v>
      </c>
      <c r="AU500" s="41"/>
      <c r="AV500" s="41"/>
      <c r="AW500" s="37" t="s">
        <v>2097</v>
      </c>
      <c r="AX500" s="37"/>
    </row>
    <row r="501" spans="1:50" x14ac:dyDescent="0.25">
      <c r="A501" s="36" t="s">
        <v>880</v>
      </c>
      <c r="B501" s="35" t="s">
        <v>2198</v>
      </c>
      <c r="C501" s="37" t="s">
        <v>2199</v>
      </c>
      <c r="D501" s="37" t="str">
        <f ca="1">IF(بيانات_العملاء[[#This Row],[حد الائتمان على SAP]]&gt;0,"آجل","نقدى")</f>
        <v>آجل</v>
      </c>
      <c r="E501" s="37" t="s">
        <v>2200</v>
      </c>
      <c r="F501" s="37" t="s">
        <v>1081</v>
      </c>
      <c r="G501" s="37" t="s">
        <v>854</v>
      </c>
      <c r="H50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01" s="37" t="s">
        <v>854</v>
      </c>
      <c r="J501" s="38">
        <v>45214</v>
      </c>
      <c r="K501" s="41" t="s">
        <v>855</v>
      </c>
      <c r="L501" s="37" t="str">
        <f ca="1">IF(AND(بيانات_العملاء[[#This Row],[السجل التجارى]]="موجود",TODAY()+'Other Data'!$B$23&lt;J501,بيانات_العملاء[[#This Row],[مطابقة اسم العميل بالاسم بالسجل التجارى]]="مطابق"), "سارى", "يجب اعادة طلبه")</f>
        <v>يجب اعادة طلبه</v>
      </c>
      <c r="M501" s="37" t="s">
        <v>854</v>
      </c>
      <c r="N501" s="39" t="str" cm="1">
        <f t="array" aca="1" ref="N501" ca="1">INDEX('SAP Customer Data'!$A:$AC,MATCH(بيانات_العملاء[[#This Row],[رمز شريك الأعمال]],'SAP Customer Data'!$B:$B,0),CELL("col",Table_Customer_Data[[#Headers],[LicTradNum]]))</f>
        <v>310273645200003</v>
      </c>
      <c r="O50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1" s="37" t="s">
        <v>854</v>
      </c>
      <c r="Q501" s="38">
        <v>45410</v>
      </c>
      <c r="R501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501" s="37" t="s">
        <v>854</v>
      </c>
      <c r="T501" s="40">
        <v>100000</v>
      </c>
      <c r="U501" s="41">
        <v>45026</v>
      </c>
      <c r="V501" s="41">
        <f>IF(بيانات_العملاء[[#This Row],[تاريخ انشاء سند الامر او الاستثناء]]="",0,بيانات_العملاء[[#This Row],[تاريخ انشاء سند الامر او الاستثناء]]+365*3)</f>
        <v>46121</v>
      </c>
      <c r="W50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80000</v>
      </c>
      <c r="X501" s="37" cm="1">
        <f t="array" aca="1" ref="X501" ca="1">INDEX('SAP Customer Data'!$A:$AC,MATCH(بيانات_العملاء[[#This Row],[رمز شريك الأعمال]],'SAP Customer Data'!$B:$B,0),CELL("col",Table_Customer_Data[[#Headers],[CreditLine]]))</f>
        <v>80000</v>
      </c>
      <c r="Y50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1" s="37" t="s">
        <v>855</v>
      </c>
      <c r="AA50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1" s="37" t="s">
        <v>854</v>
      </c>
      <c r="AC501" s="41">
        <v>45102</v>
      </c>
      <c r="AD501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1" s="37" t="s">
        <v>854</v>
      </c>
      <c r="AF501" s="41">
        <v>45102</v>
      </c>
      <c r="AG50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01" s="37" t="s">
        <v>854</v>
      </c>
      <c r="AI501" s="37"/>
      <c r="AJ50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01" s="37" t="s">
        <v>854</v>
      </c>
      <c r="AL501" s="38"/>
      <c r="AM50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1" s="37" t="s">
        <v>854</v>
      </c>
      <c r="AO501" s="41">
        <v>45120</v>
      </c>
      <c r="AP50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1" s="37" t="s">
        <v>856</v>
      </c>
      <c r="AR501" s="37"/>
      <c r="AS50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01" s="41" cm="1">
        <f t="array" aca="1" ref="AT501" ca="1">INDEX('SAP Customer Data'!A:Z,MATCH(بيانات_العملاء[[#This Row],[رمز شريك الأعمال]],'SAP Customer Data'!B:B,0),CELL("col",Table_Customer_Data[[#Headers],[CreateDate]]))</f>
        <v>45102</v>
      </c>
      <c r="AU501" s="47" t="s">
        <v>2220</v>
      </c>
      <c r="AV501" s="47"/>
      <c r="AW501" s="37" t="s">
        <v>2097</v>
      </c>
      <c r="AX501" s="37"/>
    </row>
    <row r="502" spans="1:50" x14ac:dyDescent="0.25">
      <c r="A502" s="36" t="str" cm="1">
        <f t="array" aca="1" ref="A502" ca="1">INDEX('SAP Customer Data'!$A:$AC,MATCH(بيانات_العملاء[[#This Row],[رمز شريك الأعمال]],'SAP Customer Data'!$B:$B,0),CELL("col",Table_Customer_Data[[#Headers],[GroupName]]))</f>
        <v>CS12</v>
      </c>
      <c r="B502" s="35" t="s">
        <v>986</v>
      </c>
      <c r="C502" s="37" t="str" cm="1">
        <f t="array" aca="1" ref="C502" ca="1">INDEX('SAP Customer Data'!$A:$AC,MATCH(بيانات_العملاء[[#This Row],[رمز شريك الأعمال]],'SAP Customer Data'!$B:$B,0),CELL("col",Table_Customer_Data[[#Headers],[CardName]]))</f>
        <v>مؤسسة قيمنا التجارية- نقدي</v>
      </c>
      <c r="D502" s="37" t="str">
        <f ca="1">IF(بيانات_العملاء[[#This Row],[حد الائتمان على SAP]]&gt;0,"آجل","نقدى")</f>
        <v>نقدى</v>
      </c>
      <c r="E502" s="37" t="s">
        <v>1052</v>
      </c>
      <c r="F502" s="37" t="s">
        <v>1081</v>
      </c>
      <c r="G502" s="37" t="s">
        <v>856</v>
      </c>
      <c r="H50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2" s="37" t="s">
        <v>854</v>
      </c>
      <c r="J502" s="38">
        <v>45071</v>
      </c>
      <c r="K502" s="41" t="s">
        <v>855</v>
      </c>
      <c r="L502" s="37" t="str">
        <f ca="1">IF(AND(بيانات_العملاء[[#This Row],[السجل التجارى]]="موجود",TODAY()+'Other Data'!$B$23&lt;J502,بيانات_العملاء[[#This Row],[مطابقة اسم العميل بالاسم بالسجل التجارى]]="مطابق"), "سارى", "يجب اعادة طلبه")</f>
        <v>يجب اعادة طلبه</v>
      </c>
      <c r="M502" s="37" t="s">
        <v>854</v>
      </c>
      <c r="N502" s="39" t="str" cm="1">
        <f t="array" aca="1" ref="N502" ca="1">INDEX('SAP Customer Data'!$A:$AC,MATCH(بيانات_العملاء[[#This Row],[رمز شريك الأعمال]],'SAP Customer Data'!$B:$B,0),CELL("col",Table_Customer_Data[[#Headers],[LicTradNum]]))</f>
        <v>311311123500003</v>
      </c>
      <c r="O50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2" s="37" t="s">
        <v>856</v>
      </c>
      <c r="Q502" s="38"/>
      <c r="R50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02" s="37" t="s">
        <v>1080</v>
      </c>
      <c r="T502" s="40"/>
      <c r="U502" s="41"/>
      <c r="V50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02" s="37" cm="1">
        <f t="array" aca="1" ref="X502" ca="1">INDEX('SAP Customer Data'!$A:$AC,MATCH(بيانات_العملاء[[#This Row],[رمز شريك الأعمال]],'SAP Customer Data'!$B:$B,0),CELL("col",Table_Customer_Data[[#Headers],[CreditLine]]))</f>
        <v>0</v>
      </c>
      <c r="Y50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2" s="37"/>
      <c r="AA50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2" s="37" t="s">
        <v>854</v>
      </c>
      <c r="AC502" s="41">
        <v>44936</v>
      </c>
      <c r="AD50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2" s="37" t="s">
        <v>856</v>
      </c>
      <c r="AF502" s="37"/>
      <c r="AG50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02" s="37" t="s">
        <v>856</v>
      </c>
      <c r="AI502" s="37"/>
      <c r="AJ50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02" s="37"/>
      <c r="AL502" s="38"/>
      <c r="AM50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2" s="37" t="s">
        <v>854</v>
      </c>
      <c r="AO502" s="41">
        <v>44953</v>
      </c>
      <c r="AP50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2" s="37" t="s">
        <v>856</v>
      </c>
      <c r="AR502" s="37"/>
      <c r="AS50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02" s="41" cm="1">
        <f t="array" aca="1" ref="AT502" ca="1">INDEX('SAP Customer Data'!A:Z,MATCH(بيانات_العملاء[[#This Row],[رمز شريك الأعمال]],'SAP Customer Data'!B:B,0),CELL("col",Table_Customer_Data[[#Headers],[CreateDate]]))</f>
        <v>45011</v>
      </c>
      <c r="AU502" s="37" t="s">
        <v>2219</v>
      </c>
      <c r="AV502" s="41"/>
      <c r="AW502" s="37" t="s">
        <v>2097</v>
      </c>
      <c r="AX502" s="37"/>
    </row>
    <row r="503" spans="1:50" x14ac:dyDescent="0.25">
      <c r="A503" s="36" t="str" cm="1">
        <f t="array" aca="1" ref="A503" ca="1">INDEX('SAP Customer Data'!$A:$AC,MATCH(بيانات_العملاء[[#This Row],[رمز شريك الأعمال]],'SAP Customer Data'!$B:$B,0),CELL("col",Table_Customer_Data[[#Headers],[GroupName]]))</f>
        <v>CS13</v>
      </c>
      <c r="B503" s="35" t="s">
        <v>1511</v>
      </c>
      <c r="C503" s="37" t="str" cm="1">
        <f t="array" aca="1" ref="C503" ca="1">INDEX('SAP Customer Data'!$A:$AC,MATCH(بيانات_العملاء[[#This Row],[رمز شريك الأعمال]],'SAP Customer Data'!$B:$B,0),CELL("col",Table_Customer_Data[[#Headers],[CardName]]))</f>
        <v>عميل بضمان المندوب -CS13</v>
      </c>
      <c r="D503" s="37" t="str">
        <f ca="1">IF(بيانات_العملاء[[#This Row],[حد الائتمان على SAP]]&gt;0,"آجل","نقدى")</f>
        <v>نقدى</v>
      </c>
      <c r="E503" s="37"/>
      <c r="F503" s="37"/>
      <c r="G503" s="37"/>
      <c r="H50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3" s="37"/>
      <c r="J503" s="38"/>
      <c r="K503" s="41" t="str">
        <f>IF(بيانات_العملاء[[#This Row],[السجل التجارى]]="غير موجود", "غير مطابق", "")</f>
        <v/>
      </c>
      <c r="L503" s="37" t="str">
        <f ca="1">IF(AND(بيانات_العملاء[[#This Row],[السجل التجارى]]="موجود",TODAY()+'Other Data'!$B$23&lt;J503,بيانات_العملاء[[#This Row],[مطابقة اسم العميل بالاسم بالسجل التجارى]]="مطابق"), "سارى", "يجب اعادة طلبه")</f>
        <v>يجب اعادة طلبه</v>
      </c>
      <c r="M503" s="37"/>
      <c r="N503" s="39" t="str" cm="1">
        <f t="array" aca="1" ref="N503" ca="1">INDEX('SAP Customer Data'!$A:$AC,MATCH(بيانات_العملاء[[#This Row],[رمز شريك الأعمال]],'SAP Customer Data'!$B:$B,0),CELL("col",Table_Customer_Data[[#Headers],[LicTradNum]]))</f>
        <v>بشار ديب</v>
      </c>
      <c r="O50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03" s="37"/>
      <c r="Q503" s="38"/>
      <c r="R503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03" s="37" t="s">
        <v>1080</v>
      </c>
      <c r="T503" s="40"/>
      <c r="U503" s="41"/>
      <c r="V50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03" s="37" cm="1">
        <f t="array" aca="1" ref="X503" ca="1">INDEX('SAP Customer Data'!$A:$AC,MATCH(بيانات_العملاء[[#This Row],[رمز شريك الأعمال]],'SAP Customer Data'!$B:$B,0),CELL("col",Table_Customer_Data[[#Headers],[CreditLine]]))</f>
        <v>0</v>
      </c>
      <c r="Y50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3" s="37"/>
      <c r="AA50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3" s="37"/>
      <c r="AC503" s="37"/>
      <c r="AD503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3" s="37"/>
      <c r="AF503" s="37"/>
      <c r="AG50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03" s="37"/>
      <c r="AI503" s="37"/>
      <c r="AJ50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03" s="37"/>
      <c r="AL503" s="38"/>
      <c r="AM50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3" s="37"/>
      <c r="AO503" s="41"/>
      <c r="AP50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3" s="37"/>
      <c r="AR503" s="37"/>
      <c r="AS50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03" s="41" cm="1">
        <f t="array" aca="1" ref="AT503" ca="1">INDEX('SAP Customer Data'!A:Z,MATCH(بيانات_العملاء[[#This Row],[رمز شريك الأعمال]],'SAP Customer Data'!B:B,0),CELL("col",Table_Customer_Data[[#Headers],[CreateDate]]))</f>
        <v>44909</v>
      </c>
      <c r="AU503" s="41"/>
      <c r="AV503" s="41"/>
      <c r="AW503" s="37" t="s">
        <v>2097</v>
      </c>
      <c r="AX503" s="37"/>
    </row>
    <row r="504" spans="1:50" x14ac:dyDescent="0.25">
      <c r="A504" s="36" t="str" cm="1">
        <f t="array" aca="1" ref="A504" ca="1">INDEX('SAP Customer Data'!$A:$AC,MATCH(بيانات_العملاء[[#This Row],[رمز شريك الأعمال]],'SAP Customer Data'!$B:$B,0),CELL("col",Table_Customer_Data[[#Headers],[GroupName]]))</f>
        <v>CS14</v>
      </c>
      <c r="B504" s="35" t="s">
        <v>1438</v>
      </c>
      <c r="C504" s="36" t="str" cm="1">
        <f t="array" aca="1" ref="C504" ca="1">INDEX('SAP Customer Data'!$A:$AC,MATCH(بيانات_العملاء[[#This Row],[رمز شريك الأعمال]],'SAP Customer Data'!$B:$B,0),CELL("col",Table_Customer_Data[[#Headers],[CardName]]))</f>
        <v>CS14 - عمبل بضمان المندوب</v>
      </c>
      <c r="D504" s="37" t="str">
        <f ca="1">IF(بيانات_العملاء[[#This Row],[حد الائتمان على SAP]]&gt;0,"آجل","نقدى")</f>
        <v>نقدى</v>
      </c>
      <c r="E504" s="37"/>
      <c r="F504" s="37"/>
      <c r="G504" s="37"/>
      <c r="H50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4" s="37"/>
      <c r="J504" s="38"/>
      <c r="K504" s="41" t="str">
        <f>IF(بيانات_العملاء[[#This Row],[السجل التجارى]]="غير موجود", "غير مطابق", "")</f>
        <v/>
      </c>
      <c r="L504" s="37" t="str">
        <f ca="1">IF(AND(بيانات_العملاء[[#This Row],[السجل التجارى]]="موجود",TODAY()+'Other Data'!$B$23&lt;J504,بيانات_العملاء[[#This Row],[مطابقة اسم العميل بالاسم بالسجل التجارى]]="مطابق"), "سارى", "يجب اعادة طلبه")</f>
        <v>يجب اعادة طلبه</v>
      </c>
      <c r="M504" s="37"/>
      <c r="N504" s="39" t="str" cm="1">
        <f t="array" aca="1" ref="N504" ca="1">INDEX('SAP Customer Data'!$A:$AC,MATCH(بيانات_العملاء[[#This Row],[رمز شريك الأعمال]],'SAP Customer Data'!$B:$B,0),CELL("col",Table_Customer_Data[[#Headers],[LicTradNum]]))</f>
        <v>عمر الديب</v>
      </c>
      <c r="O50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04" s="37"/>
      <c r="Q504" s="38"/>
      <c r="R504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04" s="37" t="s">
        <v>1080</v>
      </c>
      <c r="T504" s="40"/>
      <c r="U504" s="41"/>
      <c r="V50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04" s="37" cm="1">
        <f t="array" aca="1" ref="X504" ca="1">INDEX('SAP Customer Data'!$A:$AC,MATCH(بيانات_العملاء[[#This Row],[رمز شريك الأعمال]],'SAP Customer Data'!$B:$B,0),CELL("col",Table_Customer_Data[[#Headers],[CreditLine]]))</f>
        <v>0</v>
      </c>
      <c r="Y50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4" s="37"/>
      <c r="AA50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4" s="37"/>
      <c r="AC504" s="37"/>
      <c r="AD504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4" s="37"/>
      <c r="AF504" s="37"/>
      <c r="AG50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04" s="37"/>
      <c r="AI504" s="37"/>
      <c r="AJ50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04" s="37"/>
      <c r="AL504" s="38"/>
      <c r="AM50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4" s="37"/>
      <c r="AO504" s="41"/>
      <c r="AP50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4" s="37"/>
      <c r="AR504" s="37"/>
      <c r="AS50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04" s="41" cm="1">
        <f t="array" aca="1" ref="AT504" ca="1">INDEX('SAP Customer Data'!A:Z,MATCH(بيانات_العملاء[[#This Row],[رمز شريك الأعمال]],'SAP Customer Data'!B:B,0),CELL("col",Table_Customer_Data[[#Headers],[CreateDate]]))</f>
        <v>45011</v>
      </c>
      <c r="AU504" s="41"/>
      <c r="AV504" s="41"/>
      <c r="AW504" s="37" t="s">
        <v>2097</v>
      </c>
      <c r="AX504" s="37"/>
    </row>
    <row r="505" spans="1:50" x14ac:dyDescent="0.25">
      <c r="A505" s="36" t="str" cm="1">
        <f t="array" aca="1" ref="A505" ca="1">INDEX('SAP Customer Data'!$A:$AC,MATCH(بيانات_العملاء[[#This Row],[رمز شريك الأعمال]],'SAP Customer Data'!$B:$B,0),CELL("col",Table_Customer_Data[[#Headers],[GroupName]]))</f>
        <v>LB07</v>
      </c>
      <c r="B505" s="42" t="s">
        <v>652</v>
      </c>
      <c r="C505" s="37" t="str" cm="1">
        <f t="array" aca="1" ref="C505" ca="1">INDEX('SAP Customer Data'!$A:$AC,MATCH(بيانات_العملاء[[#This Row],[رمز شريك الأعمال]],'SAP Customer Data'!$B:$B,0),CELL("col",Table_Customer_Data[[#Headers],[CardName]]))</f>
        <v>مؤسسة جمعة حسين ابوالحسن التجارية-نقدي</v>
      </c>
      <c r="D505" s="37" t="str">
        <f ca="1">IF(بيانات_العملاء[[#This Row],[حد الائتمان على SAP]]&gt;0,"آجل","نقدى")</f>
        <v>نقدى</v>
      </c>
      <c r="E505" s="37"/>
      <c r="F505" s="37" t="s">
        <v>1082</v>
      </c>
      <c r="G505" s="37"/>
      <c r="H50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5" s="37" t="s">
        <v>856</v>
      </c>
      <c r="J505" s="38"/>
      <c r="K505" s="37"/>
      <c r="L505" s="37" t="str">
        <f ca="1">IF(AND(بيانات_العملاء[[#This Row],[السجل التجارى]]="موجود",TODAY()+'Other Data'!$B$23&lt;J505,بيانات_العملاء[[#This Row],[مطابقة اسم العميل بالاسم بالسجل التجارى]]="مطابق"), "سارى", "يجب اعادة طلبه")</f>
        <v>يجب اعادة طلبه</v>
      </c>
      <c r="M505" s="37" t="s">
        <v>854</v>
      </c>
      <c r="N505" s="39" t="str" cm="1">
        <f t="array" aca="1" ref="N505" ca="1">INDEX('SAP Customer Data'!$A:$AC,MATCH(بيانات_العملاء[[#This Row],[رمز شريك الأعمال]],'SAP Customer Data'!$B:$B,0),CELL("col",Table_Customer_Data[[#Headers],[LicTradNum]]))</f>
        <v>301027395300003</v>
      </c>
      <c r="O50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5" s="37"/>
      <c r="Q505" s="38"/>
      <c r="R50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05" s="37" t="s">
        <v>1080</v>
      </c>
      <c r="T505" s="40"/>
      <c r="U505" s="41"/>
      <c r="V50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05" s="37" cm="1">
        <f t="array" aca="1" ref="X505" ca="1">INDEX('SAP Customer Data'!$A:$AC,MATCH(بيانات_العملاء[[#This Row],[رمز شريك الأعمال]],'SAP Customer Data'!$B:$B,0),CELL("col",Table_Customer_Data[[#Headers],[CreditLine]]))</f>
        <v>0</v>
      </c>
      <c r="Y50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5" s="37"/>
      <c r="AA50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5" s="37"/>
      <c r="AC505" s="37"/>
      <c r="AD50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5" s="37"/>
      <c r="AF505" s="37"/>
      <c r="AG50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05" s="37"/>
      <c r="AI505" s="37"/>
      <c r="AJ50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05" s="37"/>
      <c r="AL505" s="38"/>
      <c r="AM50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5" s="37"/>
      <c r="AO505" s="41"/>
      <c r="AP50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5" s="37"/>
      <c r="AR505" s="37"/>
      <c r="AS50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05" s="41" cm="1">
        <f t="array" aca="1" ref="AT505" ca="1">INDEX('SAP Customer Data'!A:Z,MATCH(بيانات_العملاء[[#This Row],[رمز شريك الأعمال]],'SAP Customer Data'!B:B,0),CELL("col",Table_Customer_Data[[#Headers],[CreateDate]]))</f>
        <v>44419</v>
      </c>
      <c r="AU505" s="37"/>
      <c r="AV505" s="41"/>
      <c r="AW505" s="37" t="s">
        <v>2097</v>
      </c>
      <c r="AX505" s="37"/>
    </row>
    <row r="506" spans="1:50" x14ac:dyDescent="0.25">
      <c r="A506" s="36" t="str" cm="1">
        <f t="array" aca="1" ref="A506" ca="1">INDEX('SAP Customer Data'!$A:$AC,MATCH(بيانات_العملاء[[#This Row],[رمز شريك الأعمال]],'SAP Customer Data'!$B:$B,0),CELL("col",Table_Customer_Data[[#Headers],[GroupName]]))</f>
        <v>LB07</v>
      </c>
      <c r="B506" s="42" t="s">
        <v>617</v>
      </c>
      <c r="C506" s="37" t="str" cm="1">
        <f t="array" aca="1" ref="C506" ca="1">INDEX('SAP Customer Data'!$A:$AC,MATCH(بيانات_العملاء[[#This Row],[رمز شريك الأعمال]],'SAP Customer Data'!$B:$B,0),CELL("col",Table_Customer_Data[[#Headers],[CardName]]))</f>
        <v>مؤسسة عمار عبدالظاهر للتجارة  - نقدي</v>
      </c>
      <c r="D506" s="37" t="str">
        <f ca="1">IF(بيانات_العملاء[[#This Row],[حد الائتمان على SAP]]&gt;0,"آجل","نقدى")</f>
        <v>نقدى</v>
      </c>
      <c r="E506" s="37"/>
      <c r="F506" s="37" t="s">
        <v>1082</v>
      </c>
      <c r="G506" s="37"/>
      <c r="H50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6" s="37" t="s">
        <v>856</v>
      </c>
      <c r="J506" s="38"/>
      <c r="K506" s="37"/>
      <c r="L506" s="37" t="str">
        <f ca="1">IF(AND(بيانات_العملاء[[#This Row],[السجل التجارى]]="موجود",TODAY()+'Other Data'!$B$23&lt;J506,بيانات_العملاء[[#This Row],[مطابقة اسم العميل بالاسم بالسجل التجارى]]="مطابق"), "سارى", "يجب اعادة طلبه")</f>
        <v>يجب اعادة طلبه</v>
      </c>
      <c r="M506" s="37" t="s">
        <v>854</v>
      </c>
      <c r="N506" s="39" t="str" cm="1">
        <f t="array" aca="1" ref="N506" ca="1">INDEX('SAP Customer Data'!$A:$AC,MATCH(بيانات_العملاء[[#This Row],[رمز شريك الأعمال]],'SAP Customer Data'!$B:$B,0),CELL("col",Table_Customer_Data[[#Headers],[LicTradNum]]))</f>
        <v>302186019700003</v>
      </c>
      <c r="O50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6" s="37"/>
      <c r="Q506" s="38"/>
      <c r="R50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06" s="37" t="s">
        <v>1080</v>
      </c>
      <c r="T506" s="40"/>
      <c r="U506" s="41"/>
      <c r="V50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06" s="37" cm="1">
        <f t="array" aca="1" ref="X506" ca="1">INDEX('SAP Customer Data'!$A:$AC,MATCH(بيانات_العملاء[[#This Row],[رمز شريك الأعمال]],'SAP Customer Data'!$B:$B,0),CELL("col",Table_Customer_Data[[#Headers],[CreditLine]]))</f>
        <v>0</v>
      </c>
      <c r="Y50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6" s="37"/>
      <c r="AA50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6" s="37"/>
      <c r="AC506" s="37"/>
      <c r="AD50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6" s="37"/>
      <c r="AF506" s="37"/>
      <c r="AG50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06" s="37"/>
      <c r="AI506" s="37"/>
      <c r="AJ50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06" s="37"/>
      <c r="AL506" s="38"/>
      <c r="AM50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6" s="37"/>
      <c r="AO506" s="41"/>
      <c r="AP50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6" s="37"/>
      <c r="AR506" s="37"/>
      <c r="AS50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06" s="41" cm="1">
        <f t="array" aca="1" ref="AT506" ca="1">INDEX('SAP Customer Data'!A:Z,MATCH(بيانات_العملاء[[#This Row],[رمز شريك الأعمال]],'SAP Customer Data'!B:B,0),CELL("col",Table_Customer_Data[[#Headers],[CreateDate]]))</f>
        <v>44229</v>
      </c>
      <c r="AU506" s="37"/>
      <c r="AV506" s="41"/>
      <c r="AW506" s="37" t="s">
        <v>2097</v>
      </c>
      <c r="AX506" s="37"/>
    </row>
    <row r="507" spans="1:50" x14ac:dyDescent="0.25">
      <c r="A507" s="36" t="str" cm="1">
        <f t="array" aca="1" ref="A507" ca="1">INDEX('SAP Customer Data'!$A:$AC,MATCH(بيانات_العملاء[[#This Row],[رمز شريك الأعمال]],'SAP Customer Data'!$B:$B,0),CELL("col",Table_Customer_Data[[#Headers],[GroupName]]))</f>
        <v>LB07</v>
      </c>
      <c r="B507" s="35" t="s">
        <v>708</v>
      </c>
      <c r="C507" s="37" t="str" cm="1">
        <f t="array" aca="1" ref="C507" ca="1">INDEX('SAP Customer Data'!$A:$AC,MATCH(بيانات_العملاء[[#This Row],[رمز شريك الأعمال]],'SAP Customer Data'!$B:$B,0),CELL("col",Table_Customer_Data[[#Headers],[CardName]]))</f>
        <v>مؤسسة اثير الجزيره للمقاولات العامة-نقدي</v>
      </c>
      <c r="D507" s="37" t="str">
        <f ca="1">IF(بيانات_العملاء[[#This Row],[حد الائتمان على SAP]]&gt;0,"آجل","نقدى")</f>
        <v>نقدى</v>
      </c>
      <c r="E507" s="37" t="s">
        <v>2245</v>
      </c>
      <c r="F507" s="37" t="s">
        <v>1081</v>
      </c>
      <c r="G507" s="37" t="s">
        <v>856</v>
      </c>
      <c r="H50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7" s="37" t="s">
        <v>854</v>
      </c>
      <c r="J507" s="38">
        <v>44640</v>
      </c>
      <c r="K507" s="37" t="s">
        <v>855</v>
      </c>
      <c r="L507" s="37" t="str">
        <f ca="1">IF(AND(بيانات_العملاء[[#This Row],[السجل التجارى]]="موجود",TODAY()+'Other Data'!$B$23&lt;J507,بيانات_العملاء[[#This Row],[مطابقة اسم العميل بالاسم بالسجل التجارى]]="مطابق"), "سارى", "يجب اعادة طلبه")</f>
        <v>يجب اعادة طلبه</v>
      </c>
      <c r="M507" s="37" t="s">
        <v>854</v>
      </c>
      <c r="N507" s="39" t="str" cm="1">
        <f t="array" aca="1" ref="N507" ca="1">INDEX('SAP Customer Data'!$A:$AC,MATCH(بيانات_العملاء[[#This Row],[رمز شريك الأعمال]],'SAP Customer Data'!$B:$B,0),CELL("col",Table_Customer_Data[[#Headers],[LicTradNum]]))</f>
        <v>300831058700003</v>
      </c>
      <c r="O50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7" s="37" t="s">
        <v>856</v>
      </c>
      <c r="Q507" s="38"/>
      <c r="R50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07" s="37" t="s">
        <v>1080</v>
      </c>
      <c r="T507" s="40"/>
      <c r="U507" s="41"/>
      <c r="V50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07" s="37" cm="1">
        <f t="array" aca="1" ref="X507" ca="1">INDEX('SAP Customer Data'!$A:$AC,MATCH(بيانات_العملاء[[#This Row],[رمز شريك الأعمال]],'SAP Customer Data'!$B:$B,0),CELL("col",Table_Customer_Data[[#Headers],[CreditLine]]))</f>
        <v>0</v>
      </c>
      <c r="Y50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7" s="37"/>
      <c r="AA50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7" s="37" t="s">
        <v>856</v>
      </c>
      <c r="AC507" s="37"/>
      <c r="AD50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7" s="37"/>
      <c r="AF507" s="37"/>
      <c r="AG50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07" s="37"/>
      <c r="AI507" s="37"/>
      <c r="AJ50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07" s="37"/>
      <c r="AL507" s="38"/>
      <c r="AM50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7" s="37" t="s">
        <v>856</v>
      </c>
      <c r="AO507" s="41"/>
      <c r="AP50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7" s="37"/>
      <c r="AR507" s="37"/>
      <c r="AS50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07" s="41" cm="1">
        <f t="array" aca="1" ref="AT507" ca="1">INDEX('SAP Customer Data'!A:Z,MATCH(بيانات_العملاء[[#This Row],[رمز شريك الأعمال]],'SAP Customer Data'!B:B,0),CELL("col",Table_Customer_Data[[#Headers],[CreateDate]]))</f>
        <v>44676</v>
      </c>
      <c r="AU507" s="37"/>
      <c r="AV507" s="41"/>
      <c r="AW507" s="37" t="s">
        <v>2097</v>
      </c>
      <c r="AX507" s="37"/>
    </row>
    <row r="508" spans="1:50" x14ac:dyDescent="0.25">
      <c r="A508" s="36" t="str" cm="1">
        <f t="array" aca="1" ref="A508" ca="1">INDEX('SAP Customer Data'!$A:$AC,MATCH(بيانات_العملاء[[#This Row],[رمز شريك الأعمال]],'SAP Customer Data'!$B:$B,0),CELL("col",Table_Customer_Data[[#Headers],[GroupName]]))</f>
        <v>LB07</v>
      </c>
      <c r="B508" s="35" t="s">
        <v>704</v>
      </c>
      <c r="C508" s="37" t="str" cm="1">
        <f t="array" aca="1" ref="C508" ca="1">INDEX('SAP Customer Data'!$A:$AC,MATCH(بيانات_العملاء[[#This Row],[رمز شريك الأعمال]],'SAP Customer Data'!$B:$B,0),CELL("col",Table_Customer_Data[[#Headers],[CardName]]))</f>
        <v>مؤسسة سعدية سعيد معروف للتجارة - نقدي</v>
      </c>
      <c r="D508" s="37" t="str">
        <f ca="1">IF(بيانات_العملاء[[#This Row],[حد الائتمان على SAP]]&gt;0,"آجل","نقدى")</f>
        <v>نقدى</v>
      </c>
      <c r="E508" s="37"/>
      <c r="F508" s="37" t="s">
        <v>1082</v>
      </c>
      <c r="G508" s="37" t="s">
        <v>856</v>
      </c>
      <c r="H50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8" s="37" t="s">
        <v>856</v>
      </c>
      <c r="J508" s="38"/>
      <c r="K508" s="37"/>
      <c r="L508" s="37" t="str">
        <f ca="1">IF(AND(بيانات_العملاء[[#This Row],[السجل التجارى]]="موجود",TODAY()+'Other Data'!$B$23&lt;J508,بيانات_العملاء[[#This Row],[مطابقة اسم العميل بالاسم بالسجل التجارى]]="مطابق"), "سارى", "يجب اعادة طلبه")</f>
        <v>يجب اعادة طلبه</v>
      </c>
      <c r="M508" s="37" t="s">
        <v>854</v>
      </c>
      <c r="N508" s="39" t="str" cm="1">
        <f t="array" aca="1" ref="N508" ca="1">INDEX('SAP Customer Data'!$A:$AC,MATCH(بيانات_العملاء[[#This Row],[رمز شريك الأعمال]],'SAP Customer Data'!$B:$B,0),CELL("col",Table_Customer_Data[[#Headers],[LicTradNum]]))</f>
        <v>310351238100003</v>
      </c>
      <c r="O50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8" s="37" t="s">
        <v>856</v>
      </c>
      <c r="Q508" s="38"/>
      <c r="R50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08" s="37" t="s">
        <v>1080</v>
      </c>
      <c r="T508" s="40"/>
      <c r="U508" s="41"/>
      <c r="V50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08" s="37" cm="1">
        <f t="array" aca="1" ref="X508" ca="1">INDEX('SAP Customer Data'!$A:$AC,MATCH(بيانات_العملاء[[#This Row],[رمز شريك الأعمال]],'SAP Customer Data'!$B:$B,0),CELL("col",Table_Customer_Data[[#Headers],[CreditLine]]))</f>
        <v>0</v>
      </c>
      <c r="Y50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8" s="37"/>
      <c r="AA50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08" s="37" t="s">
        <v>856</v>
      </c>
      <c r="AC508" s="37"/>
      <c r="AD50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8" s="37"/>
      <c r="AF508" s="37"/>
      <c r="AG50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08" s="37"/>
      <c r="AI508" s="37"/>
      <c r="AJ50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08" s="37"/>
      <c r="AL508" s="38"/>
      <c r="AM50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8" s="37" t="s">
        <v>856</v>
      </c>
      <c r="AO508" s="41"/>
      <c r="AP50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8" s="37"/>
      <c r="AR508" s="37"/>
      <c r="AS50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08" s="41" cm="1">
        <f t="array" aca="1" ref="AT508" ca="1">INDEX('SAP Customer Data'!A:Z,MATCH(بيانات_العملاء[[#This Row],[رمز شريك الأعمال]],'SAP Customer Data'!B:B,0),CELL("col",Table_Customer_Data[[#Headers],[CreateDate]]))</f>
        <v>44653</v>
      </c>
      <c r="AU508" s="37"/>
      <c r="AV508" s="41"/>
      <c r="AW508" s="37" t="s">
        <v>2097</v>
      </c>
      <c r="AX508" s="37"/>
    </row>
    <row r="509" spans="1:50" x14ac:dyDescent="0.25">
      <c r="A509" s="36" t="str" cm="1">
        <f t="array" aca="1" ref="A509" ca="1">INDEX('SAP Customer Data'!$A:$AC,MATCH(بيانات_العملاء[[#This Row],[رمز شريك الأعمال]],'SAP Customer Data'!$B:$B,0),CELL("col",Table_Customer_Data[[#Headers],[GroupName]]))</f>
        <v>LB07</v>
      </c>
      <c r="B509" s="35" t="s">
        <v>605</v>
      </c>
      <c r="C509" s="37" t="str" cm="1">
        <f t="array" aca="1" ref="C509" ca="1">INDEX('SAP Customer Data'!$A:$AC,MATCH(بيانات_العملاء[[#This Row],[رمز شريك الأعمال]],'SAP Customer Data'!$B:$B,0),CELL("col",Table_Customer_Data[[#Headers],[CardName]]))</f>
        <v>مؤسسة احمد مرضي صويلح الزهراني</v>
      </c>
      <c r="D509" s="37" t="str">
        <f ca="1">IF(بيانات_العملاء[[#This Row],[حد الائتمان على SAP]]&gt;0,"آجل","نقدى")</f>
        <v>آجل</v>
      </c>
      <c r="E509" s="37" t="s">
        <v>1106</v>
      </c>
      <c r="F509" s="37" t="s">
        <v>1081</v>
      </c>
      <c r="G509" s="37" t="s">
        <v>918</v>
      </c>
      <c r="H50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09" s="37" t="s">
        <v>854</v>
      </c>
      <c r="J509" s="38">
        <v>44892</v>
      </c>
      <c r="K509" s="37" t="s">
        <v>855</v>
      </c>
      <c r="L509" s="37" t="str">
        <f ca="1">IF(AND(بيانات_العملاء[[#This Row],[السجل التجارى]]="موجود",TODAY()+'Other Data'!$B$23&lt;J509,بيانات_العملاء[[#This Row],[مطابقة اسم العميل بالاسم بالسجل التجارى]]="مطابق"), "سارى", "يجب اعادة طلبه")</f>
        <v>يجب اعادة طلبه</v>
      </c>
      <c r="M509" s="37" t="s">
        <v>854</v>
      </c>
      <c r="N509" s="39" t="str" cm="1">
        <f t="array" aca="1" ref="N509" ca="1">INDEX('SAP Customer Data'!$A:$AC,MATCH(بيانات_العملاء[[#This Row],[رمز شريك الأعمال]],'SAP Customer Data'!$B:$B,0),CELL("col",Table_Customer_Data[[#Headers],[LicTradNum]]))</f>
        <v>300688392300003</v>
      </c>
      <c r="O50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09" s="37" t="s">
        <v>856</v>
      </c>
      <c r="Q509" s="38"/>
      <c r="R50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09" s="37" t="s">
        <v>854</v>
      </c>
      <c r="T509" s="40">
        <v>30000</v>
      </c>
      <c r="U509" s="41"/>
      <c r="V50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0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509" s="37" cm="1">
        <f t="array" aca="1" ref="X509" ca="1">INDEX('SAP Customer Data'!$A:$AC,MATCH(بيانات_العملاء[[#This Row],[رمز شريك الأعمال]],'SAP Customer Data'!$B:$B,0),CELL("col",Table_Customer_Data[[#Headers],[CreditLine]]))</f>
        <v>24000</v>
      </c>
      <c r="Y50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09" s="37" t="s">
        <v>855</v>
      </c>
      <c r="AA50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09" s="37" t="s">
        <v>856</v>
      </c>
      <c r="AC509" s="37"/>
      <c r="AD50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09" s="37" t="s">
        <v>856</v>
      </c>
      <c r="AF509" s="37"/>
      <c r="AG50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09" s="37" t="s">
        <v>856</v>
      </c>
      <c r="AI509" s="37"/>
      <c r="AJ50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09" s="37" t="s">
        <v>856</v>
      </c>
      <c r="AL509" s="38"/>
      <c r="AM50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09" s="37" t="s">
        <v>856</v>
      </c>
      <c r="AO509" s="41"/>
      <c r="AP50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09" s="37" t="s">
        <v>856</v>
      </c>
      <c r="AR509" s="37"/>
      <c r="AS50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09" s="41" cm="1">
        <f t="array" aca="1" ref="AT509" ca="1">INDEX('SAP Customer Data'!A:Z,MATCH(بيانات_العملاء[[#This Row],[رمز شريك الأعمال]],'SAP Customer Data'!B:B,0),CELL("col",Table_Customer_Data[[#Headers],[CreateDate]]))</f>
        <v>44224</v>
      </c>
      <c r="AU509" s="37"/>
      <c r="AV509" s="41"/>
      <c r="AW509" s="37" t="s">
        <v>2097</v>
      </c>
      <c r="AX509" s="37"/>
    </row>
    <row r="510" spans="1:50" x14ac:dyDescent="0.25">
      <c r="A510" s="36" t="str" cm="1">
        <f t="array" aca="1" ref="A510" ca="1">INDEX('SAP Customer Data'!$A:$AC,MATCH(بيانات_العملاء[[#This Row],[رمز شريك الأعمال]],'SAP Customer Data'!$B:$B,0),CELL("col",Table_Customer_Data[[#Headers],[GroupName]]))</f>
        <v>LB07</v>
      </c>
      <c r="B510" s="35" t="s">
        <v>609</v>
      </c>
      <c r="C510" s="37" t="str" cm="1">
        <f t="array" aca="1" ref="C510" ca="1">INDEX('SAP Customer Data'!$A:$AC,MATCH(بيانات_العملاء[[#This Row],[رمز شريك الأعمال]],'SAP Customer Data'!$B:$B,0),CELL("col",Table_Customer_Data[[#Headers],[CardName]]))</f>
        <v>مؤسسة بن سليمان التجارية</v>
      </c>
      <c r="D510" s="37" t="str">
        <f ca="1">IF(بيانات_العملاء[[#This Row],[حد الائتمان على SAP]]&gt;0,"آجل","نقدى")</f>
        <v>آجل</v>
      </c>
      <c r="E510" s="37" t="s">
        <v>1108</v>
      </c>
      <c r="F510" s="37" t="s">
        <v>1081</v>
      </c>
      <c r="G510" s="37" t="s">
        <v>918</v>
      </c>
      <c r="H51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0" s="37" t="s">
        <v>854</v>
      </c>
      <c r="J510" s="38">
        <v>45197</v>
      </c>
      <c r="K510" s="37" t="s">
        <v>855</v>
      </c>
      <c r="L510" s="37" t="str">
        <f ca="1">IF(AND(بيانات_العملاء[[#This Row],[السجل التجارى]]="موجود",TODAY()+'Other Data'!$B$23&lt;J510,بيانات_العملاء[[#This Row],[مطابقة اسم العميل بالاسم بالسجل التجارى]]="مطابق"), "سارى", "يجب اعادة طلبه")</f>
        <v>يجب اعادة طلبه</v>
      </c>
      <c r="M510" s="37" t="s">
        <v>856</v>
      </c>
      <c r="N510" s="39" t="str" cm="1">
        <f t="array" aca="1" ref="N510" ca="1">INDEX('SAP Customer Data'!$A:$AC,MATCH(بيانات_العملاء[[#This Row],[رمز شريك الأعمال]],'SAP Customer Data'!$B:$B,0),CELL("col",Table_Customer_Data[[#Headers],[LicTradNum]]))</f>
        <v/>
      </c>
      <c r="O51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10" s="37" t="s">
        <v>856</v>
      </c>
      <c r="Q510" s="38"/>
      <c r="R51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0" s="37" t="s">
        <v>854</v>
      </c>
      <c r="T510" s="40">
        <v>20000</v>
      </c>
      <c r="U510" s="41">
        <v>44216</v>
      </c>
      <c r="V510" s="41">
        <f>IF(بيانات_العملاء[[#This Row],[تاريخ انشاء سند الامر او الاستثناء]]="",0,بيانات_العملاء[[#This Row],[تاريخ انشاء سند الامر او الاستثناء]]+365*3)</f>
        <v>45311</v>
      </c>
      <c r="W51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16000</v>
      </c>
      <c r="X510" s="37" cm="1">
        <f t="array" aca="1" ref="X510" ca="1">INDEX('SAP Customer Data'!$A:$AC,MATCH(بيانات_العملاء[[#This Row],[رمز شريك الأعمال]],'SAP Customer Data'!$B:$B,0),CELL("col",Table_Customer_Data[[#Headers],[CreditLine]]))</f>
        <v>16000</v>
      </c>
      <c r="Y51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0" s="37" t="s">
        <v>855</v>
      </c>
      <c r="AA51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0" s="37" t="s">
        <v>854</v>
      </c>
      <c r="AC510" s="37">
        <v>46154</v>
      </c>
      <c r="AD51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10" s="37" t="s">
        <v>856</v>
      </c>
      <c r="AF510" s="37"/>
      <c r="AG51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0" s="37" t="s">
        <v>856</v>
      </c>
      <c r="AI510" s="37"/>
      <c r="AJ51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0" s="37" t="s">
        <v>856</v>
      </c>
      <c r="AL510" s="38"/>
      <c r="AM51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0" s="37" t="s">
        <v>856</v>
      </c>
      <c r="AO510" s="41"/>
      <c r="AP51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0" s="37" t="s">
        <v>856</v>
      </c>
      <c r="AR510" s="37"/>
      <c r="AS51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0" s="41" cm="1">
        <f t="array" aca="1" ref="AT510" ca="1">INDEX('SAP Customer Data'!A:Z,MATCH(بيانات_العملاء[[#This Row],[رمز شريك الأعمال]],'SAP Customer Data'!B:B,0),CELL("col",Table_Customer_Data[[#Headers],[CreateDate]]))</f>
        <v>44224</v>
      </c>
      <c r="AU510" s="37"/>
      <c r="AV510" s="41" t="s">
        <v>2276</v>
      </c>
      <c r="AW510" s="37" t="s">
        <v>2097</v>
      </c>
      <c r="AX510" s="37"/>
    </row>
    <row r="511" spans="1:50" x14ac:dyDescent="0.25">
      <c r="A511" s="36" t="str" cm="1">
        <f t="array" aca="1" ref="A511" ca="1">INDEX('SAP Customer Data'!$A:$AC,MATCH(بيانات_العملاء[[#This Row],[رمز شريك الأعمال]],'SAP Customer Data'!$B:$B,0),CELL("col",Table_Customer_Data[[#Headers],[GroupName]]))</f>
        <v>LB07</v>
      </c>
      <c r="B511" s="35" t="s">
        <v>753</v>
      </c>
      <c r="C511" s="37" t="str" cm="1">
        <f t="array" aca="1" ref="C511" ca="1">INDEX('SAP Customer Data'!$A:$AC,MATCH(بيانات_العملاء[[#This Row],[رمز شريك الأعمال]],'SAP Customer Data'!$B:$B,0),CELL("col",Table_Customer_Data[[#Headers],[CardName]]))</f>
        <v>مؤسسة حمادي معلا المحمادي للتجارة- نقدي</v>
      </c>
      <c r="D511" s="37" t="str">
        <f ca="1">IF(بيانات_العملاء[[#This Row],[حد الائتمان على SAP]]&gt;0,"آجل","نقدى")</f>
        <v>نقدى</v>
      </c>
      <c r="E511" s="37" t="s">
        <v>979</v>
      </c>
      <c r="F511" s="37" t="s">
        <v>1081</v>
      </c>
      <c r="G511" s="37" t="s">
        <v>856</v>
      </c>
      <c r="H51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1" s="37" t="s">
        <v>854</v>
      </c>
      <c r="J511" s="38">
        <v>44938</v>
      </c>
      <c r="K511" s="37" t="s">
        <v>859</v>
      </c>
      <c r="L511" s="37" t="str">
        <f ca="1">IF(AND(بيانات_العملاء[[#This Row],[السجل التجارى]]="موجود",TODAY()+'Other Data'!$B$23&lt;J511,بيانات_العملاء[[#This Row],[مطابقة اسم العميل بالاسم بالسجل التجارى]]="مطابق"), "سارى", "يجب اعادة طلبه")</f>
        <v>يجب اعادة طلبه</v>
      </c>
      <c r="M511" s="37" t="s">
        <v>854</v>
      </c>
      <c r="N511" s="39" t="str" cm="1">
        <f t="array" aca="1" ref="N511" ca="1">INDEX('SAP Customer Data'!$A:$AC,MATCH(بيانات_العملاء[[#This Row],[رمز شريك الأعمال]],'SAP Customer Data'!$B:$B,0),CELL("col",Table_Customer_Data[[#Headers],[LicTradNum]]))</f>
        <v>300087762700003</v>
      </c>
      <c r="O51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1" s="37" t="s">
        <v>856</v>
      </c>
      <c r="Q511" s="38"/>
      <c r="R51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1" s="37" t="s">
        <v>1080</v>
      </c>
      <c r="T511" s="40"/>
      <c r="U511" s="41"/>
      <c r="V51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11" s="37" cm="1">
        <f t="array" aca="1" ref="X511" ca="1">INDEX('SAP Customer Data'!$A:$AC,MATCH(بيانات_العملاء[[#This Row],[رمز شريك الأعمال]],'SAP Customer Data'!$B:$B,0),CELL("col",Table_Customer_Data[[#Headers],[CreditLine]]))</f>
        <v>0</v>
      </c>
      <c r="Y51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1" s="37"/>
      <c r="AA51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1" s="37"/>
      <c r="AC511" s="37"/>
      <c r="AD51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11" s="37" t="s">
        <v>856</v>
      </c>
      <c r="AF511" s="37"/>
      <c r="AG51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1" s="37" t="s">
        <v>856</v>
      </c>
      <c r="AI511" s="37"/>
      <c r="AJ51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1" s="37"/>
      <c r="AL511" s="38"/>
      <c r="AM51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1" s="37" t="s">
        <v>856</v>
      </c>
      <c r="AO511" s="41"/>
      <c r="AP51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1" s="37" t="s">
        <v>856</v>
      </c>
      <c r="AR511" s="37"/>
      <c r="AS51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1" s="41" cm="1">
        <f t="array" aca="1" ref="AT511" ca="1">INDEX('SAP Customer Data'!A:Z,MATCH(بيانات_العملاء[[#This Row],[رمز شريك الأعمال]],'SAP Customer Data'!B:B,0),CELL("col",Table_Customer_Data[[#Headers],[CreateDate]]))</f>
        <v>44938</v>
      </c>
      <c r="AU511" s="37"/>
      <c r="AV511" s="41"/>
      <c r="AW511" s="37" t="s">
        <v>2097</v>
      </c>
      <c r="AX511" s="37"/>
    </row>
    <row r="512" spans="1:50" x14ac:dyDescent="0.25">
      <c r="A512" s="36" t="str" cm="1">
        <f t="array" aca="1" ref="A512" ca="1">INDEX('SAP Customer Data'!$A:$AC,MATCH(بيانات_العملاء[[#This Row],[رمز شريك الأعمال]],'SAP Customer Data'!$B:$B,0),CELL("col",Table_Customer_Data[[#Headers],[GroupName]]))</f>
        <v>LB07</v>
      </c>
      <c r="B512" s="35" t="s">
        <v>724</v>
      </c>
      <c r="C512" s="37" t="str" cm="1">
        <f t="array" aca="1" ref="C512" ca="1">INDEX('SAP Customer Data'!$A:$AC,MATCH(بيانات_العملاء[[#This Row],[رمز شريك الأعمال]],'SAP Customer Data'!$B:$B,0),CELL("col",Table_Customer_Data[[#Headers],[CardName]]))</f>
        <v>مؤسسة الباسل للقرطاسية -نقدي</v>
      </c>
      <c r="D512" s="37" t="str">
        <f ca="1">IF(بيانات_العملاء[[#This Row],[حد الائتمان على SAP]]&gt;0,"آجل","نقدى")</f>
        <v>نقدى</v>
      </c>
      <c r="E512" s="37" t="s">
        <v>1592</v>
      </c>
      <c r="F512" s="37" t="s">
        <v>1081</v>
      </c>
      <c r="G512" s="37" t="s">
        <v>856</v>
      </c>
      <c r="H512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2" s="37" t="s">
        <v>854</v>
      </c>
      <c r="J512" s="38">
        <v>45124</v>
      </c>
      <c r="K512" s="37" t="s">
        <v>855</v>
      </c>
      <c r="L512" s="37" t="str">
        <f ca="1">IF(AND(بيانات_العملاء[[#This Row],[السجل التجارى]]="موجود",TODAY()+'Other Data'!$B$23&lt;J512,بيانات_العملاء[[#This Row],[مطابقة اسم العميل بالاسم بالسجل التجارى]]="مطابق"), "سارى", "يجب اعادة طلبه")</f>
        <v>يجب اعادة طلبه</v>
      </c>
      <c r="M512" s="37" t="s">
        <v>854</v>
      </c>
      <c r="N512" s="39" t="str" cm="1">
        <f t="array" aca="1" ref="N512" ca="1">INDEX('SAP Customer Data'!$A:$AC,MATCH(بيانات_العملاء[[#This Row],[رمز شريك الأعمال]],'SAP Customer Data'!$B:$B,0),CELL("col",Table_Customer_Data[[#Headers],[LicTradNum]]))</f>
        <v>300088595800003</v>
      </c>
      <c r="O51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2" s="37" t="s">
        <v>856</v>
      </c>
      <c r="Q512" s="38"/>
      <c r="R51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2" s="37" t="s">
        <v>1080</v>
      </c>
      <c r="T512" s="40"/>
      <c r="U512" s="41"/>
      <c r="V51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12" s="37" cm="1">
        <f t="array" aca="1" ref="X512" ca="1">INDEX('SAP Customer Data'!$A:$AC,MATCH(بيانات_العملاء[[#This Row],[رمز شريك الأعمال]],'SAP Customer Data'!$B:$B,0),CELL("col",Table_Customer_Data[[#Headers],[CreditLine]]))</f>
        <v>0</v>
      </c>
      <c r="Y51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2" s="37"/>
      <c r="AA51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2" s="37" t="s">
        <v>856</v>
      </c>
      <c r="AC512" s="37"/>
      <c r="AD51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12" s="37" t="s">
        <v>856</v>
      </c>
      <c r="AF512" s="37"/>
      <c r="AG51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2" s="37" t="s">
        <v>856</v>
      </c>
      <c r="AI512" s="37"/>
      <c r="AJ51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2" s="37" t="s">
        <v>856</v>
      </c>
      <c r="AL512" s="38"/>
      <c r="AM51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2" s="37" t="s">
        <v>856</v>
      </c>
      <c r="AO512" s="41"/>
      <c r="AP51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2" s="37" t="s">
        <v>856</v>
      </c>
      <c r="AR512" s="37"/>
      <c r="AS51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2" s="41" cm="1">
        <f t="array" aca="1" ref="AT512" ca="1">INDEX('SAP Customer Data'!A:Z,MATCH(بيانات_العملاء[[#This Row],[رمز شريك الأعمال]],'SAP Customer Data'!B:B,0),CELL("col",Table_Customer_Data[[#Headers],[CreateDate]]))</f>
        <v>44763</v>
      </c>
      <c r="AU512" s="37"/>
      <c r="AV512" s="41"/>
      <c r="AW512" s="37" t="s">
        <v>2097</v>
      </c>
      <c r="AX512" s="37"/>
    </row>
    <row r="513" spans="1:50" x14ac:dyDescent="0.25">
      <c r="A513" s="36" t="str" cm="1">
        <f t="array" aca="1" ref="A513" ca="1">INDEX('SAP Customer Data'!$A:$AC,MATCH(بيانات_العملاء[[#This Row],[رمز شريك الأعمال]],'SAP Customer Data'!$B:$B,0),CELL("col",Table_Customer_Data[[#Headers],[GroupName]]))</f>
        <v>LB07</v>
      </c>
      <c r="B513" s="35" t="s">
        <v>638</v>
      </c>
      <c r="C513" s="37" t="str" cm="1">
        <f t="array" aca="1" ref="C513" ca="1">INDEX('SAP Customer Data'!$A:$AC,MATCH(بيانات_العملاء[[#This Row],[رمز شريك الأعمال]],'SAP Customer Data'!$B:$B,0),CELL("col",Table_Customer_Data[[#Headers],[CardName]]))</f>
        <v>فرع مؤسسة اساليب الحلول</v>
      </c>
      <c r="D513" s="37" t="str">
        <f ca="1">IF(بيانات_العملاء[[#This Row],[حد الائتمان على SAP]]&gt;0,"آجل","نقدى")</f>
        <v>آجل</v>
      </c>
      <c r="E513" s="37" t="s">
        <v>1601</v>
      </c>
      <c r="F513" s="37" t="s">
        <v>1081</v>
      </c>
      <c r="G513" s="37" t="s">
        <v>918</v>
      </c>
      <c r="H513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3" s="37" t="s">
        <v>854</v>
      </c>
      <c r="J513" s="38">
        <v>45555</v>
      </c>
      <c r="K513" s="37" t="s">
        <v>855</v>
      </c>
      <c r="L513" s="37" t="str">
        <f ca="1">IF(AND(بيانات_العملاء[[#This Row],[السجل التجارى]]="موجود",TODAY()+'Other Data'!$B$23&lt;J513,بيانات_العملاء[[#This Row],[مطابقة اسم العميل بالاسم بالسجل التجارى]]="مطابق"), "سارى", "يجب اعادة طلبه")</f>
        <v>سارى</v>
      </c>
      <c r="M513" s="37" t="s">
        <v>856</v>
      </c>
      <c r="N513" s="39" t="str" cm="1">
        <f t="array" aca="1" ref="N513" ca="1">INDEX('SAP Customer Data'!$A:$AC,MATCH(بيانات_العملاء[[#This Row],[رمز شريك الأعمال]],'SAP Customer Data'!$B:$B,0),CELL("col",Table_Customer_Data[[#Headers],[LicTradNum]]))</f>
        <v>300088612200003</v>
      </c>
      <c r="O51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13" s="37" t="s">
        <v>856</v>
      </c>
      <c r="Q513" s="38"/>
      <c r="R51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3" s="37" t="s">
        <v>854</v>
      </c>
      <c r="T513" s="40">
        <v>10000</v>
      </c>
      <c r="U513" s="41">
        <v>44423</v>
      </c>
      <c r="V513" s="41">
        <f>IF(بيانات_العملاء[[#This Row],[تاريخ انشاء سند الامر او الاستثناء]]="",0,بيانات_العملاء[[#This Row],[تاريخ انشاء سند الامر او الاستثناء]]+365*3)</f>
        <v>45518</v>
      </c>
      <c r="W51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8000</v>
      </c>
      <c r="X513" s="37" cm="1">
        <f t="array" aca="1" ref="X513" ca="1">INDEX('SAP Customer Data'!$A:$AC,MATCH(بيانات_العملاء[[#This Row],[رمز شريك الأعمال]],'SAP Customer Data'!$B:$B,0),CELL("col",Table_Customer_Data[[#Headers],[CreditLine]]))</f>
        <v>8000</v>
      </c>
      <c r="Y51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3" s="37" t="s">
        <v>855</v>
      </c>
      <c r="AA51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3" s="37" t="s">
        <v>854</v>
      </c>
      <c r="AC513" s="41">
        <v>46904</v>
      </c>
      <c r="AD51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13" s="37" t="s">
        <v>856</v>
      </c>
      <c r="AF513" s="37"/>
      <c r="AG51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3" s="37" t="s">
        <v>856</v>
      </c>
      <c r="AI513" s="37"/>
      <c r="AJ51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3" s="37" t="s">
        <v>856</v>
      </c>
      <c r="AL513" s="38"/>
      <c r="AM51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3" s="37" t="s">
        <v>856</v>
      </c>
      <c r="AO513" s="41"/>
      <c r="AP51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3" s="37" t="s">
        <v>856</v>
      </c>
      <c r="AR513" s="37"/>
      <c r="AS51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3" s="41" cm="1">
        <f t="array" aca="1" ref="AT513" ca="1">INDEX('SAP Customer Data'!A:Z,MATCH(بيانات_العملاء[[#This Row],[رمز شريك الأعمال]],'SAP Customer Data'!B:B,0),CELL("col",Table_Customer_Data[[#Headers],[CreateDate]]))</f>
        <v>44380</v>
      </c>
      <c r="AU513" s="37"/>
      <c r="AV513" s="41"/>
      <c r="AW513" s="37" t="s">
        <v>2097</v>
      </c>
      <c r="AX513" s="37"/>
    </row>
    <row r="514" spans="1:50" x14ac:dyDescent="0.25">
      <c r="A514" s="36" t="str" cm="1">
        <f t="array" aca="1" ref="A514" ca="1">INDEX('SAP Customer Data'!$A:$AC,MATCH(بيانات_العملاء[[#This Row],[رمز شريك الأعمال]],'SAP Customer Data'!$B:$B,0),CELL("col",Table_Customer_Data[[#Headers],[GroupName]]))</f>
        <v>LB07</v>
      </c>
      <c r="B514" s="35" t="s">
        <v>937</v>
      </c>
      <c r="C514" s="37" t="str" cm="1">
        <f t="array" aca="1" ref="C514" ca="1">INDEX('SAP Customer Data'!$A:$AC,MATCH(بيانات_العملاء[[#This Row],[رمز شريك الأعمال]],'SAP Customer Data'!$B:$B,0),CELL("col",Table_Customer_Data[[#Headers],[CardName]]))</f>
        <v>مؤسسة درع الطاقة التجارية - نقدى</v>
      </c>
      <c r="D514" s="37" t="str">
        <f ca="1">IF(بيانات_العملاء[[#This Row],[حد الائتمان على SAP]]&gt;0,"آجل","نقدى")</f>
        <v>نقدى</v>
      </c>
      <c r="E514" s="37" t="s">
        <v>1001</v>
      </c>
      <c r="F514" s="37" t="s">
        <v>1081</v>
      </c>
      <c r="G514" s="37" t="s">
        <v>856</v>
      </c>
      <c r="H51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4" s="37" t="s">
        <v>854</v>
      </c>
      <c r="J514" s="38">
        <v>45130</v>
      </c>
      <c r="K514" s="37" t="s">
        <v>855</v>
      </c>
      <c r="L514" s="37" t="str">
        <f ca="1">IF(AND(بيانات_العملاء[[#This Row],[السجل التجارى]]="موجود",TODAY()+'Other Data'!$B$23&lt;J514,بيانات_العملاء[[#This Row],[مطابقة اسم العميل بالاسم بالسجل التجارى]]="مطابق"), "سارى", "يجب اعادة طلبه")</f>
        <v>يجب اعادة طلبه</v>
      </c>
      <c r="M514" s="37" t="s">
        <v>854</v>
      </c>
      <c r="N514" s="39" t="str" cm="1">
        <f t="array" aca="1" ref="N514" ca="1">INDEX('SAP Customer Data'!$A:$AC,MATCH(بيانات_العملاء[[#This Row],[رمز شريك الأعمال]],'SAP Customer Data'!$B:$B,0),CELL("col",Table_Customer_Data[[#Headers],[LicTradNum]]))</f>
        <v>300088676100003</v>
      </c>
      <c r="O51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4" s="37" t="s">
        <v>856</v>
      </c>
      <c r="Q514" s="38"/>
      <c r="R51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4" s="37" t="s">
        <v>1080</v>
      </c>
      <c r="T514" s="40"/>
      <c r="U514" s="41"/>
      <c r="V51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14" s="37" cm="1">
        <f t="array" aca="1" ref="X514" ca="1">INDEX('SAP Customer Data'!$A:$AC,MATCH(بيانات_العملاء[[#This Row],[رمز شريك الأعمال]],'SAP Customer Data'!$B:$B,0),CELL("col",Table_Customer_Data[[#Headers],[CreditLine]]))</f>
        <v>0</v>
      </c>
      <c r="Y514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4" s="37"/>
      <c r="AA51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4" s="37"/>
      <c r="AC514" s="37"/>
      <c r="AD51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14" s="37" t="s">
        <v>856</v>
      </c>
      <c r="AF514" s="37"/>
      <c r="AG51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4" s="37" t="s">
        <v>856</v>
      </c>
      <c r="AI514" s="37"/>
      <c r="AJ51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4" s="37"/>
      <c r="AL514" s="38"/>
      <c r="AM51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4" s="37" t="s">
        <v>856</v>
      </c>
      <c r="AO514" s="41"/>
      <c r="AP51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4" s="37" t="s">
        <v>856</v>
      </c>
      <c r="AR514" s="37"/>
      <c r="AS51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4" s="41" cm="1">
        <f t="array" aca="1" ref="AT514" ca="1">INDEX('SAP Customer Data'!A:Z,MATCH(بيانات_العملاء[[#This Row],[رمز شريك الأعمال]],'SAP Customer Data'!B:B,0),CELL("col",Table_Customer_Data[[#Headers],[CreateDate]]))</f>
        <v>44973</v>
      </c>
      <c r="AU514" s="37"/>
      <c r="AV514" s="41"/>
      <c r="AW514" s="37" t="s">
        <v>2097</v>
      </c>
      <c r="AX514" s="37"/>
    </row>
    <row r="515" spans="1:50" x14ac:dyDescent="0.25">
      <c r="A515" s="36" t="str" cm="1">
        <f t="array" aca="1" ref="A515" ca="1">INDEX('SAP Customer Data'!$A:$AC,MATCH(بيانات_العملاء[[#This Row],[رمز شريك الأعمال]],'SAP Customer Data'!$B:$B,0),CELL("col",Table_Customer_Data[[#Headers],[GroupName]]))</f>
        <v>LB07</v>
      </c>
      <c r="B515" s="35" t="s">
        <v>2098</v>
      </c>
      <c r="C515" s="37" t="str" cm="1">
        <f t="array" aca="1" ref="C515" ca="1">INDEX('SAP Customer Data'!$A:$AC,MATCH(بيانات_العملاء[[#This Row],[رمز شريك الأعمال]],'SAP Customer Data'!$B:$B,0),CELL("col",Table_Customer_Data[[#Headers],[CardName]]))</f>
        <v>مؤسسة التخصصية الاولي التجارية - نقدي</v>
      </c>
      <c r="D515" s="37" t="str">
        <f ca="1">IF(بيانات_العملاء[[#This Row],[حد الائتمان على SAP]]&gt;0,"آجل","نقدى")</f>
        <v>نقدى</v>
      </c>
      <c r="E515" s="37" t="s">
        <v>2099</v>
      </c>
      <c r="F515" s="37" t="s">
        <v>1081</v>
      </c>
      <c r="G515" s="37" t="s">
        <v>856</v>
      </c>
      <c r="H51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5" s="37" t="s">
        <v>854</v>
      </c>
      <c r="J515" s="38">
        <v>45487</v>
      </c>
      <c r="K515" s="41" t="s">
        <v>855</v>
      </c>
      <c r="L515" s="37" t="str">
        <f ca="1">IF(AND(بيانات_العملاء[[#This Row],[السجل التجارى]]="موجود",TODAY()+'Other Data'!$B$23&lt;J515,بيانات_العملاء[[#This Row],[مطابقة اسم العميل بالاسم بالسجل التجارى]]="مطابق"), "سارى", "يجب اعادة طلبه")</f>
        <v>سارى</v>
      </c>
      <c r="M515" s="37" t="s">
        <v>854</v>
      </c>
      <c r="N515" s="39" t="str" cm="1">
        <f t="array" aca="1" ref="N515" ca="1">INDEX('SAP Customer Data'!$A:$AC,MATCH(بيانات_العملاء[[#This Row],[رمز شريك الأعمال]],'SAP Customer Data'!$B:$B,0),CELL("col",Table_Customer_Data[[#Headers],[LicTradNum]]))</f>
        <v>310491645200003</v>
      </c>
      <c r="O51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5" s="37" t="s">
        <v>856</v>
      </c>
      <c r="Q515" s="38"/>
      <c r="R515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15" s="37" t="s">
        <v>1080</v>
      </c>
      <c r="T515" s="40"/>
      <c r="U515" s="41"/>
      <c r="V51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15" s="37" cm="1">
        <f t="array" aca="1" ref="X515" ca="1">INDEX('SAP Customer Data'!$A:$AC,MATCH(بيانات_العملاء[[#This Row],[رمز شريك الأعمال]],'SAP Customer Data'!$B:$B,0),CELL("col",Table_Customer_Data[[#Headers],[CreditLine]]))</f>
        <v>0</v>
      </c>
      <c r="Y51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5" s="37"/>
      <c r="AA51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5" s="37" t="s">
        <v>856</v>
      </c>
      <c r="AC515" s="37"/>
      <c r="AD515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15" s="37" t="s">
        <v>856</v>
      </c>
      <c r="AF515" s="37"/>
      <c r="AG51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15" s="37" t="s">
        <v>856</v>
      </c>
      <c r="AI515" s="37"/>
      <c r="AJ51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15" s="37" t="s">
        <v>856</v>
      </c>
      <c r="AL515" s="38"/>
      <c r="AM51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5" s="37" t="s">
        <v>856</v>
      </c>
      <c r="AO515" s="41"/>
      <c r="AP51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5" s="37" t="s">
        <v>856</v>
      </c>
      <c r="AR515" s="37"/>
      <c r="AS51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15" s="41" cm="1">
        <f t="array" aca="1" ref="AT515" ca="1">INDEX('SAP Customer Data'!A:Z,MATCH(بيانات_العملاء[[#This Row],[رمز شريك الأعمال]],'SAP Customer Data'!B:B,0),CELL("col",Table_Customer_Data[[#Headers],[CreateDate]]))</f>
        <v>45087</v>
      </c>
      <c r="AU515" s="41" t="s">
        <v>2100</v>
      </c>
      <c r="AV515" s="41"/>
      <c r="AW515" s="37" t="s">
        <v>2097</v>
      </c>
      <c r="AX515" s="37"/>
    </row>
    <row r="516" spans="1:50" x14ac:dyDescent="0.25">
      <c r="A516" s="36" t="str" cm="1">
        <f t="array" aca="1" ref="A516" ca="1">INDEX('SAP Customer Data'!$A:$AC,MATCH(بيانات_العملاء[[#This Row],[رمز شريك الأعمال]],'SAP Customer Data'!$B:$B,0),CELL("col",Table_Customer_Data[[#Headers],[GroupName]]))</f>
        <v>LB07</v>
      </c>
      <c r="B516" s="35" t="s">
        <v>679</v>
      </c>
      <c r="C516" s="37" t="str" cm="1">
        <f t="array" aca="1" ref="C516" ca="1">INDEX('SAP Customer Data'!$A:$AC,MATCH(بيانات_العملاء[[#This Row],[رمز شريك الأعمال]],'SAP Customer Data'!$B:$B,0),CELL("col",Table_Customer_Data[[#Headers],[CardName]]))</f>
        <v>مؤسسة احمد محمد احمد الهندي لمواد البناء</v>
      </c>
      <c r="D516" s="37" t="str">
        <f>IF(بيانات_العملاء[[#This Row],[حد الائتمان على SAP]]&gt;0,"آجل","نقدى")</f>
        <v>آجل</v>
      </c>
      <c r="E516" s="37" t="s">
        <v>1596</v>
      </c>
      <c r="F516" s="37" t="s">
        <v>1081</v>
      </c>
      <c r="G516" s="37" t="s">
        <v>854</v>
      </c>
      <c r="H51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16" s="37" t="s">
        <v>854</v>
      </c>
      <c r="J516" s="38">
        <v>44635</v>
      </c>
      <c r="K516" s="37" t="s">
        <v>855</v>
      </c>
      <c r="L516" s="37" t="str">
        <f ca="1">IF(AND(بيانات_العملاء[[#This Row],[السجل التجارى]]="موجود",TODAY()+'Other Data'!$B$23&lt;J516,بيانات_العملاء[[#This Row],[مطابقة اسم العميل بالاسم بالسجل التجارى]]="مطابق"), "سارى", "يجب اعادة طلبه")</f>
        <v>يجب اعادة طلبه</v>
      </c>
      <c r="M516" s="37" t="s">
        <v>854</v>
      </c>
      <c r="N516" s="39" t="str" cm="1">
        <f t="array" aca="1" ref="N516" ca="1">INDEX('SAP Customer Data'!$A:$AC,MATCH(بيانات_العملاء[[#This Row],[رمز شريك الأعمال]],'SAP Customer Data'!$B:$B,0),CELL("col",Table_Customer_Data[[#Headers],[LicTradNum]]))</f>
        <v>300845381800003</v>
      </c>
      <c r="O51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6" s="37" t="s">
        <v>856</v>
      </c>
      <c r="Q516" s="38"/>
      <c r="R51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6" s="37" t="s">
        <v>854</v>
      </c>
      <c r="T516" s="40">
        <v>30000</v>
      </c>
      <c r="U516" s="41"/>
      <c r="V51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516" s="37">
        <v>24000</v>
      </c>
      <c r="Y516" s="37" t="str">
        <f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6" s="37" t="s">
        <v>855</v>
      </c>
      <c r="AA51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16" s="37" t="s">
        <v>854</v>
      </c>
      <c r="AC516" s="37">
        <v>47053</v>
      </c>
      <c r="AD51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16" s="37" t="s">
        <v>854</v>
      </c>
      <c r="AF516" s="37">
        <v>47053</v>
      </c>
      <c r="AG51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516" s="37" t="s">
        <v>856</v>
      </c>
      <c r="AI516" s="37"/>
      <c r="AJ51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6" s="37" t="s">
        <v>856</v>
      </c>
      <c r="AL516" s="38"/>
      <c r="AM51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6" s="37" t="s">
        <v>856</v>
      </c>
      <c r="AO516" s="41"/>
      <c r="AP51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6" s="37" t="s">
        <v>856</v>
      </c>
      <c r="AR516" s="37"/>
      <c r="AS51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6" s="41" cm="1">
        <f t="array" aca="1" ref="AT516" ca="1">INDEX('SAP Customer Data'!A:Z,MATCH(بيانات_العملاء[[#This Row],[رمز شريك الأعمال]],'SAP Customer Data'!B:B,0),CELL("col",Table_Customer_Data[[#Headers],[CreateDate]]))</f>
        <v>44550</v>
      </c>
      <c r="AU516" s="37"/>
      <c r="AV516" s="41"/>
      <c r="AW516" s="37" t="s">
        <v>2097</v>
      </c>
      <c r="AX516" s="37"/>
    </row>
    <row r="517" spans="1:50" x14ac:dyDescent="0.25">
      <c r="A517" s="36" t="str" cm="1">
        <f t="array" aca="1" ref="A517" ca="1">INDEX('SAP Customer Data'!$A:$AC,MATCH(بيانات_العملاء[[#This Row],[رمز شريك الأعمال]],'SAP Customer Data'!$B:$B,0),CELL("col",Table_Customer_Data[[#Headers],[GroupName]]))</f>
        <v>LB07</v>
      </c>
      <c r="B517" s="35" t="s">
        <v>938</v>
      </c>
      <c r="C517" s="37" t="str" cm="1">
        <f t="array" aca="1" ref="C517" ca="1">INDEX('SAP Customer Data'!$A:$AC,MATCH(بيانات_العملاء[[#This Row],[رمز شريك الأعمال]],'SAP Customer Data'!$B:$B,0),CELL("col",Table_Customer_Data[[#Headers],[CardName]]))</f>
        <v>مؤسسة محمد على عبده الفقيه للتجارة - نقدى</v>
      </c>
      <c r="D517" s="37" t="str">
        <f ca="1">IF(بيانات_العملاء[[#This Row],[حد الائتمان على SAP]]&gt;0,"آجل","نقدى")</f>
        <v>نقدى</v>
      </c>
      <c r="E517" s="37" t="s">
        <v>977</v>
      </c>
      <c r="F517" s="37" t="s">
        <v>1081</v>
      </c>
      <c r="G517" s="37" t="s">
        <v>856</v>
      </c>
      <c r="H51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7" s="37" t="s">
        <v>854</v>
      </c>
      <c r="J517" s="38">
        <v>45500</v>
      </c>
      <c r="K517" s="37" t="s">
        <v>855</v>
      </c>
      <c r="L517" s="37" t="str">
        <f ca="1">IF(AND(بيانات_العملاء[[#This Row],[السجل التجارى]]="موجود",TODAY()+'Other Data'!$B$23&lt;J517,بيانات_العملاء[[#This Row],[مطابقة اسم العميل بالاسم بالسجل التجارى]]="مطابق"), "سارى", "يجب اعادة طلبه")</f>
        <v>سارى</v>
      </c>
      <c r="M517" s="37" t="s">
        <v>854</v>
      </c>
      <c r="N517" s="39" t="str" cm="1">
        <f t="array" aca="1" ref="N517" ca="1">INDEX('SAP Customer Data'!$A:$AC,MATCH(بيانات_العملاء[[#This Row],[رمز شريك الأعمال]],'SAP Customer Data'!$B:$B,0),CELL("col",Table_Customer_Data[[#Headers],[LicTradNum]]))</f>
        <v>301254077400003</v>
      </c>
      <c r="O51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7" s="37" t="s">
        <v>854</v>
      </c>
      <c r="Q517" s="38">
        <v>45789</v>
      </c>
      <c r="R517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517" s="37" t="s">
        <v>1080</v>
      </c>
      <c r="T517" s="40"/>
      <c r="U517" s="41"/>
      <c r="V51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17" s="37" cm="1">
        <f t="array" aca="1" ref="X517" ca="1">INDEX('SAP Customer Data'!$A:$AC,MATCH(بيانات_العملاء[[#This Row],[رمز شريك الأعمال]],'SAP Customer Data'!$B:$B,0),CELL("col",Table_Customer_Data[[#Headers],[CreditLine]]))</f>
        <v>0</v>
      </c>
      <c r="Y51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7" s="37"/>
      <c r="AA51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7" s="37" t="s">
        <v>854</v>
      </c>
      <c r="AC517" s="41">
        <v>47687</v>
      </c>
      <c r="AD517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17" s="37" t="s">
        <v>856</v>
      </c>
      <c r="AF517" s="37"/>
      <c r="AG51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7" s="37" t="s">
        <v>856</v>
      </c>
      <c r="AI517" s="37"/>
      <c r="AJ51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7" s="37"/>
      <c r="AL517" s="38"/>
      <c r="AM51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7" s="37" t="s">
        <v>856</v>
      </c>
      <c r="AO517" s="41"/>
      <c r="AP51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7" s="37" t="s">
        <v>856</v>
      </c>
      <c r="AR517" s="37"/>
      <c r="AS51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7" s="41" cm="1">
        <f t="array" aca="1" ref="AT517" ca="1">INDEX('SAP Customer Data'!A:Z,MATCH(بيانات_العملاء[[#This Row],[رمز شريك الأعمال]],'SAP Customer Data'!B:B,0),CELL("col",Table_Customer_Data[[#Headers],[CreateDate]]))</f>
        <v>44990</v>
      </c>
      <c r="AU517" s="37"/>
      <c r="AV517" s="41"/>
      <c r="AW517" s="37" t="s">
        <v>2097</v>
      </c>
      <c r="AX517" s="37"/>
    </row>
    <row r="518" spans="1:50" x14ac:dyDescent="0.25">
      <c r="A518" s="36" t="str" cm="1">
        <f t="array" aca="1" ref="A518" ca="1">INDEX('SAP Customer Data'!$A:$AC,MATCH(بيانات_العملاء[[#This Row],[رمز شريك الأعمال]],'SAP Customer Data'!$B:$B,0),CELL("col",Table_Customer_Data[[#Headers],[GroupName]]))</f>
        <v>LB07</v>
      </c>
      <c r="B518" s="35" t="s">
        <v>607</v>
      </c>
      <c r="C518" s="37" t="str" cm="1">
        <f t="array" aca="1" ref="C518" ca="1">INDEX('SAP Customer Data'!$A:$AC,MATCH(بيانات_العملاء[[#This Row],[رمز شريك الأعمال]],'SAP Customer Data'!$B:$B,0),CELL("col",Table_Customer_Data[[#Headers],[CardName]]))</f>
        <v>مؤسسة نجاة سعيد احمد العمودي التجارية</v>
      </c>
      <c r="D518" s="37" t="str">
        <f ca="1">IF(بيانات_العملاء[[#This Row],[حد الائتمان على SAP]]&gt;0,"آجل","نقدى")</f>
        <v>آجل</v>
      </c>
      <c r="E518" s="37" t="s">
        <v>1107</v>
      </c>
      <c r="F518" s="37" t="s">
        <v>1081</v>
      </c>
      <c r="G518" s="37" t="s">
        <v>854</v>
      </c>
      <c r="H518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18" s="37" t="s">
        <v>854</v>
      </c>
      <c r="J518" s="38">
        <v>44199</v>
      </c>
      <c r="K518" s="37" t="s">
        <v>855</v>
      </c>
      <c r="L518" s="37" t="str">
        <f ca="1">IF(AND(بيانات_العملاء[[#This Row],[السجل التجارى]]="موجود",TODAY()+'Other Data'!$B$23&lt;J518,بيانات_العملاء[[#This Row],[مطابقة اسم العميل بالاسم بالسجل التجارى]]="مطابق"), "سارى", "يجب اعادة طلبه")</f>
        <v>يجب اعادة طلبه</v>
      </c>
      <c r="M518" s="37" t="s">
        <v>854</v>
      </c>
      <c r="N518" s="39" t="str" cm="1">
        <f t="array" aca="1" ref="N518" ca="1">INDEX('SAP Customer Data'!$A:$AC,MATCH(بيانات_العملاء[[#This Row],[رمز شريك الأعمال]],'SAP Customer Data'!$B:$B,0),CELL("col",Table_Customer_Data[[#Headers],[LicTradNum]]))</f>
        <v>302013297500003</v>
      </c>
      <c r="O51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8" s="37" t="s">
        <v>854</v>
      </c>
      <c r="Q518" s="38">
        <v>44184</v>
      </c>
      <c r="R51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8" s="37" t="s">
        <v>854</v>
      </c>
      <c r="T518" s="40">
        <v>600000</v>
      </c>
      <c r="U518" s="41"/>
      <c r="V51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480000</v>
      </c>
      <c r="X518" s="37" cm="1">
        <f t="array" aca="1" ref="X518" ca="1">INDEX('SAP Customer Data'!$A:$AC,MATCH(بيانات_العملاء[[#This Row],[رمز شريك الأعمال]],'SAP Customer Data'!$B:$B,0),CELL("col",Table_Customer_Data[[#Headers],[CreditLine]]))</f>
        <v>30000</v>
      </c>
      <c r="Y51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السند اكبر</v>
      </c>
      <c r="Z518" s="37" t="s">
        <v>855</v>
      </c>
      <c r="AA51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18" s="37" t="s">
        <v>854</v>
      </c>
      <c r="AC518" s="37">
        <v>50930</v>
      </c>
      <c r="AD51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18" s="37" t="s">
        <v>856</v>
      </c>
      <c r="AF518" s="37"/>
      <c r="AG51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8" s="37" t="s">
        <v>856</v>
      </c>
      <c r="AI518" s="37"/>
      <c r="AJ51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8" s="37" t="s">
        <v>856</v>
      </c>
      <c r="AL518" s="38"/>
      <c r="AM51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8" s="37" t="s">
        <v>856</v>
      </c>
      <c r="AO518" s="41"/>
      <c r="AP51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8" s="37" t="s">
        <v>856</v>
      </c>
      <c r="AR518" s="37"/>
      <c r="AS51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8" s="41" cm="1">
        <f t="array" aca="1" ref="AT518" ca="1">INDEX('SAP Customer Data'!A:Z,MATCH(بيانات_العملاء[[#This Row],[رمز شريك الأعمال]],'SAP Customer Data'!B:B,0),CELL("col",Table_Customer_Data[[#Headers],[CreateDate]]))</f>
        <v>44224</v>
      </c>
      <c r="AU518" s="37"/>
      <c r="AV518" s="41"/>
      <c r="AW518" s="37" t="s">
        <v>2097</v>
      </c>
      <c r="AX518" s="37"/>
    </row>
    <row r="519" spans="1:50" x14ac:dyDescent="0.25">
      <c r="A519" s="36" t="str" cm="1">
        <f t="array" aca="1" ref="A519" ca="1">INDEX('SAP Customer Data'!$A:$AC,MATCH(بيانات_العملاء[[#This Row],[رمز شريك الأعمال]],'SAP Customer Data'!$B:$B,0),CELL("col",Table_Customer_Data[[#Headers],[GroupName]]))</f>
        <v>LB07</v>
      </c>
      <c r="B519" s="35" t="s">
        <v>732</v>
      </c>
      <c r="C519" s="37" t="str" cm="1">
        <f t="array" aca="1" ref="C519" ca="1">INDEX('SAP Customer Data'!$A:$AC,MATCH(بيانات_العملاء[[#This Row],[رمز شريك الأعمال]],'SAP Customer Data'!$B:$B,0),CELL("col",Table_Customer_Data[[#Headers],[CardName]]))</f>
        <v>شركة محمد عبدالرحمن فرحات للمقاولات -نقدي</v>
      </c>
      <c r="D519" s="37" t="str">
        <f ca="1">IF(بيانات_العملاء[[#This Row],[حد الائتمان على SAP]]&gt;0,"آجل","نقدى")</f>
        <v>نقدى</v>
      </c>
      <c r="E519" s="37"/>
      <c r="F519" s="37" t="s">
        <v>996</v>
      </c>
      <c r="G519" s="37" t="s">
        <v>856</v>
      </c>
      <c r="H51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19" s="37" t="s">
        <v>854</v>
      </c>
      <c r="J519" s="38">
        <v>45244</v>
      </c>
      <c r="K519" s="37" t="s">
        <v>855</v>
      </c>
      <c r="L519" s="37" t="str">
        <f ca="1">IF(AND(بيانات_العملاء[[#This Row],[السجل التجارى]]="موجود",TODAY()+'Other Data'!$B$23&lt;J519,بيانات_العملاء[[#This Row],[مطابقة اسم العميل بالاسم بالسجل التجارى]]="مطابق"), "سارى", "يجب اعادة طلبه")</f>
        <v>سارى</v>
      </c>
      <c r="M519" s="37" t="s">
        <v>854</v>
      </c>
      <c r="N519" s="39" t="str" cm="1">
        <f t="array" aca="1" ref="N519" ca="1">INDEX('SAP Customer Data'!$A:$AC,MATCH(بيانات_العملاء[[#This Row],[رمز شريك الأعمال]],'SAP Customer Data'!$B:$B,0),CELL("col",Table_Customer_Data[[#Headers],[LicTradNum]]))</f>
        <v>310086821200003</v>
      </c>
      <c r="O51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19" s="37" t="s">
        <v>856</v>
      </c>
      <c r="Q519" s="38"/>
      <c r="R51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19" s="37" t="s">
        <v>1080</v>
      </c>
      <c r="T519" s="40"/>
      <c r="U519" s="41"/>
      <c r="V51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1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19" s="37" cm="1">
        <f t="array" aca="1" ref="X519" ca="1">INDEX('SAP Customer Data'!$A:$AC,MATCH(بيانات_العملاء[[#This Row],[رمز شريك الأعمال]],'SAP Customer Data'!$B:$B,0),CELL("col",Table_Customer_Data[[#Headers],[CreditLine]]))</f>
        <v>0</v>
      </c>
      <c r="Y51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19" s="37"/>
      <c r="AA51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19" s="37" t="s">
        <v>856</v>
      </c>
      <c r="AC519" s="37"/>
      <c r="AD51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19" s="37" t="s">
        <v>856</v>
      </c>
      <c r="AF519" s="37"/>
      <c r="AG51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19" s="37" t="s">
        <v>856</v>
      </c>
      <c r="AI519" s="37"/>
      <c r="AJ51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19" s="37" t="s">
        <v>856</v>
      </c>
      <c r="AL519" s="38"/>
      <c r="AM51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19" s="37" t="s">
        <v>856</v>
      </c>
      <c r="AO519" s="41"/>
      <c r="AP51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19" s="37" t="s">
        <v>856</v>
      </c>
      <c r="AR519" s="37"/>
      <c r="AS51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19" s="41" cm="1">
        <f t="array" aca="1" ref="AT519" ca="1">INDEX('SAP Customer Data'!A:Z,MATCH(بيانات_العملاء[[#This Row],[رمز شريك الأعمال]],'SAP Customer Data'!B:B,0),CELL("col",Table_Customer_Data[[#Headers],[CreateDate]]))</f>
        <v>44851</v>
      </c>
      <c r="AU519" s="37"/>
      <c r="AV519" s="41"/>
      <c r="AW519" s="37" t="s">
        <v>2097</v>
      </c>
      <c r="AX519" s="37"/>
    </row>
    <row r="520" spans="1:50" x14ac:dyDescent="0.25">
      <c r="A520" s="36" t="str" cm="1">
        <f t="array" aca="1" ref="A520" ca="1">INDEX('SAP Customer Data'!$A:$AC,MATCH(بيانات_العملاء[[#This Row],[رمز شريك الأعمال]],'SAP Customer Data'!$B:$B,0),CELL("col",Table_Customer_Data[[#Headers],[GroupName]]))</f>
        <v>LB07</v>
      </c>
      <c r="B520" s="35" t="s">
        <v>755</v>
      </c>
      <c r="C520" s="37" t="str" cm="1">
        <f t="array" aca="1" ref="C520" ca="1">INDEX('SAP Customer Data'!$A:$AC,MATCH(بيانات_العملاء[[#This Row],[رمز شريك الأعمال]],'SAP Customer Data'!$B:$B,0),CELL("col",Table_Customer_Data[[#Headers],[CardName]]))</f>
        <v>شركة المبارك للتجارة-فرع خليص- نقدي</v>
      </c>
      <c r="D520" s="37" t="str">
        <f ca="1">IF(بيانات_العملاء[[#This Row],[حد الائتمان على SAP]]&gt;0,"آجل","نقدى")</f>
        <v>نقدى</v>
      </c>
      <c r="E520" s="37" t="s">
        <v>978</v>
      </c>
      <c r="F520" s="37" t="s">
        <v>1081</v>
      </c>
      <c r="G520" s="37" t="s">
        <v>856</v>
      </c>
      <c r="H52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20" s="37" t="s">
        <v>854</v>
      </c>
      <c r="J520" s="38">
        <v>45095</v>
      </c>
      <c r="K520" s="37" t="s">
        <v>855</v>
      </c>
      <c r="L520" s="37" t="str">
        <f ca="1">IF(AND(بيانات_العملاء[[#This Row],[السجل التجارى]]="موجود",TODAY()+'Other Data'!$B$23&lt;J520,بيانات_العملاء[[#This Row],[مطابقة اسم العميل بالاسم بالسجل التجارى]]="مطابق"), "سارى", "يجب اعادة طلبه")</f>
        <v>يجب اعادة طلبه</v>
      </c>
      <c r="M520" s="37" t="s">
        <v>854</v>
      </c>
      <c r="N520" s="39" t="str" cm="1">
        <f t="array" aca="1" ref="N520" ca="1">INDEX('SAP Customer Data'!$A:$AC,MATCH(بيانات_العملاء[[#This Row],[رمز شريك الأعمال]],'SAP Customer Data'!$B:$B,0),CELL("col",Table_Customer_Data[[#Headers],[LicTradNum]]))</f>
        <v>311564581700003</v>
      </c>
      <c r="O52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20" s="37" t="s">
        <v>856</v>
      </c>
      <c r="Q520" s="38"/>
      <c r="R52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20" s="37" t="s">
        <v>1080</v>
      </c>
      <c r="T520" s="40"/>
      <c r="U520" s="41"/>
      <c r="V52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2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20" s="37" cm="1">
        <f t="array" aca="1" ref="X520" ca="1">INDEX('SAP Customer Data'!$A:$AC,MATCH(بيانات_العملاء[[#This Row],[رمز شريك الأعمال]],'SAP Customer Data'!$B:$B,0),CELL("col",Table_Customer_Data[[#Headers],[CreditLine]]))</f>
        <v>0</v>
      </c>
      <c r="Y52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0" s="37"/>
      <c r="AA52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20" s="37" t="s">
        <v>856</v>
      </c>
      <c r="AC520" s="37"/>
      <c r="AD52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0" s="37" t="s">
        <v>856</v>
      </c>
      <c r="AF520" s="37"/>
      <c r="AG52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20" s="37" t="s">
        <v>856</v>
      </c>
      <c r="AI520" s="37"/>
      <c r="AJ52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20" s="37"/>
      <c r="AL520" s="38"/>
      <c r="AM52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0" s="37" t="s">
        <v>856</v>
      </c>
      <c r="AO520" s="41"/>
      <c r="AP52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0" s="37" t="s">
        <v>856</v>
      </c>
      <c r="AR520" s="37"/>
      <c r="AS52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20" s="41" cm="1">
        <f t="array" aca="1" ref="AT520" ca="1">INDEX('SAP Customer Data'!A:Z,MATCH(بيانات_العملاء[[#This Row],[رمز شريك الأعمال]],'SAP Customer Data'!B:B,0),CELL("col",Table_Customer_Data[[#Headers],[CreateDate]]))</f>
        <v>44938</v>
      </c>
      <c r="AU520" s="37"/>
      <c r="AV520" s="41"/>
      <c r="AW520" s="37" t="s">
        <v>2097</v>
      </c>
      <c r="AX520" s="37"/>
    </row>
    <row r="521" spans="1:50" x14ac:dyDescent="0.25">
      <c r="A521" s="36" t="str" cm="1">
        <f t="array" aca="1" ref="A521" ca="1">INDEX('SAP Customer Data'!$A:$AC,MATCH(بيانات_العملاء[[#This Row],[رمز شريك الأعمال]],'SAP Customer Data'!$B:$B,0),CELL("col",Table_Customer_Data[[#Headers],[GroupName]]))</f>
        <v>LB07</v>
      </c>
      <c r="B521" s="35" t="s">
        <v>734</v>
      </c>
      <c r="C521" s="37" t="str" cm="1">
        <f t="array" aca="1" ref="C521" ca="1">INDEX('SAP Customer Data'!$A:$AC,MATCH(بيانات_العملاء[[#This Row],[رمز شريك الأعمال]],'SAP Customer Data'!$B:$B,0),CELL("col",Table_Customer_Data[[#Headers],[CardName]]))</f>
        <v>مؤسسة سعد جمعان حامد الحربى للتجارة - نقدى</v>
      </c>
      <c r="D521" s="37" t="str">
        <f ca="1">IF(بيانات_العملاء[[#This Row],[حد الائتمان على SAP]]&gt;0,"آجل","نقدى")</f>
        <v>نقدى</v>
      </c>
      <c r="E521" s="37" t="s">
        <v>1587</v>
      </c>
      <c r="F521" s="37" t="s">
        <v>1081</v>
      </c>
      <c r="G521" s="37" t="s">
        <v>856</v>
      </c>
      <c r="H521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21" s="37" t="s">
        <v>854</v>
      </c>
      <c r="J521" s="38">
        <v>45050</v>
      </c>
      <c r="K521" s="37" t="s">
        <v>855</v>
      </c>
      <c r="L521" s="37" t="str">
        <f ca="1">IF(AND(بيانات_العملاء[[#This Row],[السجل التجارى]]="موجود",TODAY()+'Other Data'!$B$23&lt;J521,بيانات_العملاء[[#This Row],[مطابقة اسم العميل بالاسم بالسجل التجارى]]="مطابق"), "سارى", "يجب اعادة طلبه")</f>
        <v>يجب اعادة طلبه</v>
      </c>
      <c r="M521" s="37" t="s">
        <v>854</v>
      </c>
      <c r="N521" s="39" t="str" cm="1">
        <f t="array" aca="1" ref="N521" ca="1">INDEX('SAP Customer Data'!$A:$AC,MATCH(بيانات_العملاء[[#This Row],[رمز شريك الأعمال]],'SAP Customer Data'!$B:$B,0),CELL("col",Table_Customer_Data[[#Headers],[LicTradNum]]))</f>
        <v>310389038900003</v>
      </c>
      <c r="O52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21" s="37" t="s">
        <v>856</v>
      </c>
      <c r="Q521" s="38"/>
      <c r="R52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21" s="37" t="s">
        <v>1080</v>
      </c>
      <c r="T521" s="40"/>
      <c r="U521" s="41"/>
      <c r="V52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2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21" s="37" cm="1">
        <f t="array" aca="1" ref="X521" ca="1">INDEX('SAP Customer Data'!$A:$AC,MATCH(بيانات_العملاء[[#This Row],[رمز شريك الأعمال]],'SAP Customer Data'!$B:$B,0),CELL("col",Table_Customer_Data[[#Headers],[CreditLine]]))</f>
        <v>0</v>
      </c>
      <c r="Y52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1" s="37"/>
      <c r="AA52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21" s="37" t="s">
        <v>854</v>
      </c>
      <c r="AC521" s="41">
        <v>49126</v>
      </c>
      <c r="AD52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21" s="37" t="s">
        <v>856</v>
      </c>
      <c r="AF521" s="37"/>
      <c r="AG52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21" s="37" t="s">
        <v>856</v>
      </c>
      <c r="AI521" s="37"/>
      <c r="AJ52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21" s="37" t="s">
        <v>856</v>
      </c>
      <c r="AL521" s="38"/>
      <c r="AM52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1" s="37" t="s">
        <v>856</v>
      </c>
      <c r="AO521" s="41"/>
      <c r="AP52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1" s="37" t="s">
        <v>856</v>
      </c>
      <c r="AR521" s="37"/>
      <c r="AS52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21" s="41" cm="1">
        <f t="array" aca="1" ref="AT521" ca="1">INDEX('SAP Customer Data'!A:Z,MATCH(بيانات_العملاء[[#This Row],[رمز شريك الأعمال]],'SAP Customer Data'!B:B,0),CELL("col",Table_Customer_Data[[#Headers],[CreateDate]]))</f>
        <v>44881</v>
      </c>
      <c r="AU521" s="37"/>
      <c r="AV521" s="41"/>
      <c r="AW521" s="37" t="s">
        <v>2097</v>
      </c>
      <c r="AX521" s="37"/>
    </row>
    <row r="522" spans="1:50" x14ac:dyDescent="0.25">
      <c r="A522" s="36" t="str" cm="1">
        <f t="array" aca="1" ref="A522" ca="1">INDEX('SAP Customer Data'!$A:$AC,MATCH(بيانات_العملاء[[#This Row],[رمز شريك الأعمال]],'SAP Customer Data'!$B:$B,0),CELL("col",Table_Customer_Data[[#Headers],[GroupName]]))</f>
        <v>LB07</v>
      </c>
      <c r="B522" s="35" t="s">
        <v>691</v>
      </c>
      <c r="C522" s="37" t="str" cm="1">
        <f t="array" aca="1" ref="C522" ca="1">INDEX('SAP Customer Data'!$A:$AC,MATCH(بيانات_العملاء[[#This Row],[رمز شريك الأعمال]],'SAP Customer Data'!$B:$B,0),CELL("col",Table_Customer_Data[[#Headers],[CardName]]))</f>
        <v>مؤسسةعبدالرحمن بن عطيه بن رازن الصحفي للتجارة</v>
      </c>
      <c r="D522" s="37" t="str">
        <f ca="1">IF(بيانات_العملاء[[#This Row],[حد الائتمان على SAP]]&gt;0,"آجل","نقدى")</f>
        <v>آجل</v>
      </c>
      <c r="E522" s="37" t="s">
        <v>1594</v>
      </c>
      <c r="F522" s="37" t="s">
        <v>1081</v>
      </c>
      <c r="G522" s="37" t="s">
        <v>854</v>
      </c>
      <c r="H52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22" s="37" t="s">
        <v>854</v>
      </c>
      <c r="J522" s="38">
        <v>44895</v>
      </c>
      <c r="K522" s="37" t="s">
        <v>855</v>
      </c>
      <c r="L522" s="37" t="str">
        <f ca="1">IF(AND(بيانات_العملاء[[#This Row],[السجل التجارى]]="موجود",TODAY()+'Other Data'!$B$23&lt;J522,بيانات_العملاء[[#This Row],[مطابقة اسم العميل بالاسم بالسجل التجارى]]="مطابق"), "سارى", "يجب اعادة طلبه")</f>
        <v>يجب اعادة طلبه</v>
      </c>
      <c r="M522" s="37" t="s">
        <v>854</v>
      </c>
      <c r="N522" s="39" t="str" cm="1">
        <f t="array" aca="1" ref="N522" ca="1">INDEX('SAP Customer Data'!$A:$AC,MATCH(بيانات_العملاء[[#This Row],[رمز شريك الأعمال]],'SAP Customer Data'!$B:$B,0),CELL("col",Table_Customer_Data[[#Headers],[LicTradNum]]))</f>
        <v>311118698800003</v>
      </c>
      <c r="O522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22" s="37" t="s">
        <v>856</v>
      </c>
      <c r="Q522" s="38"/>
      <c r="R522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22" s="37" t="s">
        <v>854</v>
      </c>
      <c r="T522" s="40">
        <v>30000</v>
      </c>
      <c r="U522" s="41"/>
      <c r="V522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2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522" s="37" cm="1">
        <f t="array" aca="1" ref="X522" ca="1">INDEX('SAP Customer Data'!$A:$AC,MATCH(بيانات_العملاء[[#This Row],[رمز شريك الأعمال]],'SAP Customer Data'!$B:$B,0),CELL("col",Table_Customer_Data[[#Headers],[CreditLine]]))</f>
        <v>24000</v>
      </c>
      <c r="Y52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2" s="37" t="s">
        <v>855</v>
      </c>
      <c r="AA52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22" s="37" t="s">
        <v>856</v>
      </c>
      <c r="AC522" s="37"/>
      <c r="AD522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2" s="37" t="s">
        <v>856</v>
      </c>
      <c r="AF522" s="37"/>
      <c r="AG52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22" s="37" t="s">
        <v>856</v>
      </c>
      <c r="AI522" s="37"/>
      <c r="AJ52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22" s="37" t="s">
        <v>856</v>
      </c>
      <c r="AL522" s="38"/>
      <c r="AM52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2" s="37" t="s">
        <v>856</v>
      </c>
      <c r="AO522" s="41"/>
      <c r="AP52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2" s="37" t="s">
        <v>856</v>
      </c>
      <c r="AR522" s="37"/>
      <c r="AS52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22" s="41" cm="1">
        <f t="array" aca="1" ref="AT522" ca="1">INDEX('SAP Customer Data'!A:Z,MATCH(بيانات_العملاء[[#This Row],[رمز شريك الأعمال]],'SAP Customer Data'!B:B,0),CELL("col",Table_Customer_Data[[#Headers],[CreateDate]]))</f>
        <v>44583</v>
      </c>
      <c r="AU522" s="37"/>
      <c r="AV522" s="41"/>
      <c r="AW522" s="37" t="s">
        <v>2097</v>
      </c>
      <c r="AX522" s="37"/>
    </row>
    <row r="523" spans="1:50" x14ac:dyDescent="0.25">
      <c r="A523" s="36" t="str" cm="1">
        <f t="array" aca="1" ref="A523" ca="1">INDEX('SAP Customer Data'!$A:$AC,MATCH(بيانات_العملاء[[#This Row],[رمز شريك الأعمال]],'SAP Customer Data'!$B:$B,0),CELL("col",Table_Customer_Data[[#Headers],[GroupName]]))</f>
        <v>LB07</v>
      </c>
      <c r="B523" s="35" t="s">
        <v>1076</v>
      </c>
      <c r="C523" s="37" t="str" cm="1">
        <f t="array" aca="1" ref="C523" ca="1">INDEX('SAP Customer Data'!$A:$AC,MATCH(بيانات_العملاء[[#This Row],[رمز شريك الأعمال]],'SAP Customer Data'!$B:$B,0),CELL("col",Table_Customer_Data[[#Headers],[CardName]]))</f>
        <v>شركة مركز الجملة الجنوبية التجارية</v>
      </c>
      <c r="D523" s="37" t="str">
        <f ca="1">IF(بيانات_العملاء[[#This Row],[حد الائتمان على SAP]]&gt;0,"آجل","نقدى")</f>
        <v>آجل</v>
      </c>
      <c r="E523" s="37"/>
      <c r="F523" s="37" t="s">
        <v>996</v>
      </c>
      <c r="G523" s="37" t="s">
        <v>854</v>
      </c>
      <c r="H52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23" s="37" t="s">
        <v>854</v>
      </c>
      <c r="J523" s="38">
        <v>45273</v>
      </c>
      <c r="K523" s="41" t="s">
        <v>855</v>
      </c>
      <c r="L523" s="37" t="str">
        <f ca="1">IF(AND(بيانات_العملاء[[#This Row],[السجل التجارى]]="موجود",TODAY()+'Other Data'!$B$23&lt;J523,بيانات_العملاء[[#This Row],[مطابقة اسم العميل بالاسم بالسجل التجارى]]="مطابق"), "سارى", "يجب اعادة طلبه")</f>
        <v>سارى</v>
      </c>
      <c r="M523" s="37" t="s">
        <v>854</v>
      </c>
      <c r="N523" s="39" t="str" cm="1">
        <f t="array" aca="1" ref="N523" ca="1">INDEX('SAP Customer Data'!$A:$AC,MATCH(بيانات_العملاء[[#This Row],[رمز شريك الأعمال]],'SAP Customer Data'!$B:$B,0),CELL("col",Table_Customer_Data[[#Headers],[LicTradNum]]))</f>
        <v>311138684600003</v>
      </c>
      <c r="O52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23" s="37" t="s">
        <v>854</v>
      </c>
      <c r="Q523" s="38">
        <v>45518</v>
      </c>
      <c r="R523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523" s="37" t="s">
        <v>854</v>
      </c>
      <c r="T523" s="40">
        <v>30000</v>
      </c>
      <c r="U523" s="41">
        <v>45062</v>
      </c>
      <c r="V523" s="41">
        <f>IF(بيانات_العملاء[[#This Row],[تاريخ انشاء سند الامر او الاستثناء]]="",0,بيانات_العملاء[[#This Row],[تاريخ انشاء سند الامر او الاستثناء]]+365*3)</f>
        <v>46157</v>
      </c>
      <c r="W52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523" s="37" cm="1">
        <f t="array" aca="1" ref="X523" ca="1">INDEX('SAP Customer Data'!$A:$AC,MATCH(بيانات_العملاء[[#This Row],[رمز شريك الأعمال]],'SAP Customer Data'!$B:$B,0),CELL("col",Table_Customer_Data[[#Headers],[CreditLine]]))</f>
        <v>24000</v>
      </c>
      <c r="Y52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3" s="37" t="s">
        <v>855</v>
      </c>
      <c r="AA52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23" s="37" t="s">
        <v>856</v>
      </c>
      <c r="AC523" s="37"/>
      <c r="AD523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3" s="37" t="s">
        <v>854</v>
      </c>
      <c r="AF523" s="37"/>
      <c r="AG52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23" s="37" t="s">
        <v>856</v>
      </c>
      <c r="AI523" s="37"/>
      <c r="AJ52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23" s="37"/>
      <c r="AL523" s="38"/>
      <c r="AM52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3" s="37" t="s">
        <v>854</v>
      </c>
      <c r="AO523" s="41">
        <v>44643</v>
      </c>
      <c r="AP52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3" s="37" t="s">
        <v>856</v>
      </c>
      <c r="AR523" s="37"/>
      <c r="AS52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23" s="41" cm="1">
        <f t="array" aca="1" ref="AT523" ca="1">INDEX('SAP Customer Data'!A:Z,MATCH(بيانات_العملاء[[#This Row],[رمز شريك الأعمال]],'SAP Customer Data'!B:B,0),CELL("col",Table_Customer_Data[[#Headers],[CreateDate]]))</f>
        <v>45066</v>
      </c>
      <c r="AU523" s="41" t="s">
        <v>1077</v>
      </c>
      <c r="AV523" s="41"/>
      <c r="AW523" s="37" t="s">
        <v>2097</v>
      </c>
      <c r="AX523" s="37"/>
    </row>
    <row r="524" spans="1:50" x14ac:dyDescent="0.25">
      <c r="A524" s="36" t="str" cm="1">
        <f t="array" aca="1" ref="A524" ca="1">INDEX('SAP Customer Data'!$A:$AC,MATCH(بيانات_العملاء[[#This Row],[رمز شريك الأعمال]],'SAP Customer Data'!$B:$B,0),CELL("col",Table_Customer_Data[[#Headers],[GroupName]]))</f>
        <v>LB07</v>
      </c>
      <c r="B524" s="35" t="s">
        <v>702</v>
      </c>
      <c r="C524" s="37" t="str" cm="1">
        <f t="array" aca="1" ref="C524" ca="1">INDEX('SAP Customer Data'!$A:$AC,MATCH(بيانات_العملاء[[#This Row],[رمز شريك الأعمال]],'SAP Customer Data'!$B:$B,0),CELL("col",Table_Customer_Data[[#Headers],[CardName]]))</f>
        <v>مؤسسة هناء زين محمد علي التجارية</v>
      </c>
      <c r="D524" s="37" t="str">
        <f>IF(بيانات_العملاء[[#This Row],[حد الائتمان على SAP]]&gt;0,"آجل","نقدى")</f>
        <v>آجل</v>
      </c>
      <c r="E524" s="37" t="s">
        <v>1593</v>
      </c>
      <c r="F524" s="37" t="s">
        <v>1081</v>
      </c>
      <c r="G524" s="37" t="s">
        <v>854</v>
      </c>
      <c r="H524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24" s="37" t="s">
        <v>854</v>
      </c>
      <c r="J524" s="38">
        <v>44950</v>
      </c>
      <c r="K524" s="37" t="s">
        <v>855</v>
      </c>
      <c r="L524" s="37" t="str">
        <f ca="1">IF(AND(بيانات_العملاء[[#This Row],[السجل التجارى]]="موجود",TODAY()+'Other Data'!$B$23&lt;J524,بيانات_العملاء[[#This Row],[مطابقة اسم العميل بالاسم بالسجل التجارى]]="مطابق"), "سارى", "يجب اعادة طلبه")</f>
        <v>يجب اعادة طلبه</v>
      </c>
      <c r="M524" s="37" t="s">
        <v>854</v>
      </c>
      <c r="N524" s="39" t="str" cm="1">
        <f t="array" aca="1" ref="N524" ca="1">INDEX('SAP Customer Data'!$A:$AC,MATCH(بيانات_العملاء[[#This Row],[رمز شريك الأعمال]],'SAP Customer Data'!$B:$B,0),CELL("col",Table_Customer_Data[[#Headers],[LicTradNum]]))</f>
        <v>311179583600003</v>
      </c>
      <c r="O524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24" s="37" t="s">
        <v>854</v>
      </c>
      <c r="Q524" s="38">
        <v>44591</v>
      </c>
      <c r="R52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24" s="37" t="s">
        <v>854</v>
      </c>
      <c r="T524" s="40">
        <v>40000</v>
      </c>
      <c r="U524" s="41"/>
      <c r="V52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24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32000</v>
      </c>
      <c r="X524" s="37">
        <v>32000</v>
      </c>
      <c r="Y524" s="37" t="str">
        <f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4" s="37" t="s">
        <v>855</v>
      </c>
      <c r="AA52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24" s="37" t="s">
        <v>854</v>
      </c>
      <c r="AC524" s="37">
        <v>46832</v>
      </c>
      <c r="AD52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24" s="37" t="s">
        <v>856</v>
      </c>
      <c r="AF524" s="37"/>
      <c r="AG52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24" s="37" t="s">
        <v>856</v>
      </c>
      <c r="AI524" s="37"/>
      <c r="AJ52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24" s="37" t="s">
        <v>856</v>
      </c>
      <c r="AL524" s="38"/>
      <c r="AM52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4" s="37" t="s">
        <v>854</v>
      </c>
      <c r="AO524" s="41">
        <v>44791</v>
      </c>
      <c r="AP52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4" s="37" t="s">
        <v>856</v>
      </c>
      <c r="AR524" s="37"/>
      <c r="AS52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24" s="41" cm="1">
        <f t="array" aca="1" ref="AT524" ca="1">INDEX('SAP Customer Data'!A:Z,MATCH(بيانات_العملاء[[#This Row],[رمز شريك الأعمال]],'SAP Customer Data'!B:B,0),CELL("col",Table_Customer_Data[[#Headers],[CreateDate]]))</f>
        <v>44641</v>
      </c>
      <c r="AU524" s="37"/>
      <c r="AV524" s="41"/>
      <c r="AW524" s="37" t="s">
        <v>2097</v>
      </c>
      <c r="AX524" s="37"/>
    </row>
    <row r="525" spans="1:50" x14ac:dyDescent="0.25">
      <c r="A525" s="36" t="str" cm="1">
        <f t="array" aca="1" ref="A525" ca="1">INDEX('SAP Customer Data'!$A:$AC,MATCH(بيانات_العملاء[[#This Row],[رمز شريك الأعمال]],'SAP Customer Data'!$B:$B,0),CELL("col",Table_Customer_Data[[#Headers],[GroupName]]))</f>
        <v>LB07</v>
      </c>
      <c r="B525" s="35" t="s">
        <v>1047</v>
      </c>
      <c r="C525" s="37" t="str" cm="1">
        <f t="array" aca="1" ref="C525" ca="1">INDEX('SAP Customer Data'!$A:$AC,MATCH(بيانات_العملاء[[#This Row],[رمز شريك الأعمال]],'SAP Customer Data'!$B:$B,0),CELL("col",Table_Customer_Data[[#Headers],[CardName]]))</f>
        <v>شركة المستورة الحديثة التجارية</v>
      </c>
      <c r="D525" s="37" t="str">
        <f ca="1">IF(بيانات_العملاء[[#This Row],[حد الائتمان على SAP]]&gt;0,"آجل","نقدى")</f>
        <v>آجل</v>
      </c>
      <c r="E525" s="37"/>
      <c r="F525" s="37" t="s">
        <v>996</v>
      </c>
      <c r="G525" s="37" t="s">
        <v>854</v>
      </c>
      <c r="H525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25" s="37" t="s">
        <v>854</v>
      </c>
      <c r="J525" s="38">
        <v>45056</v>
      </c>
      <c r="K525" s="41" t="s">
        <v>855</v>
      </c>
      <c r="L525" s="37" t="str">
        <f ca="1">IF(AND(بيانات_العملاء[[#This Row],[السجل التجارى]]="موجود",TODAY()+'Other Data'!$B$23&lt;J525,بيانات_العملاء[[#This Row],[مطابقة اسم العميل بالاسم بالسجل التجارى]]="مطابق"), "سارى", "يجب اعادة طلبه")</f>
        <v>يجب اعادة طلبه</v>
      </c>
      <c r="M525" s="37" t="s">
        <v>854</v>
      </c>
      <c r="N525" s="39" t="str" cm="1">
        <f t="array" aca="1" ref="N525" ca="1">INDEX('SAP Customer Data'!$A:$AC,MATCH(بيانات_العملاء[[#This Row],[رمز شريك الأعمال]],'SAP Customer Data'!$B:$B,0),CELL("col",Table_Customer_Data[[#Headers],[LicTradNum]]))</f>
        <v>311316475800003</v>
      </c>
      <c r="O52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25" s="37" t="s">
        <v>854</v>
      </c>
      <c r="Q525" s="38">
        <v>45368</v>
      </c>
      <c r="R525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525" s="37" t="s">
        <v>854</v>
      </c>
      <c r="T525" s="40">
        <v>30000</v>
      </c>
      <c r="U525" s="41">
        <v>45050</v>
      </c>
      <c r="V525" s="41">
        <f>IF(بيانات_العملاء[[#This Row],[تاريخ انشاء سند الامر او الاستثناء]]="",0,بيانات_العملاء[[#This Row],[تاريخ انشاء سند الامر او الاستثناء]]+365*3)</f>
        <v>46145</v>
      </c>
      <c r="W52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525" s="37" cm="1">
        <f t="array" aca="1" ref="X525" ca="1">INDEX('SAP Customer Data'!$A:$AC,MATCH(بيانات_العملاء[[#This Row],[رمز شريك الأعمال]],'SAP Customer Data'!$B:$B,0),CELL("col",Table_Customer_Data[[#Headers],[CreditLine]]))</f>
        <v>24000</v>
      </c>
      <c r="Y52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5" s="37" t="s">
        <v>855</v>
      </c>
      <c r="AA52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25" s="37" t="s">
        <v>854</v>
      </c>
      <c r="AC525" s="37"/>
      <c r="AD525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5" s="37" t="s">
        <v>856</v>
      </c>
      <c r="AF525" s="37"/>
      <c r="AG52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25" s="37" t="s">
        <v>856</v>
      </c>
      <c r="AI525" s="37"/>
      <c r="AJ52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25" s="37"/>
      <c r="AL525" s="38"/>
      <c r="AM52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5" s="37" t="s">
        <v>854</v>
      </c>
      <c r="AO525" s="41">
        <v>45038</v>
      </c>
      <c r="AP52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5" s="37" t="s">
        <v>856</v>
      </c>
      <c r="AR525" s="37"/>
      <c r="AS52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25" s="41" cm="1">
        <f t="array" aca="1" ref="AT525" ca="1">INDEX('SAP Customer Data'!A:Z,MATCH(بيانات_العملاء[[#This Row],[رمز شريك الأعمال]],'SAP Customer Data'!B:B,0),CELL("col",Table_Customer_Data[[#Headers],[CreateDate]]))</f>
        <v>45053</v>
      </c>
      <c r="AU525" s="41" t="s">
        <v>1049</v>
      </c>
      <c r="AV525" s="41"/>
      <c r="AW525" s="37" t="s">
        <v>2097</v>
      </c>
      <c r="AX525" s="37"/>
    </row>
    <row r="526" spans="1:50" x14ac:dyDescent="0.25">
      <c r="A526" s="36" t="str" cm="1">
        <f t="array" aca="1" ref="A526" ca="1">INDEX('SAP Customer Data'!$A:$AC,MATCH(بيانات_العملاء[[#This Row],[رمز شريك الأعمال]],'SAP Customer Data'!$B:$B,0),CELL("col",Table_Customer_Data[[#Headers],[GroupName]]))</f>
        <v>LB07</v>
      </c>
      <c r="B526" s="35" t="s">
        <v>750</v>
      </c>
      <c r="C526" s="37" t="str" cm="1">
        <f t="array" aca="1" ref="C526" ca="1">INDEX('SAP Customer Data'!$A:$AC,MATCH(بيانات_العملاء[[#This Row],[رمز شريك الأعمال]],'SAP Customer Data'!$B:$B,0),CELL("col",Table_Customer_Data[[#Headers],[CardName]]))</f>
        <v>مؤسسة البنيان المتكامل الماسية لمواد البناء - نقدي</v>
      </c>
      <c r="D526" s="37" t="str">
        <f ca="1">IF(بيانات_العملاء[[#This Row],[حد الائتمان على SAP]]&gt;0,"آجل","نقدى")</f>
        <v>نقدى</v>
      </c>
      <c r="E526" s="37" t="s">
        <v>1063</v>
      </c>
      <c r="F526" s="37" t="s">
        <v>1081</v>
      </c>
      <c r="G526" s="37" t="s">
        <v>856</v>
      </c>
      <c r="H526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26" s="37" t="s">
        <v>854</v>
      </c>
      <c r="J526" s="38">
        <v>45491</v>
      </c>
      <c r="K526" s="41" t="s">
        <v>855</v>
      </c>
      <c r="L526" s="37" t="str">
        <f ca="1">IF(AND(بيانات_العملاء[[#This Row],[السجل التجارى]]="موجود",TODAY()+'Other Data'!$B$23&lt;J526,بيانات_العملاء[[#This Row],[مطابقة اسم العميل بالاسم بالسجل التجارى]]="مطابق"), "سارى", "يجب اعادة طلبه")</f>
        <v>سارى</v>
      </c>
      <c r="M526" s="37" t="s">
        <v>854</v>
      </c>
      <c r="N526" s="39" t="str" cm="1">
        <f t="array" aca="1" ref="N526" ca="1">INDEX('SAP Customer Data'!$A:$AC,MATCH(بيانات_العملاء[[#This Row],[رمز شريك الأعمال]],'SAP Customer Data'!$B:$B,0),CELL("col",Table_Customer_Data[[#Headers],[LicTradNum]]))</f>
        <v>311372043300003</v>
      </c>
      <c r="O52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26" s="37" t="s">
        <v>854</v>
      </c>
      <c r="Q526" s="38">
        <v>45068</v>
      </c>
      <c r="R52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26" s="37" t="s">
        <v>1080</v>
      </c>
      <c r="T526" s="40"/>
      <c r="U526" s="41"/>
      <c r="V52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26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26" s="37" cm="1">
        <f t="array" aca="1" ref="X526" ca="1">INDEX('SAP Customer Data'!$A:$AC,MATCH(بيانات_العملاء[[#This Row],[رمز شريك الأعمال]],'SAP Customer Data'!$B:$B,0),CELL("col",Table_Customer_Data[[#Headers],[CreditLine]]))</f>
        <v>0</v>
      </c>
      <c r="Y526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6" s="37"/>
      <c r="AA52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26" s="37" t="s">
        <v>856</v>
      </c>
      <c r="AC526" s="37"/>
      <c r="AD52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6" s="37" t="s">
        <v>856</v>
      </c>
      <c r="AF526" s="37"/>
      <c r="AG52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26" s="37" t="s">
        <v>856</v>
      </c>
      <c r="AI526" s="37"/>
      <c r="AJ52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26" s="37"/>
      <c r="AL526" s="38"/>
      <c r="AM52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6" s="37" t="s">
        <v>856</v>
      </c>
      <c r="AO526" s="41"/>
      <c r="AP52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6" s="37" t="s">
        <v>856</v>
      </c>
      <c r="AR526" s="37"/>
      <c r="AS52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26" s="41" cm="1">
        <f t="array" aca="1" ref="AT526" ca="1">INDEX('SAP Customer Data'!A:Z,MATCH(بيانات_العملاء[[#This Row],[رمز شريك الأعمال]],'SAP Customer Data'!B:B,0),CELL("col",Table_Customer_Data[[#Headers],[CreateDate]]))</f>
        <v>44923</v>
      </c>
      <c r="AU526" s="37"/>
      <c r="AV526" s="41"/>
      <c r="AW526" s="37" t="s">
        <v>2097</v>
      </c>
      <c r="AX526" s="37"/>
    </row>
    <row r="527" spans="1:50" x14ac:dyDescent="0.25">
      <c r="A527" s="36" t="str" cm="1">
        <f t="array" aca="1" ref="A527" ca="1">INDEX('SAP Customer Data'!$A:$AC,MATCH(بيانات_العملاء[[#This Row],[رمز شريك الأعمال]],'SAP Customer Data'!$B:$B,0),CELL("col",Table_Customer_Data[[#Headers],[GroupName]]))</f>
        <v>LB07</v>
      </c>
      <c r="B527" s="35" t="s">
        <v>1453</v>
      </c>
      <c r="C527" s="37" t="str" cm="1">
        <f t="array" aca="1" ref="C527" ca="1">INDEX('SAP Customer Data'!$A:$AC,MATCH(بيانات_العملاء[[#This Row],[رمز شريك الأعمال]],'SAP Customer Data'!$B:$B,0),CELL("col",Table_Customer_Data[[#Headers],[CardName]]))</f>
        <v>عميل بضمان المندوب LB07</v>
      </c>
      <c r="D527" s="37" t="str">
        <f ca="1">IF(بيانات_العملاء[[#This Row],[حد الائتمان على SAP]]&gt;0,"آجل","نقدى")</f>
        <v>نقدى</v>
      </c>
      <c r="E527" s="37"/>
      <c r="F527" s="37"/>
      <c r="G527" s="37"/>
      <c r="H52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27" s="37"/>
      <c r="J527" s="38"/>
      <c r="K527" s="41" t="str">
        <f>IF(بيانات_العملاء[[#This Row],[السجل التجارى]]="غير موجود", "غير مطابق", "")</f>
        <v/>
      </c>
      <c r="L527" s="37" t="str">
        <f ca="1">IF(AND(بيانات_العملاء[[#This Row],[السجل التجارى]]="موجود",TODAY()+'Other Data'!$B$23&lt;J527,بيانات_العملاء[[#This Row],[مطابقة اسم العميل بالاسم بالسجل التجارى]]="مطابق"), "سارى", "يجب اعادة طلبه")</f>
        <v>يجب اعادة طلبه</v>
      </c>
      <c r="M527" s="37"/>
      <c r="N527" s="39" t="str" cm="1">
        <f t="array" aca="1" ref="N527" ca="1">INDEX('SAP Customer Data'!$A:$AC,MATCH(بيانات_العملاء[[#This Row],[رمز شريك الأعمال]],'SAP Customer Data'!$B:$B,0),CELL("col",Table_Customer_Data[[#Headers],[LicTradNum]]))</f>
        <v>حسام شيخة</v>
      </c>
      <c r="O52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27" s="37"/>
      <c r="Q527" s="38"/>
      <c r="R527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27" s="37" t="s">
        <v>1080</v>
      </c>
      <c r="T527" s="40"/>
      <c r="U527" s="41"/>
      <c r="V52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2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27" s="37" cm="1">
        <f t="array" aca="1" ref="X527" ca="1">INDEX('SAP Customer Data'!$A:$AC,MATCH(بيانات_العملاء[[#This Row],[رمز شريك الأعمال]],'SAP Customer Data'!$B:$B,0),CELL("col",Table_Customer_Data[[#Headers],[CreditLine]]))</f>
        <v>0</v>
      </c>
      <c r="Y52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7" s="37"/>
      <c r="AA52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27" s="37"/>
      <c r="AC527" s="37"/>
      <c r="AD527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7" s="37"/>
      <c r="AF527" s="37"/>
      <c r="AG52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27" s="37"/>
      <c r="AI527" s="37"/>
      <c r="AJ52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27" s="37"/>
      <c r="AL527" s="38"/>
      <c r="AM52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7" s="37"/>
      <c r="AO527" s="41"/>
      <c r="AP52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7" s="37"/>
      <c r="AR527" s="37"/>
      <c r="AS52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27" s="41" cm="1">
        <f t="array" aca="1" ref="AT527" ca="1">INDEX('SAP Customer Data'!A:Z,MATCH(بيانات_العملاء[[#This Row],[رمز شريك الأعمال]],'SAP Customer Data'!B:B,0),CELL("col",Table_Customer_Data[[#Headers],[CreateDate]]))</f>
        <v>44950</v>
      </c>
      <c r="AU527" s="41"/>
      <c r="AV527" s="41"/>
      <c r="AW527" s="37" t="s">
        <v>2097</v>
      </c>
      <c r="AX527" s="37"/>
    </row>
    <row r="528" spans="1:50" x14ac:dyDescent="0.25">
      <c r="A528" s="36" t="str" cm="1">
        <f t="array" aca="1" ref="A528" ca="1">INDEX('SAP Customer Data'!$A:$AC,MATCH(بيانات_العملاء[[#This Row],[رمز شريك الأعمال]],'SAP Customer Data'!$B:$B,0),CELL("col",Table_Customer_Data[[#Headers],[GroupName]]))</f>
        <v>LB08</v>
      </c>
      <c r="B528" s="35" t="s">
        <v>1464</v>
      </c>
      <c r="C528" s="37" t="str" cm="1">
        <f t="array" aca="1" ref="C528" ca="1">INDEX('SAP Customer Data'!$A:$AC,MATCH(بيانات_العملاء[[#This Row],[رمز شريك الأعمال]],'SAP Customer Data'!$B:$B,0),CELL("col",Table_Customer_Data[[#Headers],[CardName]]))</f>
        <v>عميل بضمان المندوب LB08</v>
      </c>
      <c r="D528" s="37" t="str">
        <f ca="1">IF(بيانات_العملاء[[#This Row],[حد الائتمان على SAP]]&gt;0,"آجل","نقدى")</f>
        <v>نقدى</v>
      </c>
      <c r="E528" s="37"/>
      <c r="F528" s="37"/>
      <c r="G528" s="37"/>
      <c r="H52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28" s="37"/>
      <c r="J528" s="38"/>
      <c r="K528" s="41" t="str">
        <f>IF(بيانات_العملاء[[#This Row],[السجل التجارى]]="غير موجود", "غير مطابق", "")</f>
        <v/>
      </c>
      <c r="L528" s="37" t="str">
        <f ca="1">IF(AND(بيانات_العملاء[[#This Row],[السجل التجارى]]="موجود",TODAY()+'Other Data'!$B$23&lt;J528,بيانات_العملاء[[#This Row],[مطابقة اسم العميل بالاسم بالسجل التجارى]]="مطابق"), "سارى", "يجب اعادة طلبه")</f>
        <v>يجب اعادة طلبه</v>
      </c>
      <c r="M528" s="37"/>
      <c r="N528" s="39" t="str" cm="1">
        <f t="array" aca="1" ref="N528" ca="1">INDEX('SAP Customer Data'!$A:$AC,MATCH(بيانات_العملاء[[#This Row],[رمز شريك الأعمال]],'SAP Customer Data'!$B:$B,0),CELL("col",Table_Customer_Data[[#Headers],[LicTradNum]]))</f>
        <v>طارق الزحيلي</v>
      </c>
      <c r="O52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28" s="37"/>
      <c r="Q528" s="38"/>
      <c r="R528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28" s="37" t="s">
        <v>1080</v>
      </c>
      <c r="T528" s="40"/>
      <c r="U528" s="41"/>
      <c r="V52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28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28" s="37" cm="1">
        <f t="array" aca="1" ref="X528" ca="1">INDEX('SAP Customer Data'!$A:$AC,MATCH(بيانات_العملاء[[#This Row],[رمز شريك الأعمال]],'SAP Customer Data'!$B:$B,0),CELL("col",Table_Customer_Data[[#Headers],[CreditLine]]))</f>
        <v>0</v>
      </c>
      <c r="Y528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8" s="37"/>
      <c r="AA52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28" s="37"/>
      <c r="AC528" s="37"/>
      <c r="AD528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8" s="37"/>
      <c r="AF528" s="37"/>
      <c r="AG52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28" s="37"/>
      <c r="AI528" s="37"/>
      <c r="AJ52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28" s="37"/>
      <c r="AL528" s="38"/>
      <c r="AM52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8" s="37"/>
      <c r="AO528" s="41"/>
      <c r="AP52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8" s="37"/>
      <c r="AR528" s="37"/>
      <c r="AS52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28" s="41" cm="1">
        <f t="array" aca="1" ref="AT528" ca="1">INDEX('SAP Customer Data'!A:Z,MATCH(بيانات_العملاء[[#This Row],[رمز شريك الأعمال]],'SAP Customer Data'!B:B,0),CELL("col",Table_Customer_Data[[#Headers],[CreateDate]]))</f>
        <v>44954</v>
      </c>
      <c r="AU528" s="41"/>
      <c r="AV528" s="41"/>
      <c r="AW528" s="37" t="s">
        <v>2097</v>
      </c>
      <c r="AX528" s="37"/>
    </row>
    <row r="529" spans="1:50" x14ac:dyDescent="0.25">
      <c r="A529" s="36" t="str" cm="1">
        <f t="array" aca="1" ref="A529" ca="1">INDEX('SAP Customer Data'!$A:$AC,MATCH(بيانات_العملاء[[#This Row],[رمز شريك الأعمال]],'SAP Customer Data'!$B:$B,0),CELL("col",Table_Customer_Data[[#Headers],[GroupName]]))</f>
        <v>LB09</v>
      </c>
      <c r="B529" s="35" t="s">
        <v>1460</v>
      </c>
      <c r="C529" s="37" t="str" cm="1">
        <f t="array" aca="1" ref="C529" ca="1">INDEX('SAP Customer Data'!$A:$AC,MATCH(بيانات_العملاء[[#This Row],[رمز شريك الأعمال]],'SAP Customer Data'!$B:$B,0),CELL("col",Table_Customer_Data[[#Headers],[CardName]]))</f>
        <v>عميل بضمان المندوب -LB09</v>
      </c>
      <c r="D529" s="37" t="str">
        <f ca="1">IF(بيانات_العملاء[[#This Row],[حد الائتمان على SAP]]&gt;0,"آجل","نقدى")</f>
        <v>نقدى</v>
      </c>
      <c r="E529" s="37"/>
      <c r="F529" s="37"/>
      <c r="G529" s="37"/>
      <c r="H52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29" s="37"/>
      <c r="J529" s="38"/>
      <c r="K529" s="41" t="str">
        <f>IF(بيانات_العملاء[[#This Row],[السجل التجارى]]="غير موجود", "غير مطابق", "")</f>
        <v/>
      </c>
      <c r="L529" s="37" t="str">
        <f ca="1">IF(AND(بيانات_العملاء[[#This Row],[السجل التجارى]]="موجود",TODAY()+'Other Data'!$B$23&lt;J529,بيانات_العملاء[[#This Row],[مطابقة اسم العميل بالاسم بالسجل التجارى]]="مطابق"), "سارى", "يجب اعادة طلبه")</f>
        <v>يجب اعادة طلبه</v>
      </c>
      <c r="M529" s="37"/>
      <c r="N529" s="39" t="str" cm="1">
        <f t="array" aca="1" ref="N529" ca="1">INDEX('SAP Customer Data'!$A:$AC,MATCH(بيانات_العملاء[[#This Row],[رمز شريك الأعمال]],'SAP Customer Data'!$B:$B,0),CELL("col",Table_Customer_Data[[#Headers],[LicTradNum]]))</f>
        <v>كريم صقر</v>
      </c>
      <c r="O52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29" s="37"/>
      <c r="Q529" s="38"/>
      <c r="R529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29" s="37" t="s">
        <v>1080</v>
      </c>
      <c r="T529" s="40"/>
      <c r="U529" s="41"/>
      <c r="V52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2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29" s="37" cm="1">
        <f t="array" aca="1" ref="X529" ca="1">INDEX('SAP Customer Data'!$A:$AC,MATCH(بيانات_العملاء[[#This Row],[رمز شريك الأعمال]],'SAP Customer Data'!$B:$B,0),CELL("col",Table_Customer_Data[[#Headers],[CreditLine]]))</f>
        <v>0</v>
      </c>
      <c r="Y52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29" s="37"/>
      <c r="AA52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29" s="37"/>
      <c r="AC529" s="37"/>
      <c r="AD529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29" s="37"/>
      <c r="AF529" s="37"/>
      <c r="AG52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29" s="37"/>
      <c r="AI529" s="37"/>
      <c r="AJ52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29" s="37"/>
      <c r="AL529" s="38"/>
      <c r="AM52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29" s="37"/>
      <c r="AO529" s="41"/>
      <c r="AP52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29" s="37"/>
      <c r="AR529" s="37"/>
      <c r="AS52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29" s="41" cm="1">
        <f t="array" aca="1" ref="AT529" ca="1">INDEX('SAP Customer Data'!A:Z,MATCH(بيانات_العملاء[[#This Row],[رمز شريك الأعمال]],'SAP Customer Data'!B:B,0),CELL("col",Table_Customer_Data[[#Headers],[CreateDate]]))</f>
        <v>44945</v>
      </c>
      <c r="AU529" s="41"/>
      <c r="AV529" s="41"/>
      <c r="AW529" s="37" t="s">
        <v>2097</v>
      </c>
      <c r="AX529" s="37"/>
    </row>
    <row r="530" spans="1:50" x14ac:dyDescent="0.25">
      <c r="A530" s="36" t="str" cm="1">
        <f t="array" aca="1" ref="A530" ca="1">INDEX('SAP Customer Data'!$A:$AC,MATCH(بيانات_العملاء[[#This Row],[رمز شريك الأعمال]],'SAP Customer Data'!$B:$B,0),CELL("col",Table_Customer_Data[[#Headers],[GroupName]]))</f>
        <v>SM</v>
      </c>
      <c r="B530" s="35" t="s">
        <v>1319</v>
      </c>
      <c r="C530" s="37" t="str" cm="1">
        <f t="array" aca="1" ref="C530" ca="1">INDEX('SAP Customer Data'!$A:$AC,MATCH(بيانات_العملاء[[#This Row],[رمز شريك الأعمال]],'SAP Customer Data'!$B:$B,0),CELL("col",Table_Customer_Data[[#Headers],[CardName]]))</f>
        <v>عميل بضمان المشرف</v>
      </c>
      <c r="D530" s="37" t="str">
        <f ca="1">IF(بيانات_العملاء[[#This Row],[حد الائتمان على SAP]]&gt;0,"آجل","نقدى")</f>
        <v>نقدى</v>
      </c>
      <c r="E530" s="37"/>
      <c r="F530" s="37"/>
      <c r="G530" s="37"/>
      <c r="H530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30" s="37"/>
      <c r="J530" s="38"/>
      <c r="K530" s="41" t="str">
        <f>IF(بيانات_العملاء[[#This Row],[السجل التجارى]]="غير موجود", "غير مطابق", "")</f>
        <v/>
      </c>
      <c r="L530" s="37" t="str">
        <f ca="1">IF(AND(بيانات_العملاء[[#This Row],[السجل التجارى]]="موجود",TODAY()+'Other Data'!$B$23&lt;J530,بيانات_العملاء[[#This Row],[مطابقة اسم العميل بالاسم بالسجل التجارى]]="مطابق"), "سارى", "يجب اعادة طلبه")</f>
        <v>يجب اعادة طلبه</v>
      </c>
      <c r="M530" s="37"/>
      <c r="N530" s="39" t="str" cm="1">
        <f t="array" aca="1" ref="N530" ca="1">INDEX('SAP Customer Data'!$A:$AC,MATCH(بيانات_العملاء[[#This Row],[رمز شريك الأعمال]],'SAP Customer Data'!$B:$B,0),CELL("col",Table_Customer_Data[[#Headers],[LicTradNum]]))</f>
        <v>حاتم</v>
      </c>
      <c r="O53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30" s="37"/>
      <c r="Q530" s="38"/>
      <c r="R530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30" s="37" t="s">
        <v>1080</v>
      </c>
      <c r="T530" s="40"/>
      <c r="U530" s="41"/>
      <c r="V53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0" s="37" cm="1">
        <f t="array" aca="1" ref="X530" ca="1">INDEX('SAP Customer Data'!$A:$AC,MATCH(بيانات_العملاء[[#This Row],[رمز شريك الأعمال]],'SAP Customer Data'!$B:$B,0),CELL("col",Table_Customer_Data[[#Headers],[CreditLine]]))</f>
        <v>0</v>
      </c>
      <c r="Y53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30" s="37"/>
      <c r="AA53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0" s="37"/>
      <c r="AC530" s="37"/>
      <c r="AD530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0" s="37"/>
      <c r="AF530" s="37"/>
      <c r="AG53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30" s="37"/>
      <c r="AI530" s="37"/>
      <c r="AJ53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30" s="37"/>
      <c r="AL530" s="38"/>
      <c r="AM53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0" s="37"/>
      <c r="AO530" s="41"/>
      <c r="AP53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0" s="37"/>
      <c r="AR530" s="37"/>
      <c r="AS53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30" s="41" cm="1">
        <f t="array" aca="1" ref="AT530" ca="1">INDEX('SAP Customer Data'!A:Z,MATCH(بيانات_العملاء[[#This Row],[رمز شريك الأعمال]],'SAP Customer Data'!B:B,0),CELL("col",Table_Customer_Data[[#Headers],[CreateDate]]))</f>
        <v>44021</v>
      </c>
      <c r="AU530" s="41"/>
      <c r="AV530" s="41"/>
      <c r="AW530" s="37" t="s">
        <v>2097</v>
      </c>
      <c r="AX530" s="37"/>
    </row>
    <row r="531" spans="1:50" x14ac:dyDescent="0.25">
      <c r="A531" s="64" t="s">
        <v>880</v>
      </c>
      <c r="B531" s="35" t="s">
        <v>2277</v>
      </c>
      <c r="C531" s="36" t="str" cm="1">
        <f t="array" aca="1" ref="C531" ca="1">INDEX('SAP Customer Data'!$A:$AC,MATCH(بيانات_العملاء[[#This Row],[رمز شريك الأعمال]],'SAP Customer Data'!$B:$B,0),CELL("col",Table_Customer_Data[[#Headers],[CardName]]))</f>
        <v>مؤسسة زهراء علي احمد القاضي التجارية - نقدي</v>
      </c>
      <c r="D531" s="65" t="str">
        <f ca="1">IF(بيانات_العملاء[[#This Row],[حد الائتمان على SAP]]&gt;0,"آجل","نقدى")</f>
        <v>نقدى</v>
      </c>
      <c r="E531" s="65" t="s">
        <v>2278</v>
      </c>
      <c r="F531" s="65" t="s">
        <v>1081</v>
      </c>
      <c r="G531" s="37" t="s">
        <v>856</v>
      </c>
      <c r="H531" s="65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31" s="65" t="s">
        <v>854</v>
      </c>
      <c r="J531" s="66">
        <v>45072</v>
      </c>
      <c r="K531" s="67" t="s">
        <v>855</v>
      </c>
      <c r="L531" s="65" t="str">
        <f ca="1">IF(AND(بيانات_العملاء[[#This Row],[السجل التجارى]]="موجود",TODAY()+'Other Data'!$B$23&lt;J531,بيانات_العملاء[[#This Row],[مطابقة اسم العميل بالاسم بالسجل التجارى]]="مطابق"), "سارى", "يجب اعادة طلبه")</f>
        <v>يجب اعادة طلبه</v>
      </c>
      <c r="M531" s="37" t="s">
        <v>856</v>
      </c>
      <c r="N531" s="39" t="str" cm="1">
        <f t="array" aca="1" ref="N531" ca="1">INDEX('SAP Customer Data'!$A:$AC,MATCH(بيانات_العملاء[[#This Row],[رمز شريك الأعمال]],'SAP Customer Data'!$B:$B,0),CELL("col",Table_Customer_Data[[#Headers],[LicTradNum]]))</f>
        <v>310229075200003</v>
      </c>
      <c r="O53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31" s="37" t="s">
        <v>854</v>
      </c>
      <c r="Q531" s="66">
        <v>45242</v>
      </c>
      <c r="R531" s="65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31" s="65" t="s">
        <v>1080</v>
      </c>
      <c r="T531" s="68"/>
      <c r="U531" s="67"/>
      <c r="V531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1" s="65" cm="1">
        <f t="array" aca="1" ref="X531" ca="1">INDEX('SAP Customer Data'!$A:$AC,MATCH(بيانات_العملاء[[#This Row],[رمز شريك الأعمال]],'SAP Customer Data'!$B:$B,0),CELL("col",Table_Customer_Data[[#Headers],[CreditLine]]))</f>
        <v>0</v>
      </c>
      <c r="Y53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31" s="37"/>
      <c r="AA53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1" s="37" t="s">
        <v>854</v>
      </c>
      <c r="AC531" s="67">
        <v>47991</v>
      </c>
      <c r="AD531" s="65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31" s="65"/>
      <c r="AF531" s="65"/>
      <c r="AG531" s="65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31" s="65"/>
      <c r="AI531" s="65"/>
      <c r="AJ531" s="65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31" s="65"/>
      <c r="AL531" s="66"/>
      <c r="AM531" s="65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1" s="65"/>
      <c r="AO531" s="67"/>
      <c r="AP531" s="65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1" s="65"/>
      <c r="AR531" s="65"/>
      <c r="AS531" s="65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31" s="67" cm="1">
        <f t="array" aca="1" ref="AT531" ca="1">INDEX('SAP Customer Data'!A:Z,MATCH(بيانات_العملاء[[#This Row],[رمز شريك الأعمال]],'SAP Customer Data'!B:B,0),CELL("col",Table_Customer_Data[[#Headers],[CreateDate]]))</f>
        <v>45125</v>
      </c>
      <c r="AU531" s="67"/>
      <c r="AV531" s="67"/>
      <c r="AW531" s="67"/>
      <c r="AX531" s="65"/>
    </row>
    <row r="532" spans="1:50" x14ac:dyDescent="0.25">
      <c r="A532" s="36" t="s">
        <v>238</v>
      </c>
      <c r="B532" s="35" t="s">
        <v>2279</v>
      </c>
      <c r="C532" s="37" t="str" cm="1">
        <f t="array" aca="1" ref="C532" ca="1">INDEX('SAP Customer Data'!$A:$AC,MATCH(بيانات_العملاء[[#This Row],[رمز شريك الأعمال]],'SAP Customer Data'!$B:$B,0),CELL("col",Table_Customer_Data[[#Headers],[CardName]]))</f>
        <v>شركة شيخ الانارة للتجارة و المقاولات- فرع طويق</v>
      </c>
      <c r="D532" s="65" t="str">
        <f ca="1">IF(بيانات_العملاء[[#This Row],[حد الائتمان على SAP]]&gt;0,"آجل","نقدى")</f>
        <v>آجل</v>
      </c>
      <c r="E532" s="65"/>
      <c r="F532" s="65" t="s">
        <v>997</v>
      </c>
      <c r="G532" s="37" t="s">
        <v>1075</v>
      </c>
      <c r="H53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32" s="65" t="s">
        <v>854</v>
      </c>
      <c r="J532" s="66">
        <v>45306</v>
      </c>
      <c r="K532" s="67" t="s">
        <v>855</v>
      </c>
      <c r="L532" s="65" t="str">
        <f ca="1">IF(AND(بيانات_العملاء[[#This Row],[السجل التجارى]]="موجود",TODAY()+'Other Data'!$B$23&lt;J532,بيانات_العملاء[[#This Row],[مطابقة اسم العميل بالاسم بالسجل التجارى]]="مطابق"), "سارى", "يجب اعادة طلبه")</f>
        <v>سارى</v>
      </c>
      <c r="M532" s="37" t="s">
        <v>854</v>
      </c>
      <c r="N532" s="69" t="str" cm="1">
        <f t="array" aca="1" ref="N532" ca="1">INDEX('SAP Customer Data'!$A:$AC,MATCH(بيانات_العملاء[[#This Row],[رمز شريك الأعمال]],'SAP Customer Data'!$B:$B,0),CELL("col",Table_Customer_Data[[#Headers],[LicTradNum]]))</f>
        <v>310090548300003</v>
      </c>
      <c r="O532" s="65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32" s="37" t="s">
        <v>856</v>
      </c>
      <c r="Q532" s="66"/>
      <c r="R532" s="65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يجب اعادة طلبه</v>
      </c>
      <c r="S532" s="37" t="s">
        <v>1075</v>
      </c>
      <c r="T532" s="68">
        <v>15000</v>
      </c>
      <c r="U532" s="41">
        <v>45034</v>
      </c>
      <c r="V532" s="67">
        <f>IF(بيانات_العملاء[[#This Row],[تاريخ انشاء سند الامر او الاستثناء]]="",0,بيانات_العملاء[[#This Row],[تاريخ انشاء سند الامر او الاستثناء]]+365*3)</f>
        <v>46129</v>
      </c>
      <c r="W53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15000</v>
      </c>
      <c r="X532" s="65" cm="1">
        <f t="array" aca="1" ref="X532" ca="1">INDEX('SAP Customer Data'!$A:$AC,MATCH(بيانات_العملاء[[#This Row],[رمز شريك الأعمال]],'SAP Customer Data'!$B:$B,0),CELL("col",Table_Customer_Data[[#Headers],[CreditLine]]))</f>
        <v>15000</v>
      </c>
      <c r="Y532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32" s="37"/>
      <c r="AA532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2" s="37" t="s">
        <v>856</v>
      </c>
      <c r="AC532" s="37"/>
      <c r="AD532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2" s="37" t="s">
        <v>856</v>
      </c>
      <c r="AF532" s="37"/>
      <c r="AG53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32" s="37" t="s">
        <v>856</v>
      </c>
      <c r="AI532" s="37"/>
      <c r="AJ53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32" s="37" t="s">
        <v>856</v>
      </c>
      <c r="AL532" s="38"/>
      <c r="AM53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2" s="37" t="s">
        <v>856</v>
      </c>
      <c r="AO532" s="41"/>
      <c r="AP53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2" s="37" t="s">
        <v>856</v>
      </c>
      <c r="AR532" s="37"/>
      <c r="AS53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32" s="41" cm="1">
        <f t="array" aca="1" ref="AT532" ca="1">INDEX('SAP Customer Data'!A:Z,MATCH(بيانات_العملاء[[#This Row],[رمز شريك الأعمال]],'SAP Customer Data'!B:B,0),CELL("col",Table_Customer_Data[[#Headers],[CreateDate]]))</f>
        <v>45129</v>
      </c>
      <c r="AU532" s="67"/>
      <c r="AV532" s="67"/>
      <c r="AW532" s="67" t="s">
        <v>2096</v>
      </c>
      <c r="AX532" s="65"/>
    </row>
    <row r="533" spans="1:50" s="71" customFormat="1" x14ac:dyDescent="0.25">
      <c r="A533" s="73" t="s">
        <v>6</v>
      </c>
      <c r="B533" s="74" t="s">
        <v>2288</v>
      </c>
      <c r="C533" s="37" t="str" cm="1">
        <f t="array" aca="1" ref="C533" ca="1">INDEX('SAP Customer Data'!$A:$AC,MATCH(بيانات_العملاء[[#This Row],[رمز شريك الأعمال]],'SAP Customer Data'!$B:$B,0),CELL("col",Table_Customer_Data[[#Headers],[CardName]]))</f>
        <v>مؤسسة رقي الاعمار للتجارة - نقدى</v>
      </c>
      <c r="D533" s="75" t="str">
        <f ca="1">IF(بيانات_العملاء[[#This Row],[حد الائتمان على SAP]]&gt;0,"آجل","نقدى")</f>
        <v>نقدى</v>
      </c>
      <c r="E533" s="75" t="s">
        <v>2289</v>
      </c>
      <c r="F533" s="75" t="s">
        <v>1081</v>
      </c>
      <c r="G533" s="37" t="s">
        <v>854</v>
      </c>
      <c r="H533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33" s="37" t="s">
        <v>854</v>
      </c>
      <c r="J533" s="38">
        <v>45313</v>
      </c>
      <c r="K533" s="37" t="s">
        <v>855</v>
      </c>
      <c r="L533" s="37" t="str">
        <f ca="1">IF(AND(بيانات_العملاء[[#This Row],[السجل التجارى]]="موجود",TODAY()+'Other Data'!$B$23&lt;J533,بيانات_العملاء[[#This Row],[مطابقة اسم العميل بالاسم بالسجل التجارى]]="مطابق"), "سارى", "يجب اعادة طلبه")</f>
        <v>سارى</v>
      </c>
      <c r="M533" s="37" t="s">
        <v>854</v>
      </c>
      <c r="N533" s="39" t="str" cm="1">
        <f t="array" aca="1" ref="N533" ca="1">INDEX('SAP Customer Data'!$A:$AC,MATCH(بيانات_العملاء[[#This Row],[رمز شريك الأعمال]],'SAP Customer Data'!$B:$B,0),CELL("col",Table_Customer_Data[[#Headers],[LicTradNum]]))</f>
        <v>310314877900003</v>
      </c>
      <c r="O533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33" s="37" t="s">
        <v>854</v>
      </c>
      <c r="Q533" s="38">
        <v>45897</v>
      </c>
      <c r="R533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533" s="37" t="s">
        <v>1080</v>
      </c>
      <c r="T533" s="40"/>
      <c r="U533" s="41"/>
      <c r="V533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3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3" s="37" cm="1">
        <f t="array" aca="1" ref="X533" ca="1">INDEX('SAP Customer Data'!$A:$AC,MATCH(بيانات_العملاء[[#This Row],[رمز شريك الأعمال]],'SAP Customer Data'!$B:$B,0),CELL("col",Table_Customer_Data[[#Headers],[CreditLine]]))</f>
        <v>0</v>
      </c>
      <c r="Y533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33" s="37"/>
      <c r="AA533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3" s="37" t="s">
        <v>856</v>
      </c>
      <c r="AC533" s="37"/>
      <c r="AD533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3" s="37"/>
      <c r="AF533" s="37"/>
      <c r="AG533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33" s="37"/>
      <c r="AI533" s="37"/>
      <c r="AJ533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33" s="37"/>
      <c r="AL533" s="38"/>
      <c r="AM533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3" s="37" t="s">
        <v>854</v>
      </c>
      <c r="AO533" s="41">
        <v>43907</v>
      </c>
      <c r="AP533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3" s="37"/>
      <c r="AR533" s="37"/>
      <c r="AS533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33" s="41" cm="1">
        <f t="array" aca="1" ref="AT533" ca="1">INDEX('SAP Customer Data'!A:Z,MATCH(بيانات_العملاء[[#This Row],[رمز شريك الأعمال]],'SAP Customer Data'!B:B,0),CELL("col",Table_Customer_Data[[#Headers],[CreateDate]]))</f>
        <v>45141</v>
      </c>
      <c r="AU533" s="76" t="s">
        <v>2290</v>
      </c>
      <c r="AV533" s="41"/>
      <c r="AW533" s="37" t="s">
        <v>2097</v>
      </c>
      <c r="AX533" s="37"/>
    </row>
    <row r="534" spans="1:50" x14ac:dyDescent="0.25">
      <c r="A534" s="64" t="s">
        <v>238</v>
      </c>
      <c r="B534" s="77" t="s">
        <v>2291</v>
      </c>
      <c r="C534" s="37" t="str" cm="1">
        <f t="array" aca="1" ref="C534" ca="1">INDEX('SAP Customer Data'!$A:$AC,MATCH(بيانات_العملاء[[#This Row],[رمز شريك الأعمال]],'SAP Customer Data'!$B:$B,0),CELL("col",Table_Customer_Data[[#Headers],[CardName]]))</f>
        <v>مؤسسة منصة الانوار للتجارة - نقدي</v>
      </c>
      <c r="D534" s="65" t="str">
        <f ca="1">IF(بيانات_العملاء[[#This Row],[حد الائتمان على SAP]]&gt;0,"آجل","نقدى")</f>
        <v>نقدى</v>
      </c>
      <c r="E534" s="65" t="s">
        <v>2292</v>
      </c>
      <c r="F534" s="75" t="s">
        <v>1081</v>
      </c>
      <c r="G534" s="37" t="s">
        <v>856</v>
      </c>
      <c r="H534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34" s="37" t="s">
        <v>854</v>
      </c>
      <c r="J534" s="38">
        <v>45212</v>
      </c>
      <c r="K534" s="37" t="s">
        <v>855</v>
      </c>
      <c r="L534" s="37" t="str">
        <f ca="1">IF(AND(بيانات_العملاء[[#This Row],[السجل التجارى]]="موجود",TODAY()+'Other Data'!$B$23&lt;J534,بيانات_العملاء[[#This Row],[مطابقة اسم العميل بالاسم بالسجل التجارى]]="مطابق"), "سارى", "يجب اعادة طلبه")</f>
        <v>يجب اعادة طلبه</v>
      </c>
      <c r="M534" s="37" t="s">
        <v>854</v>
      </c>
      <c r="N534" s="69" t="str" cm="1">
        <f t="array" aca="1" ref="N534" ca="1">INDEX('SAP Customer Data'!$A:$AC,MATCH(بيانات_العملاء[[#This Row],[رمز شريك الأعمال]],'SAP Customer Data'!$B:$B,0),CELL("col",Table_Customer_Data[[#Headers],[LicTradNum]]))</f>
        <v>310216873900003</v>
      </c>
      <c r="O534" s="65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34" s="37" t="s">
        <v>856</v>
      </c>
      <c r="Q534" s="66"/>
      <c r="R534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34" s="65" t="s">
        <v>1080</v>
      </c>
      <c r="T534" s="68"/>
      <c r="U534" s="67"/>
      <c r="V534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4" s="65">
        <f>IF(بيانات_العملاء[[#This Row],[سند الامر]]="غير موجود", "",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4" s="65" cm="1">
        <f t="array" aca="1" ref="X534" ca="1">INDEX('SAP Customer Data'!$A:$AC,MATCH(بيانات_العملاء[[#This Row],[رمز شريك الأعمال]],'SAP Customer Data'!$B:$B,0),CELL("col",Table_Customer_Data[[#Headers],[CreditLine]]))</f>
        <v>0</v>
      </c>
      <c r="Y534" s="65" t="str">
        <f ca="1">IF(بيانات_العملاء[[#This Row],[قيمة سند الامر المضبوطة]]=بيانات_العملاء[[#This Row],[حد الائتمان على SAP]],"مطابق", "غير مطابق")</f>
        <v>مطابق</v>
      </c>
      <c r="Z534" s="37"/>
      <c r="AA534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4" s="37" t="s">
        <v>856</v>
      </c>
      <c r="AC534" s="37"/>
      <c r="AD534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4" s="37"/>
      <c r="AF534" s="37"/>
      <c r="AG534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34" s="37"/>
      <c r="AI534" s="37"/>
      <c r="AJ534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34" s="37"/>
      <c r="AL534" s="38"/>
      <c r="AM534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4" s="37"/>
      <c r="AO534" s="41"/>
      <c r="AP534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4" s="37"/>
      <c r="AR534" s="37"/>
      <c r="AS534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34" s="41" cm="1">
        <f t="array" aca="1" ref="AT534" ca="1">INDEX('SAP Customer Data'!A:Z,MATCH(بيانات_العملاء[[#This Row],[رمز شريك الأعمال]],'SAP Customer Data'!B:B,0),CELL("col",Table_Customer_Data[[#Headers],[CreateDate]]))</f>
        <v>45145</v>
      </c>
      <c r="AU534" s="76"/>
      <c r="AV534" s="41"/>
      <c r="AW534" s="67" t="s">
        <v>2096</v>
      </c>
      <c r="AX534" s="37"/>
    </row>
    <row r="535" spans="1:50" x14ac:dyDescent="0.25">
      <c r="A535" s="64" t="s">
        <v>187</v>
      </c>
      <c r="B535" s="77" t="s">
        <v>2306</v>
      </c>
      <c r="C535" s="37" t="str" cm="1">
        <f t="array" aca="1" ref="C535" ca="1">INDEX('SAP Customer Data'!$A:$AC,MATCH(بيانات_العملاء[[#This Row],[رمز شريك الأعمال]],'SAP Customer Data'!$B:$B,0),CELL("col",Table_Customer_Data[[#Headers],[CardName]]))</f>
        <v>مؤسسة ماسة سمحة التجارية -نقدي</v>
      </c>
      <c r="D535" s="65" t="str">
        <f ca="1">IF(بيانات_العملاء[[#This Row],[حد الائتمان على SAP]]&gt;0,"آجل","نقدى")</f>
        <v>نقدى</v>
      </c>
      <c r="E535" s="65" t="s">
        <v>2307</v>
      </c>
      <c r="F535" s="65" t="s">
        <v>1081</v>
      </c>
      <c r="G535" s="37" t="s">
        <v>856</v>
      </c>
      <c r="H535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35" s="37" t="s">
        <v>854</v>
      </c>
      <c r="J535" s="66">
        <v>45408</v>
      </c>
      <c r="K535" s="37" t="s">
        <v>855</v>
      </c>
      <c r="L535" s="37" t="str">
        <f ca="1">IF(AND(بيانات_العملاء[[#This Row],[السجل التجارى]]="موجود",TODAY()+'Other Data'!$B$23&lt;J535,بيانات_العملاء[[#This Row],[مطابقة اسم العميل بالاسم بالسجل التجارى]]="مطابق"), "سارى", "يجب اعادة طلبه")</f>
        <v>سارى</v>
      </c>
      <c r="M535" s="37" t="s">
        <v>856</v>
      </c>
      <c r="N535" s="39" t="str" cm="1">
        <f t="array" aca="1" ref="N535" ca="1">INDEX('SAP Customer Data'!$A:$AC,MATCH(بيانات_العملاء[[#This Row],[رمز شريك الأعمال]],'SAP Customer Data'!$B:$B,0),CELL("col",Table_Customer_Data[[#Headers],[LicTradNum]]))</f>
        <v>311098274500003</v>
      </c>
      <c r="O535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35" s="37" t="s">
        <v>854</v>
      </c>
      <c r="Q535" s="66">
        <v>45279</v>
      </c>
      <c r="R535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535" s="37" t="s">
        <v>1080</v>
      </c>
      <c r="T535" s="40"/>
      <c r="U535" s="41"/>
      <c r="V535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5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5" s="37" cm="1">
        <f t="array" aca="1" ref="X535" ca="1">INDEX('SAP Customer Data'!$A:$AC,MATCH(بيانات_العملاء[[#This Row],[رمز شريك الأعمال]],'SAP Customer Data'!$B:$B,0),CELL("col",Table_Customer_Data[[#Headers],[CreditLine]]))</f>
        <v>0</v>
      </c>
      <c r="Y535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35" s="37"/>
      <c r="AA535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5" s="37" t="s">
        <v>856</v>
      </c>
      <c r="AC535" s="37"/>
      <c r="AD535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5" s="37" t="s">
        <v>856</v>
      </c>
      <c r="AF535" s="37"/>
      <c r="AG535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35" s="37" t="s">
        <v>856</v>
      </c>
      <c r="AI535" s="37"/>
      <c r="AJ535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35" s="37"/>
      <c r="AL535" s="38"/>
      <c r="AM535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5" s="37" t="s">
        <v>856</v>
      </c>
      <c r="AO535" s="41"/>
      <c r="AP535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5" s="37" t="s">
        <v>856</v>
      </c>
      <c r="AR535" s="37"/>
      <c r="AS535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35" s="41" cm="1">
        <f t="array" aca="1" ref="AT535" ca="1">INDEX('SAP Customer Data'!A:Z,MATCH(بيانات_العملاء[[#This Row],[رمز شريك الأعمال]],'SAP Customer Data'!B:B,0),CELL("col",Table_Customer_Data[[#Headers],[CreateDate]]))</f>
        <v>45153</v>
      </c>
      <c r="AU535" s="37"/>
      <c r="AV535" s="41"/>
      <c r="AW535" s="37" t="s">
        <v>2097</v>
      </c>
      <c r="AX535" s="37"/>
    </row>
    <row r="536" spans="1:50" x14ac:dyDescent="0.25">
      <c r="A536" s="73" t="s">
        <v>6</v>
      </c>
      <c r="B536" s="77" t="s">
        <v>2314</v>
      </c>
      <c r="C536" s="37" t="str" cm="1">
        <f t="array" aca="1" ref="C536" ca="1">INDEX('SAP Customer Data'!$A:$AC,MATCH(بيانات_العملاء[[#This Row],[رمز شريك الأعمال]],'SAP Customer Data'!$B:$B,0),CELL("col",Table_Customer_Data[[#Headers],[CardName]]))</f>
        <v>مؤسسة سهم الدر التجارية - نقدي</v>
      </c>
      <c r="D536" s="65" t="str">
        <f ca="1">IF(بيانات_العملاء[[#This Row],[حد الائتمان على SAP]]&gt;0,"آجل","نقدى")</f>
        <v>نقدى</v>
      </c>
      <c r="E536" s="65"/>
      <c r="F536" s="65"/>
      <c r="G536" s="37" t="s">
        <v>854</v>
      </c>
      <c r="H536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36" s="65" t="s">
        <v>856</v>
      </c>
      <c r="J536" s="66"/>
      <c r="K536" s="37"/>
      <c r="L536" s="37" t="str">
        <f ca="1">IF(AND(بيانات_العملاء[[#This Row],[السجل التجارى]]="موجود",TODAY()+'Other Data'!$B$23&lt;J536,بيانات_العملاء[[#This Row],[مطابقة اسم العميل بالاسم بالسجل التجارى]]="مطابق"), "سارى", "يجب اعادة طلبه")</f>
        <v>يجب اعادة طلبه</v>
      </c>
      <c r="M536" s="37" t="s">
        <v>854</v>
      </c>
      <c r="N536" s="69" t="str" cm="1">
        <f t="array" aca="1" ref="N536" ca="1">INDEX('SAP Customer Data'!$A:$AC,MATCH(بيانات_العملاء[[#This Row],[رمز شريك الأعمال]],'SAP Customer Data'!$B:$B,0),CELL("col",Table_Customer_Data[[#Headers],[LicTradNum]]))</f>
        <v>300779176100003</v>
      </c>
      <c r="O536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36" s="37" t="s">
        <v>854</v>
      </c>
      <c r="Q536" s="66">
        <v>45917</v>
      </c>
      <c r="R536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536" s="65" t="s">
        <v>1080</v>
      </c>
      <c r="T536" s="68"/>
      <c r="U536" s="67"/>
      <c r="V536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6" s="65">
        <f>IF(بيانات_العملاء[[#This Row],[سند الامر]]="غير موجود", "",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6" s="65" cm="1">
        <f t="array" aca="1" ref="X536" ca="1">INDEX('SAP Customer Data'!$A:$AC,MATCH(بيانات_العملاء[[#This Row],[رمز شريك الأعمال]],'SAP Customer Data'!$B:$B,0),CELL("col",Table_Customer_Data[[#Headers],[CreditLine]]))</f>
        <v>0</v>
      </c>
      <c r="Y536" s="65" t="str">
        <f ca="1">IF(بيانات_العملاء[[#This Row],[قيمة سند الامر المضبوطة]]=بيانات_العملاء[[#This Row],[حد الائتمان على SAP]],"مطابق", "غير مطابق")</f>
        <v>مطابق</v>
      </c>
      <c r="Z536" s="37"/>
      <c r="AA536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6" s="37" t="s">
        <v>854</v>
      </c>
      <c r="AC536" s="67">
        <v>47394</v>
      </c>
      <c r="AD536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36" s="65"/>
      <c r="AF536" s="65"/>
      <c r="AG536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36" s="65"/>
      <c r="AI536" s="65"/>
      <c r="AJ536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36" s="65"/>
      <c r="AL536" s="66"/>
      <c r="AM536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6" s="37" t="s">
        <v>854</v>
      </c>
      <c r="AO536" s="67">
        <v>44708</v>
      </c>
      <c r="AP536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6" s="65"/>
      <c r="AR536" s="65"/>
      <c r="AS536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36" s="67" cm="1">
        <f t="array" aca="1" ref="AT536" ca="1">INDEX('SAP Customer Data'!A:Z,MATCH(بيانات_العملاء[[#This Row],[رمز شريك الأعمال]],'SAP Customer Data'!B:B,0),CELL("col",Table_Customer_Data[[#Headers],[CreateDate]]))</f>
        <v>45158</v>
      </c>
      <c r="AU536" s="79" t="s">
        <v>2315</v>
      </c>
      <c r="AV536" s="67" t="s">
        <v>2316</v>
      </c>
      <c r="AW536" s="65"/>
      <c r="AX536" s="65"/>
    </row>
    <row r="537" spans="1:50" x14ac:dyDescent="0.25">
      <c r="A537" s="36" t="str" cm="1">
        <f t="array" aca="1" ref="A537" ca="1">INDEX('SAP Customer Data'!$A:$AC,MATCH(بيانات_العملاء[[#This Row],[رمز شريك الأعمال]],'SAP Customer Data'!$B:$B,0),CELL("col",Table_Customer_Data[[#Headers],[GroupName]]))</f>
        <v>LB07</v>
      </c>
      <c r="B537" s="77" t="s">
        <v>2359</v>
      </c>
      <c r="C537" s="37" t="str" cm="1">
        <f t="array" aca="1" ref="C537" ca="1">INDEX('SAP Customer Data'!$A:$AC,MATCH(بيانات_العملاء[[#This Row],[رمز شريك الأعمال]],'SAP Customer Data'!$B:$B,0),CELL("col",Table_Customer_Data[[#Headers],[CardName]]))</f>
        <v>محل تصميم الكهف للتجارة - نقدى</v>
      </c>
      <c r="D537" s="65" t="str">
        <f ca="1">IF(بيانات_العملاء[[#This Row],[حد الائتمان على SAP]]&gt;0,"آجل","نقدى")</f>
        <v>نقدى</v>
      </c>
      <c r="E537" s="37" t="s">
        <v>2384</v>
      </c>
      <c r="F537" s="37" t="s">
        <v>1081</v>
      </c>
      <c r="G537" s="37" t="s">
        <v>856</v>
      </c>
      <c r="H537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37" s="37" t="s">
        <v>854</v>
      </c>
      <c r="J537" s="38">
        <v>45995</v>
      </c>
      <c r="K537" s="41" t="s">
        <v>855</v>
      </c>
      <c r="L537" s="37" t="str">
        <f ca="1">IF(AND(بيانات_العملاء[[#This Row],[السجل التجارى]]="موجود",TODAY()+'Other Data'!$B$23&lt;J537,بيانات_العملاء[[#This Row],[مطابقة اسم العميل بالاسم بالسجل التجارى]]="مطابق"), "سارى", "يجب اعادة طلبه")</f>
        <v>سارى</v>
      </c>
      <c r="M537" s="37" t="s">
        <v>854</v>
      </c>
      <c r="N537" s="39" t="str" cm="1">
        <f t="array" aca="1" ref="N537" ca="1">INDEX('SAP Customer Data'!$A:$AC,MATCH(بيانات_العملاء[[#This Row],[رمز شريك الأعمال]],'SAP Customer Data'!$B:$B,0),CELL("col",Table_Customer_Data[[#Headers],[LicTradNum]]))</f>
        <v>300744377400003</v>
      </c>
      <c r="O537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37" s="37" t="s">
        <v>854</v>
      </c>
      <c r="Q537" s="38">
        <v>46861</v>
      </c>
      <c r="R537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537" s="37" t="s">
        <v>1080</v>
      </c>
      <c r="T537" s="40"/>
      <c r="U537" s="41"/>
      <c r="V537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7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7" s="37" cm="1">
        <f t="array" aca="1" ref="X537" ca="1">INDEX('SAP Customer Data'!$A:$AC,MATCH(بيانات_العملاء[[#This Row],[رمز شريك الأعمال]],'SAP Customer Data'!$B:$B,0),CELL("col",Table_Customer_Data[[#Headers],[CreditLine]]))</f>
        <v>0</v>
      </c>
      <c r="Y537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37" s="37"/>
      <c r="AA537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7" s="37" t="s">
        <v>856</v>
      </c>
      <c r="AC537" s="37"/>
      <c r="AD537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7" s="37"/>
      <c r="AF537" s="37"/>
      <c r="AG537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37" s="37"/>
      <c r="AI537" s="37"/>
      <c r="AJ537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37" s="37"/>
      <c r="AL537" s="38"/>
      <c r="AM537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7" s="37" t="s">
        <v>856</v>
      </c>
      <c r="AO537" s="41"/>
      <c r="AP537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7" s="37"/>
      <c r="AR537" s="37"/>
      <c r="AS537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37" s="41" cm="1">
        <f t="array" aca="1" ref="AT537" ca="1">INDEX('SAP Customer Data'!A:Z,MATCH(بيانات_العملاء[[#This Row],[رمز شريك الأعمال]],'SAP Customer Data'!B:B,0),CELL("col",Table_Customer_Data[[#Headers],[CreateDate]]))</f>
        <v>45159</v>
      </c>
      <c r="AU537" s="47" t="s">
        <v>2385</v>
      </c>
      <c r="AV537" s="41"/>
      <c r="AW537" s="37" t="s">
        <v>2097</v>
      </c>
      <c r="AX537" s="37"/>
    </row>
    <row r="538" spans="1:50" x14ac:dyDescent="0.25">
      <c r="A538" s="64" t="s">
        <v>6</v>
      </c>
      <c r="B538" s="77" t="s">
        <v>2391</v>
      </c>
      <c r="C538" s="37" t="str" cm="1">
        <f t="array" aca="1" ref="C538" ca="1">INDEX('SAP Customer Data'!$A:$AC,MATCH(بيانات_العملاء[[#This Row],[رمز شريك الأعمال]],'SAP Customer Data'!$B:$B,0),CELL("col",Table_Customer_Data[[#Headers],[CardName]]))</f>
        <v>مؤسسة موسي الصفار التجارية - نقدي</v>
      </c>
      <c r="D538" s="65" t="str">
        <f ca="1">IF(بيانات_العملاء[[#This Row],[حد الائتمان على SAP]]&gt;0,"آجل","نقدى")</f>
        <v>نقدى</v>
      </c>
      <c r="E538" s="65"/>
      <c r="F538" s="65"/>
      <c r="G538" s="37" t="s">
        <v>856</v>
      </c>
      <c r="H538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38" s="65" t="s">
        <v>856</v>
      </c>
      <c r="J538" s="66"/>
      <c r="K538" s="37"/>
      <c r="L538" s="37" t="str">
        <f ca="1">IF(AND(بيانات_العملاء[[#This Row],[السجل التجارى]]="موجود",TODAY()+'Other Data'!$B$23&lt;J538,بيانات_العملاء[[#This Row],[مطابقة اسم العميل بالاسم بالسجل التجارى]]="مطابق"), "سارى", "يجب اعادة طلبه")</f>
        <v>يجب اعادة طلبه</v>
      </c>
      <c r="M538" s="37" t="s">
        <v>856</v>
      </c>
      <c r="N538" s="69" t="str" cm="1">
        <f t="array" aca="1" ref="N538" ca="1">INDEX('SAP Customer Data'!$A:$AC,MATCH(بيانات_العملاء[[#This Row],[رمز شريك الأعمال]],'SAP Customer Data'!$B:$B,0),CELL("col",Table_Customer_Data[[#Headers],[LicTradNum]]))</f>
        <v>310047991100003</v>
      </c>
      <c r="O538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يجب اعادة طلبه</v>
      </c>
      <c r="P538" s="37" t="s">
        <v>856</v>
      </c>
      <c r="Q538" s="66"/>
      <c r="R538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38" s="65" t="s">
        <v>1080</v>
      </c>
      <c r="T538" s="68"/>
      <c r="U538" s="67"/>
      <c r="V538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8" s="65">
        <f>IF(بيانات_العملاء[[#This Row],[سند الامر]]="غير موجود", "",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8" s="65" cm="1">
        <f t="array" aca="1" ref="X538" ca="1">INDEX('SAP Customer Data'!$A:$AC,MATCH(بيانات_العملاء[[#This Row],[رمز شريك الأعمال]],'SAP Customer Data'!$B:$B,0),CELL("col",Table_Customer_Data[[#Headers],[CreditLine]]))</f>
        <v>0</v>
      </c>
      <c r="Y538" s="65" t="str">
        <f ca="1">IF(بيانات_العملاء[[#This Row],[قيمة سند الامر المضبوطة]]=بيانات_العملاء[[#This Row],[حد الائتمان على SAP]],"مطابق", "غير مطابق")</f>
        <v>مطابق</v>
      </c>
      <c r="Z538" s="37"/>
      <c r="AA538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8" s="37" t="s">
        <v>856</v>
      </c>
      <c r="AC538" s="67"/>
      <c r="AD538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8" s="65"/>
      <c r="AF538" s="65"/>
      <c r="AG538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38" s="65"/>
      <c r="AI538" s="65"/>
      <c r="AJ538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38" s="65"/>
      <c r="AL538" s="66"/>
      <c r="AM538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8" s="37" t="s">
        <v>856</v>
      </c>
      <c r="AO538" s="67"/>
      <c r="AP538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8" s="65"/>
      <c r="AR538" s="65"/>
      <c r="AS538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38" s="67" cm="1">
        <f t="array" aca="1" ref="AT538" ca="1">INDEX('SAP Customer Data'!A:Z,MATCH(بيانات_العملاء[[#This Row],[رمز شريك الأعمال]],'SAP Customer Data'!B:B,0),CELL("col",Table_Customer_Data[[#Headers],[CreateDate]]))</f>
        <v>45164</v>
      </c>
      <c r="AU538" s="79"/>
      <c r="AV538" s="67"/>
      <c r="AW538" s="65"/>
      <c r="AX538" s="65"/>
    </row>
    <row r="539" spans="1:50" x14ac:dyDescent="0.25">
      <c r="A539" s="64" t="s">
        <v>187</v>
      </c>
      <c r="B539" s="77" t="s">
        <v>2392</v>
      </c>
      <c r="C539" s="37" t="str" cm="1">
        <f t="array" aca="1" ref="C539" ca="1">INDEX('SAP Customer Data'!$A:$AC,MATCH(بيانات_العملاء[[#This Row],[رمز شريك الأعمال]],'SAP Customer Data'!$B:$B,0),CELL("col",Table_Customer_Data[[#Headers],[CardName]]))</f>
        <v>مؤسسة سليمان بن عبدالله بن عبدالعزيز البهيجي للادوات الصحية -نقدي</v>
      </c>
      <c r="D539" s="65" t="str">
        <f ca="1">IF(بيانات_العملاء[[#This Row],[حد الائتمان على SAP]]&gt;0,"آجل","نقدى")</f>
        <v>نقدى</v>
      </c>
      <c r="E539" s="65" t="s">
        <v>2393</v>
      </c>
      <c r="F539" s="65" t="s">
        <v>1081</v>
      </c>
      <c r="G539" s="37" t="s">
        <v>856</v>
      </c>
      <c r="H539" s="37" t="str">
        <f>IF(OR(بيانات_العملاء[[#This Row],[طلب فتح حساب مصدق]]="موجود", بيانات_العملاء[[#This Row],[طلب فتح حساب مصدق]]="مستثنى"), "سارى", "يجب اعادة طلبه")</f>
        <v>يجب اعادة طلبه</v>
      </c>
      <c r="I539" s="37" t="s">
        <v>854</v>
      </c>
      <c r="J539" s="66">
        <v>46137</v>
      </c>
      <c r="K539" s="37" t="s">
        <v>855</v>
      </c>
      <c r="L539" s="37" t="str">
        <f ca="1">IF(AND(بيانات_العملاء[[#This Row],[السجل التجارى]]="موجود",TODAY()+'Other Data'!$B$23&lt;J539,بيانات_العملاء[[#This Row],[مطابقة اسم العميل بالاسم بالسجل التجارى]]="مطابق"), "سارى", "يجب اعادة طلبه")</f>
        <v>سارى</v>
      </c>
      <c r="M539" s="37" t="s">
        <v>854</v>
      </c>
      <c r="N539" s="39" t="str" cm="1">
        <f t="array" aca="1" ref="N539" ca="1">INDEX('SAP Customer Data'!$A:$AC,MATCH(بيانات_العملاء[[#This Row],[رمز شريك الأعمال]],'SAP Customer Data'!$B:$B,0),CELL("col",Table_Customer_Data[[#Headers],[LicTradNum]]))</f>
        <v>310598697100003</v>
      </c>
      <c r="O539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39" s="37" t="s">
        <v>854</v>
      </c>
      <c r="Q539" s="66">
        <v>45295</v>
      </c>
      <c r="R539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539" s="37" t="s">
        <v>1080</v>
      </c>
      <c r="T539" s="40"/>
      <c r="U539" s="41"/>
      <c r="V539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39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0</v>
      </c>
      <c r="X539" s="37" cm="1">
        <f t="array" aca="1" ref="X539" ca="1">INDEX('SAP Customer Data'!$A:$AC,MATCH(بيانات_العملاء[[#This Row],[رمز شريك الأعمال]],'SAP Customer Data'!$B:$B,0),CELL("col",Table_Customer_Data[[#Headers],[CreditLine]]))</f>
        <v>0</v>
      </c>
      <c r="Y539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39" s="37"/>
      <c r="AA539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39" s="37" t="s">
        <v>856</v>
      </c>
      <c r="AC539" s="37"/>
      <c r="AD539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39" s="37" t="s">
        <v>856</v>
      </c>
      <c r="AF539" s="37"/>
      <c r="AG539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39" s="37" t="s">
        <v>856</v>
      </c>
      <c r="AI539" s="37"/>
      <c r="AJ539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39" s="37"/>
      <c r="AL539" s="38"/>
      <c r="AM539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39" s="37" t="s">
        <v>856</v>
      </c>
      <c r="AO539" s="41"/>
      <c r="AP539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39" s="37" t="s">
        <v>856</v>
      </c>
      <c r="AR539" s="37"/>
      <c r="AS539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39" s="41" cm="1">
        <f t="array" aca="1" ref="AT539" ca="1">INDEX('SAP Customer Data'!A:Z,MATCH(بيانات_العملاء[[#This Row],[رمز شريك الأعمال]],'SAP Customer Data'!B:B,0),CELL("col",Table_Customer_Data[[#Headers],[CreateDate]]))</f>
        <v>45164</v>
      </c>
      <c r="AU539" s="37"/>
      <c r="AV539" s="41"/>
      <c r="AW539" s="37" t="s">
        <v>2097</v>
      </c>
      <c r="AX539" s="37"/>
    </row>
    <row r="540" spans="1:50" x14ac:dyDescent="0.25">
      <c r="A540" s="64" t="s">
        <v>74</v>
      </c>
      <c r="B540" s="77" t="s">
        <v>2407</v>
      </c>
      <c r="C540" s="37" t="str" cm="1">
        <f t="array" aca="1" ref="C540" ca="1">INDEX('SAP Customer Data'!$A:$AC,MATCH(بيانات_العملاء[[#This Row],[رمز شريك الأعمال]],'SAP Customer Data'!$B:$B,0),CELL("col",Table_Customer_Data[[#Headers],[CardName]]))</f>
        <v>شركة مصدر الاضاءة للتجارة - الصحافة</v>
      </c>
      <c r="D540" s="65" t="str">
        <f ca="1">IF(بيانات_العملاء[[#This Row],[حد الائتمان على SAP]]&gt;0,"آجل","نقدى")</f>
        <v>آجل</v>
      </c>
      <c r="E540" s="65"/>
      <c r="F540" s="37" t="s">
        <v>908</v>
      </c>
      <c r="G540" s="37" t="s">
        <v>854</v>
      </c>
      <c r="H540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40" s="37" t="s">
        <v>854</v>
      </c>
      <c r="J540" s="38">
        <v>44973</v>
      </c>
      <c r="K540" s="37" t="s">
        <v>855</v>
      </c>
      <c r="L540" s="37" t="str">
        <f ca="1">IF(AND(بيانات_العملاء[[#This Row],[السجل التجارى]]="موجود",TODAY()+'Other Data'!$B$23&lt;J540,بيانات_العملاء[[#This Row],[مطابقة اسم العميل بالاسم بالسجل التجارى]]="مطابق"), "سارى", "يجب اعادة طلبه")</f>
        <v>يجب اعادة طلبه</v>
      </c>
      <c r="M540" s="37" t="s">
        <v>854</v>
      </c>
      <c r="N540" s="39" t="str" cm="1">
        <f t="array" aca="1" ref="N540" ca="1">INDEX('SAP Customer Data'!$A:$AC,MATCH(بيانات_العملاء[[#This Row],[رمز شريك الأعمال]],'SAP Customer Data'!$B:$B,0),CELL("col",Table_Customer_Data[[#Headers],[LicTradNum]]))</f>
        <v>311242126900003</v>
      </c>
      <c r="O540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40" s="37" t="s">
        <v>854</v>
      </c>
      <c r="Q540" s="38">
        <v>45297</v>
      </c>
      <c r="R540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سارى</v>
      </c>
      <c r="S540" s="37" t="s">
        <v>854</v>
      </c>
      <c r="T540" s="40">
        <v>62500</v>
      </c>
      <c r="U540" s="41"/>
      <c r="V540" s="37">
        <f>IF(بيانات_العملاء[[#This Row],[تاريخ انشاء سند الامر او الاستثناء]]="",0,بيانات_العملاء[[#This Row],[تاريخ انشاء سند الامر او الاستثناء]]+365*3)</f>
        <v>0</v>
      </c>
      <c r="W540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50000</v>
      </c>
      <c r="X540" s="37" cm="1">
        <f t="array" aca="1" ref="X540" ca="1">INDEX('SAP Customer Data'!$A:$AC,MATCH(بيانات_العملاء[[#This Row],[رمز شريك الأعمال]],'SAP Customer Data'!$B:$B,0),CELL("col",Table_Customer_Data[[#Headers],[CreditLine]]))</f>
        <v>50000</v>
      </c>
      <c r="Y540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40" s="37" t="s">
        <v>855</v>
      </c>
      <c r="AA540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يجب اعادة طلبه</v>
      </c>
      <c r="AB540" s="37" t="s">
        <v>856</v>
      </c>
      <c r="AC540" s="37"/>
      <c r="AD540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40" s="37" t="s">
        <v>856</v>
      </c>
      <c r="AF540" s="37"/>
      <c r="AG540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يجب اعادة طلبه</v>
      </c>
      <c r="AH540" s="37" t="s">
        <v>856</v>
      </c>
      <c r="AI540" s="37"/>
      <c r="AJ540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40" s="37" t="s">
        <v>856</v>
      </c>
      <c r="AL540" s="38"/>
      <c r="AM540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40" s="37" t="s">
        <v>854</v>
      </c>
      <c r="AO540" s="41">
        <v>44824</v>
      </c>
      <c r="AP540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يجب اعادة طلبه</v>
      </c>
      <c r="AQ540" s="37" t="s">
        <v>856</v>
      </c>
      <c r="AR540" s="37"/>
      <c r="AS540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40" s="41" cm="1">
        <f t="array" aca="1" ref="AT540" ca="1">INDEX('SAP Customer Data'!A:Z,MATCH(بيانات_العملاء[[#This Row],[رمز شريك الأعمال]],'SAP Customer Data'!B:B,0),CELL("col",Table_Customer_Data[[#Headers],[CreateDate]]))</f>
        <v>45168</v>
      </c>
      <c r="AU540" s="37"/>
      <c r="AV540" s="67"/>
      <c r="AW540" s="37" t="s">
        <v>2096</v>
      </c>
      <c r="AX540" s="65"/>
    </row>
    <row r="541" spans="1:50" x14ac:dyDescent="0.25">
      <c r="A541" s="36" t="str" cm="1">
        <f t="array" aca="1" ref="A541" ca="1">INDEX('SAP Customer Data'!$A:$AC,MATCH(بيانات_العملاء[[#This Row],[رمز شريك الأعمال]],'SAP Customer Data'!$B:$B,0),CELL("col",Table_Customer_Data[[#Headers],[GroupName]]))</f>
        <v>LB07</v>
      </c>
      <c r="B541" s="77" t="s">
        <v>2409</v>
      </c>
      <c r="C541" s="37" t="str" cm="1">
        <f t="array" aca="1" ref="C541" ca="1">INDEX('SAP Customer Data'!$A:$AC,MATCH(بيانات_العملاء[[#This Row],[رمز شريك الأعمال]],'SAP Customer Data'!$B:$B,0),CELL("col",Table_Customer_Data[[#Headers],[CardName]]))</f>
        <v>مؤسسة اتقان الانمائية التجارية</v>
      </c>
      <c r="D541" s="65" t="str">
        <f ca="1">IF(بيانات_العملاء[[#This Row],[حد الائتمان على SAP]]&gt;0,"آجل","نقدى")</f>
        <v>آجل</v>
      </c>
      <c r="E541" s="65" t="s">
        <v>2410</v>
      </c>
      <c r="F541" s="37" t="s">
        <v>1081</v>
      </c>
      <c r="G541" s="37" t="s">
        <v>854</v>
      </c>
      <c r="H541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41" s="37" t="s">
        <v>854</v>
      </c>
      <c r="J541" s="38">
        <v>46878</v>
      </c>
      <c r="K541" s="37" t="s">
        <v>855</v>
      </c>
      <c r="L541" s="37" t="str">
        <f ca="1">IF(AND(بيانات_العملاء[[#This Row],[السجل التجارى]]="موجود",TODAY()+'Other Data'!$B$23&lt;J541,بيانات_العملاء[[#This Row],[مطابقة اسم العميل بالاسم بالسجل التجارى]]="مطابق"), "سارى", "يجب اعادة طلبه")</f>
        <v>سارى</v>
      </c>
      <c r="M541" s="37" t="s">
        <v>854</v>
      </c>
      <c r="N541" s="39" t="str" cm="1">
        <f t="array" aca="1" ref="N541" ca="1">INDEX('SAP Customer Data'!$A:$AC,MATCH(بيانات_العملاء[[#This Row],[رمز شريك الأعمال]],'SAP Customer Data'!$B:$B,0),CELL("col",Table_Customer_Data[[#Headers],[LicTradNum]]))</f>
        <v>311674793500003</v>
      </c>
      <c r="O541" s="37" t="str">
        <f ca="1">IF(AND(بيانات_العملاء[[#This Row],[البطاقة الضريبية]]="موجود", LEN(بيانات_العملاء[[#This Row],[معرف الضريبة الحكومية]])=15),"سارى", "يجب اعادة طلبه")</f>
        <v>سارى</v>
      </c>
      <c r="P541" s="37" t="s">
        <v>856</v>
      </c>
      <c r="Q541" s="38"/>
      <c r="R541" s="37" t="str">
        <f ca="1">IF(AND(بيانات_العملاء[[#This Row],[رخصة النشاط التجارى]]="موجود", بيانات_العملاء[[#This Row],[تاريخ انتهاء رخصة النشاط التجارى]]&gt;TODAY()+'Other Data'!$B$23),"سارى", "يجب اعادة طلبه")</f>
        <v>يجب اعادة طلبه</v>
      </c>
      <c r="S541" s="37" t="s">
        <v>854</v>
      </c>
      <c r="T541" s="40">
        <v>30000</v>
      </c>
      <c r="U541" s="41">
        <v>45173</v>
      </c>
      <c r="V541" s="41">
        <f>IF(بيانات_العملاء[[#This Row],[تاريخ انشاء سند الامر او الاستثناء]]="",0,بيانات_العملاء[[#This Row],[تاريخ انشاء سند الامر او الاستثناء]]+365*3)</f>
        <v>46268</v>
      </c>
      <c r="W541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24000</v>
      </c>
      <c r="X541" s="37" cm="1">
        <f t="array" aca="1" ref="X541" ca="1">INDEX('SAP Customer Data'!$A:$AC,MATCH(بيانات_العملاء[[#This Row],[رمز شريك الأعمال]],'SAP Customer Data'!$B:$B,0),CELL("col",Table_Customer_Data[[#Headers],[CreditLine]]))</f>
        <v>24000</v>
      </c>
      <c r="Y541" s="37" t="str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مطابق</v>
      </c>
      <c r="Z541" s="37" t="s">
        <v>855</v>
      </c>
      <c r="AA541" s="37" t="str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سارى</v>
      </c>
      <c r="AB541" s="37" t="s">
        <v>854</v>
      </c>
      <c r="AC541" s="41">
        <v>45952</v>
      </c>
      <c r="AD541" s="37" t="str">
        <f ca="1">IF(AND(TODAY()+'Other Data'!$B$23&lt;بيانات_العملاء[[#This Row],[تاريخ انتهاء هوية المالك]],بيانات_العملاء[[#This Row],[ صورة عن هوية المالك]]="موجود"), "سارى", "يجب اعادة طلبه")</f>
        <v>سارى</v>
      </c>
      <c r="AE541" s="37" t="s">
        <v>854</v>
      </c>
      <c r="AF541" s="41">
        <v>45952</v>
      </c>
      <c r="AG541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لأمر]]&gt;TODAY()+'Other Data'!$B$23), "سارى", "يجب اعادة طلبه")</f>
        <v>سارى</v>
      </c>
      <c r="AH541" s="37" t="s">
        <v>854</v>
      </c>
      <c r="AI541" s="37"/>
      <c r="AJ541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الامر]]&gt;TODAY()+'Other Data'!$B$23), "سارى", "يجب اعادة طلبه")</f>
        <v>يجب اعادة طلبه</v>
      </c>
      <c r="AK541" s="37" t="s">
        <v>854</v>
      </c>
      <c r="AL541" s="38"/>
      <c r="AM541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41" s="37" t="s">
        <v>854</v>
      </c>
      <c r="AO541" s="41">
        <v>45243</v>
      </c>
      <c r="AP541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سارى</v>
      </c>
      <c r="AQ541" s="37" t="s">
        <v>856</v>
      </c>
      <c r="AR541" s="37"/>
      <c r="AS541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الامر]]&gt;TODAY()+'Other Data'!$B$23),"سارى", "يجب اعادة طلبه")</f>
        <v>يجب اعادة طلبه</v>
      </c>
      <c r="AT541" s="41" cm="1">
        <f t="array" aca="1" ref="AT541" ca="1">INDEX('SAP Customer Data'!A:Z,MATCH(بيانات_العملاء[[#This Row],[رمز شريك الأعمال]],'SAP Customer Data'!B:B,0),CELL("col",Table_Customer_Data[[#Headers],[CreateDate]]))</f>
        <v>45174</v>
      </c>
      <c r="AU541" s="76" t="s">
        <v>2411</v>
      </c>
      <c r="AV541" s="67"/>
      <c r="AW541" s="37" t="s">
        <v>2097</v>
      </c>
      <c r="AX541" s="65"/>
    </row>
    <row r="542" spans="1:50" x14ac:dyDescent="0.25">
      <c r="A542" s="36" t="s">
        <v>74</v>
      </c>
      <c r="B542" s="77" t="s">
        <v>2477</v>
      </c>
      <c r="C542" s="37" t="e" cm="1">
        <f t="array" aca="1" ref="C542" ca="1">INDEX('SAP Customer Data'!$A:$AC,MATCH(بيانات_العملاء[[#This Row],[رمز شريك الأعمال]],'SAP Customer Data'!$B:$B,0),CELL("col",Table_Customer_Data[[#Headers],[CardName]]))</f>
        <v>#N/A</v>
      </c>
      <c r="D542" s="37" t="e">
        <f ca="1">IF(بيانات_العملاء[[#This Row],[حد الائتمان على SAP]]&gt;0,"آجل","نقدى")</f>
        <v>#N/A</v>
      </c>
      <c r="E542" s="37"/>
      <c r="F542" s="37" t="s">
        <v>908</v>
      </c>
      <c r="G542" s="37" t="s">
        <v>854</v>
      </c>
      <c r="H542" s="37" t="str">
        <f>IF(OR(بيانات_العملاء[[#This Row],[طلب فتح حساب مصدق]]="موجود", بيانات_العملاء[[#This Row],[طلب فتح حساب مصدق]]="مستثنى"), "سارى", "يجب اعادة طلبه")</f>
        <v>سارى</v>
      </c>
      <c r="I542" s="37" t="s">
        <v>854</v>
      </c>
      <c r="J542" s="38">
        <v>45344</v>
      </c>
      <c r="K542" s="41" t="s">
        <v>855</v>
      </c>
      <c r="L542" s="37" t="str">
        <f ca="1">IF(AND(بيانات_العملاء[[#This Row],[السجل التجارى]]="موجود",TODAY()+'Other Data'!$B$23&lt;J542,بيانات_العملاء[[#This Row],[مطابقة اسم العميل بالاسم بالسجل التجارى]]="مطابق"), "سارى", "يجب اعادة طلبه")</f>
        <v>سارى</v>
      </c>
      <c r="M542" s="37" t="s">
        <v>854</v>
      </c>
      <c r="N542" s="39" t="e" cm="1">
        <f t="array" aca="1" ref="N542" ca="1">INDEX('SAP Customer Data'!$A:$AC,MATCH(بيانات_العملاء[[#This Row],[رمز شريك الأعمال]],'SAP Customer Data'!$B:$B,0),CELL("col",Table_Customer_Data[[#Headers],[LicTradNum]]))</f>
        <v>#N/A</v>
      </c>
      <c r="O542" s="37" t="e">
        <f ca="1">IF(AND(بيانات_العملاء[[#This Row],[البطاقة الضريبية]]="موجود", LEN(بيانات_العملاء[[#This Row],[معرف الضريبة الحكومية]])=15),"سارى", "يجب اعادة طلبه")</f>
        <v>#N/A</v>
      </c>
      <c r="P542" s="37" t="s">
        <v>854</v>
      </c>
      <c r="Q542" s="66">
        <v>45351</v>
      </c>
      <c r="R542" s="37" t="str">
        <f ca="1">IF(AND(بيانات_العملاء[[#This Row],[رخصة النشاط التجارى]]="موجود", بيانات_العملاء[[#This Row],[تاريخ انتهاء رخصة النشاط التجارى]]&gt;TODAY()+90),"سارى", "يجب اعادة طلبه")</f>
        <v>سارى</v>
      </c>
      <c r="S542" s="37" t="s">
        <v>854</v>
      </c>
      <c r="T542" s="40">
        <v>50000</v>
      </c>
      <c r="U542" s="41">
        <v>45113</v>
      </c>
      <c r="V542" s="41">
        <f>IF(بيانات_العملاء[[#This Row],[تاريخ انشاء سند الامر او الاستثناء]]="",0,بيانات_العملاء[[#This Row],[تاريخ انشاء سند الامر او الاستثناء]]+365*3)</f>
        <v>46208</v>
      </c>
      <c r="W542" s="37">
        <f>IF(بيانات_العملاء[[#This Row],[سند الامر]]="غير موجود", 0, IF(بيانات_العملاء[[#This Row],[سند الامر]]="مستثنى",بيانات_العملاء[[#This Row],[قيمة سند الامر او الاستثناء]],80%*بيانات_العملاء[[#This Row],[قيمة سند الامر او الاستثناء]]))</f>
        <v>40000</v>
      </c>
      <c r="X542" s="37" t="e" cm="1">
        <f t="array" aca="1" ref="X542" ca="1">INDEX('SAP Customer Data'!$A:$AC,MATCH(بيانات_العملاء[[#This Row],[رمز شريك الأعمال]],'SAP Customer Data'!$B:$B,0),CELL("col",Table_Customer_Data[[#Headers],[CreditLine]]))</f>
        <v>#N/A</v>
      </c>
      <c r="Y542" s="37" t="e">
        <f ca="1">IF(بيانات_العملاء[[#This Row],[قيمة سند الامر المضبوطة]]=بيانات_العملاء[[#This Row],[حد الائتمان على SAP]],"مطابق", IF(بيانات_العملاء[[#This Row],[قيمة سند الامر المضبوطة]]&gt;بيانات_العملاء[[#This Row],[حد الائتمان على SAP]], "السند اكبر", IF(بيانات_العملاء[[#This Row],[قيمة سند الامر المضبوطة]]=0, "السند غير موجود","السند اصغر")))</f>
        <v>#N/A</v>
      </c>
      <c r="Z542" s="37" t="s">
        <v>855</v>
      </c>
      <c r="AA542" s="37" t="e">
        <f ca="1">(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الائتمانى]]="مطابق",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الائتمانى]]="مطابق")), "سارى",
IF(
OR(
AND(بيانات_العملاء[[#This Row],[سند الامر]]="موجود",بيانات_العملاء[[#This Row],[تاريخ انتهاء سند الامر او الاستثناء]]&gt;TODAY()+'Other Data'!$B$23,بيانات_العملاء[[#This Row],[مطابقة الحد الائتمانى]]="السند اكبر", بيانات_العملاء[[#This Row],[مطابقة رقم السجل التجارى بسند الامر]]="مطابق"),
AND(بيانات_العملاء[[#This Row],[سند الامر]]="مستثنى",بيانات_العملاء[[#This Row],[مطابقة الحد الائتمانى]]="السند اكبر")), "سارى",
IF(
OR(
AND(بيانات_العملاء[[#This Row],[سند الامر]]="نقدى",بيانات_العملاء[[#This Row],[مطابقة الحد الائتمانى]]="مطابق")), "سارى",
 "يجب اعادة طلبه"))))</f>
        <v>#N/A</v>
      </c>
      <c r="AB542" s="37"/>
      <c r="AC542" s="37"/>
      <c r="AD542" s="37" t="str">
        <f ca="1">IF(AND(TODAY()+90&lt;بيانات_العملاء[[#This Row],[تاريخ انتهاء هوية المالك]],بيانات_العملاء[[#This Row],[ صورة عن هوية المالك]]="موجود"), "سارى", "يجب اعادة طلبه")</f>
        <v>يجب اعادة طلبه</v>
      </c>
      <c r="AE542" s="37"/>
      <c r="AF542" s="37"/>
      <c r="AG542" s="37" t="str">
        <f ca="1">IF(AND(بيانات_العملاء[[#This Row],[ صورة عن هوية الضامن الاحتياطي في السند لأمر]]="موجود", بيانات_العملاء[[#This Row],[تاريخ انتهاء صورة عن هوية الضامن الاحتياطي في السند لأمر]]&gt;TODAY()+90), "سارى", "يجب اعادة طلبه")</f>
        <v>يجب اعادة طلبه</v>
      </c>
      <c r="AH542" s="37"/>
      <c r="AI542" s="37"/>
      <c r="AJ542" s="37" t="str">
        <f ca="1">IF(AND(بيانات_العملاء[[#This Row],[ صورة عن هوية الشاهد الاول في السند الامر]]="موجود", بيانات_العملاء[[#This Row],[ تاريخ انتهاء هوية الشاهد الاول في السند الامر]]&gt;TODAY()+90), "سارى", "يجب اعادة طلبه")</f>
        <v>يجب اعادة طلبه</v>
      </c>
      <c r="AK542" s="37"/>
      <c r="AL542" s="38"/>
      <c r="AM542" s="37" t="str">
        <f ca="1">IF(AND(بيانات_العملاء[[#This Row],[ صورة عن هوية الشاهد الثانى في السند الامر]]="موجود", بيانات_العملاء[[#This Row],[ تاريخ انتهاء هوية الشاهد الثانى في السند الامر]]&gt;TODAY()+'Other Data'!$B$23), "سارى", "يجب اعادة طلبه")</f>
        <v>يجب اعادة طلبه</v>
      </c>
      <c r="AN542" s="37" t="s">
        <v>854</v>
      </c>
      <c r="AO542" s="41">
        <v>45338</v>
      </c>
      <c r="AP542" s="37" t="str">
        <f ca="1">IF(AND(بيانات_العملاء[[#This Row],[ صورة عن العنوان الوطني للمؤسسة]]="موجود",  بيانات_العملاء[[#This Row],[تاريخ انتهاء العنوان الوطنى للمؤسسة]]&gt;TODAY()+'Other Data'!$B$23), "سارى", "يجب اعادة طلبه")</f>
        <v>سارى</v>
      </c>
      <c r="AQ542" s="37"/>
      <c r="AR542" s="37"/>
      <c r="AS542" s="37" t="str">
        <f ca="1">IF(AND(بيانات_العملاء[[#This Row],[ صورة عن العنوان الوطني للضامن الاحتياطي في سند الامر]]="موجود",بيانات_العملاء[[#This Row],[تاريخ انتهاء العنوان الوطني للضامن الاحتياطي في سند الامر]]&gt;TODAY()+90),"سارى", "يجب اعادة طلبه")</f>
        <v>يجب اعادة طلبه</v>
      </c>
      <c r="AT542" s="41" t="e" cm="1">
        <f t="array" aca="1" ref="AT542" ca="1">INDEX('SAP Customer Data'!A:Z,MATCH(بيانات_العملاء[[#This Row],[رمز شريك الأعمال]],'SAP Customer Data'!B:B,0),CELL("col",Table_Customer_Data[[#Headers],[CreateDate]]))</f>
        <v>#N/A</v>
      </c>
      <c r="AU542" s="83" t="s">
        <v>2478</v>
      </c>
      <c r="AV542" s="41"/>
      <c r="AW542" s="37"/>
      <c r="AX542" s="37"/>
    </row>
  </sheetData>
  <phoneticPr fontId="26" type="noConversion"/>
  <conditionalFormatting sqref="L1:L125 O1:O125 R1:R125 AD1:AD125 AG1:AG125 AP1:AP125 AS1:AS125 H2:H125 AJ4:AM4 H127:H421 L127:L421 O127:O421 R127:R421 AD127:AD421 AG127:AG421 AP127:AP421 AS127:AS421 AJ360:AM402 AP423:AP530 AS423:AS530 O423:O533 AJ471:AM516 O542 AP542 AS542">
    <cfRule type="containsText" dxfId="13" priority="6" operator="containsText" text="يجب اعادة طلبه">
      <formula>NOT(ISERROR(SEARCH("يجب اعادة طلبه",H1)))</formula>
    </cfRule>
    <cfRule type="containsText" dxfId="12" priority="7" operator="containsText" text="سارى">
      <formula>NOT(ISERROR(SEARCH("سارى",H1)))</formula>
    </cfRule>
  </conditionalFormatting>
  <conditionalFormatting sqref="N127:N421 N1:N125 N535 N537 N423:N533 N539 N542">
    <cfRule type="duplicateValues" dxfId="11" priority="10"/>
  </conditionalFormatting>
  <conditionalFormatting sqref="N540:N541">
    <cfRule type="duplicateValues" dxfId="10" priority="3"/>
  </conditionalFormatting>
  <conditionalFormatting sqref="AP532:AP541 AS532:AS541 O535:O541 R423:R542 H423:H542 L423:L542 AA1:AA542 AD423:AD542 AG423:AG542">
    <cfRule type="containsText" dxfId="9" priority="1" operator="containsText" text="يجب اعادة طلبه">
      <formula>NOT(ISERROR(SEARCH("يجب اعادة طلبه",H1)))</formula>
    </cfRule>
    <cfRule type="containsText" dxfId="8" priority="2" operator="containsText" text="سارى">
      <formula>NOT(ISERROR(SEARCH("سارى",H1)))</formula>
    </cfRule>
  </conditionalFormatting>
  <conditionalFormatting sqref="AH445">
    <cfRule type="containsText" dxfId="7" priority="8" operator="containsText" text="يجب اعادة طلبه">
      <formula>NOT(ISERROR(SEARCH("يجب اعادة طلبه",AH445)))</formula>
    </cfRule>
    <cfRule type="containsText" dxfId="6" priority="9" operator="containsText" text="سارى">
      <formula>NOT(ISERROR(SEARCH("سارى",AH445)))</formula>
    </cfRule>
  </conditionalFormatting>
  <conditionalFormatting sqref="AJ1:AJ3 AL2:AM3 AJ5 AL5:AM5 AJ6:AM7 AJ8:AJ15 AL8:AM15 AJ16:AM21 AJ22 AL22:AM22 AJ23:AM23 AJ24:AJ27 AL24:AM27 AJ28:AM31 AJ32:AJ34 AL32:AM34 AJ35:AM35 AJ36 AL36:AM36 AJ37:AM38 AJ39:AJ49 AL39:AM49 AJ50:AM51 AJ52:AJ54 AL52:AM54 AJ55:AM57 AJ58 AL58:AM58 AJ59:AM60 AJ61:AJ64 AL61:AM64 AJ65:AM65 AJ66:AJ73 AL66:AM73 AJ74:AM76 AJ77:AJ79 AL77:AM79 AJ80:AM80 AJ81:AJ82 AL81:AM82 AJ83:AM84 AJ85:AJ87 AL85:AM87 AJ88:AM88 AJ89:AJ91 AL89:AM91 AJ92:AM92 AJ93:AJ94 AL93:AM94 AJ95:AM95 AJ96 AL96:AM96 AJ97:AM97 AJ98 AL98:AM98 AJ99:AM100 AJ101 AL101:AM101 AJ102:AM102 AJ103:AJ106 AL103:AM106 AJ107:AM108 AJ109 AL109:AM109 AJ110:AM111 AJ112:AJ118 AL112:AM118 AJ119:AM121 AJ122:AJ123 AL122:AM123 AJ124:AM125 AJ127:AJ128 AL127:AM128 AJ129:AM130 AJ131:AJ134 AL131:AM134 AJ135:AM142 AJ143 AL143:AM143 AJ144:AM148 AJ149 AL149:AM149 AJ150:AM153 AJ154 AL154:AM154 AJ155:AM159 AJ160:AJ162 AL160:AM162 AJ163:AM166 AJ167:AJ168 AL167:AM168 AJ169:AM169 AJ170 AL170:AM170 AJ171:AM228 AJ229 AL229:AM229 AJ230:AM248 AJ249 AL249:AM249 AJ250:AM254 AJ255 AL255:AM255 AJ256:AM303 AJ304 AL304:AM304 AJ305:AM332 AJ333 AL333:AM333 AJ334:AM351 AJ352:AJ353 AL352:AM353 AJ354:AM358 AJ359 AL359:AM359 AJ403 AL403:AM403 AJ404:AM410 AJ411 AL411:AM411 AJ412:AM413 AJ414 AL414:AM414 AJ415:AM419 AJ420 AL420:AM420 AJ421:AM421 AJ423:AJ424 AL423:AM424 AJ425:AM425 AJ426 AL426:AM426 AJ427:AM445 AJ446 AL446:AM446 AJ447:AM450 AJ451 AL451:AM451 AJ452:AM463 AJ464 AL464:AM464 AJ465:AM468 AJ469:AJ470 AL469:AM470 AJ517:AJ519 AL517:AM519 AJ520:AM529 AJ530 AL530:AM530 AQ531 AT531 AJ531:AM535 AJ536 AM536 AJ537:AM537 AJ538 AM538 AJ542:AM542">
    <cfRule type="containsText" dxfId="5" priority="13" operator="containsText" text="يجب اعادة طلبه">
      <formula>NOT(ISERROR(SEARCH("يجب اعادة طلبه",AJ1)))</formula>
    </cfRule>
    <cfRule type="containsText" dxfId="4" priority="14" operator="containsText" text="سارى">
      <formula>NOT(ISERROR(SEARCH("سارى",AJ1)))</formula>
    </cfRule>
  </conditionalFormatting>
  <conditionalFormatting sqref="AJ539:AM541">
    <cfRule type="containsText" dxfId="3" priority="4" operator="containsText" text="يجب اعادة طلبه">
      <formula>NOT(ISERROR(SEARCH("يجب اعادة طلبه",AJ539)))</formula>
    </cfRule>
    <cfRule type="containsText" dxfId="2" priority="5" operator="containsText" text="سارى">
      <formula>NOT(ISERROR(SEARCH("سارى",AJ539)))</formula>
    </cfRule>
  </conditionalFormatting>
  <conditionalFormatting sqref="AM1">
    <cfRule type="containsText" dxfId="1" priority="11" operator="containsText" text="يجب اعادة طلبه">
      <formula>NOT(ISERROR(SEARCH("يجب اعادة طلبه",AM1)))</formula>
    </cfRule>
    <cfRule type="containsText" dxfId="0" priority="12" operator="containsText" text="سارى">
      <formula>NOT(ISERROR(SEARCH("سارى",AM1)))</formula>
    </cfRule>
  </conditionalFormatting>
  <dataValidations count="5">
    <dataValidation type="textLength" allowBlank="1" showInputMessage="1" showErrorMessage="1" sqref="N2:N542" xr:uid="{7D9386DB-A6C5-4CA1-9DF6-E8ED6A099B7E}">
      <formula1>15</formula1>
      <formula2>15</formula2>
    </dataValidation>
    <dataValidation type="whole" allowBlank="1" showInputMessage="1" showErrorMessage="1" sqref="T2:T60 T64:T84 T533 T535 T88:T530 T537 T539:T542" xr:uid="{F7A80879-0410-42CF-9387-4C34BFF2A7F8}">
      <formula1>1</formula1>
      <formula2>1000000000000</formula2>
    </dataValidation>
    <dataValidation type="date" operator="greaterThanOrEqual" showInputMessage="1" showErrorMessage="1" sqref="AL2:AL530 AL532:AL535 AL537 AL539:AL542" xr:uid="{085CA97B-CB63-428C-9B2F-543B2F0C90DB}">
      <formula1>36526</formula1>
    </dataValidation>
    <dataValidation type="date" operator="greaterThanOrEqual" allowBlank="1" showInputMessage="1" showErrorMessage="1" sqref="AF256:AF257 U535 AU537 AI520:AI530 J520:J530 AF166 J2:J71 AL445 AF527 AI446:AI509 J172:J241 AI2:AI444 AO2:AO530 AC2:AC530 AR2:AR530 U2:U530 AF541 AU502:AU530 U532:U533 AI532:AI535 AO532:AO535 AC532:AC535 AR532:AR535 J533:J534 AU533:AU535 J73:J170 AI537 J537 AF537 AO537 AC537 AR537 U537 J243:J512 U539:U542 AI539:AI542 AO539:AO542 AC539:AC542 AR539:AR542 AU462:AU500 J540:J542 AU2:AU345 AU347:AU460 AU539:AU541" xr:uid="{DE406F52-32E6-460A-A96E-66FDD3FFA728}">
      <formula1>36526</formula1>
    </dataValidation>
    <dataValidation type="date" operator="greaterThan" allowBlank="1" showInputMessage="1" showErrorMessage="1" sqref="Q172:Q530 Q2:Q170 Q533 Q537 Q540:Q541" xr:uid="{602040DD-A380-45EA-8DD4-C55CD87A251B}">
      <formula1>36526</formula1>
    </dataValidation>
  </dataValidations>
  <hyperlinks>
    <hyperlink ref="B475" r:id="rId1" xr:uid="{9AB0C622-D1AA-433F-82BF-89701BE351E5}"/>
    <hyperlink ref="B476" r:id="rId2" xr:uid="{A4CBA37B-7BD4-428C-A1B7-3D4CAB66344B}"/>
    <hyperlink ref="B477" r:id="rId3" xr:uid="{2A5C472F-3D1B-45B5-A229-56DBCAFBC9C3}"/>
    <hyperlink ref="B478" r:id="rId4" xr:uid="{88C66A12-F273-4C1C-A341-1185946B1929}"/>
    <hyperlink ref="B479" r:id="rId5" xr:uid="{151840EA-7697-4D4D-8020-D3AEC44DDF34}"/>
    <hyperlink ref="B480" r:id="rId6" xr:uid="{6DB5DBE0-874E-47A3-8F8E-2EB76EF171B9}"/>
    <hyperlink ref="B481" r:id="rId7" xr:uid="{753A410D-FC69-4ECD-93D9-7930BE311389}"/>
    <hyperlink ref="B482" r:id="rId8" xr:uid="{52A2BFAA-E65B-45A7-BF01-E769EE62A474}"/>
    <hyperlink ref="B483" r:id="rId9" xr:uid="{683B539E-B9FB-4086-A0B1-5AA0BF5A5CC0}"/>
    <hyperlink ref="B484" r:id="rId10" xr:uid="{21F0CA40-8041-4274-B85B-8A428776C52E}"/>
    <hyperlink ref="B486" r:id="rId11" xr:uid="{18D44E42-3B7F-47E3-8877-D575F9E02EBB}"/>
    <hyperlink ref="B485" r:id="rId12" xr:uid="{992DAC2B-B69C-4A6E-A843-5B2366923115}"/>
    <hyperlink ref="B517" r:id="rId13" xr:uid="{01BA8EEC-3731-4070-B17D-58F8825CDFD1}"/>
    <hyperlink ref="B520" r:id="rId14" xr:uid="{7B3AECF4-0696-419C-AE39-9B4AC2DEAC28}"/>
    <hyperlink ref="B511" r:id="rId15" xr:uid="{04A5DC27-8EFF-458D-AD4B-FA6894C0E941}"/>
    <hyperlink ref="B53" r:id="rId16" xr:uid="{6BC86034-E459-484A-960B-5E5BEB301DB9}"/>
    <hyperlink ref="B181" r:id="rId17" xr:uid="{E37C3551-0B41-496D-9188-128142BB1FF8}"/>
    <hyperlink ref="B164" r:id="rId18" xr:uid="{1BD6056C-9D24-42AB-B631-B8390E5C2E8D}"/>
    <hyperlink ref="B165" r:id="rId19" xr:uid="{8035AB17-A19F-4677-A6AC-4120737282AC}"/>
    <hyperlink ref="B182" r:id="rId20" xr:uid="{C9660F49-E00F-4029-A5AA-F86D66DB66B9}"/>
    <hyperlink ref="B183" r:id="rId21" xr:uid="{03C4BAD1-8E58-43A6-A63F-19796789E6A3}"/>
    <hyperlink ref="B184" r:id="rId22" xr:uid="{6D39F356-3710-447E-936A-048C7BDDA301}"/>
    <hyperlink ref="B185" r:id="rId23" xr:uid="{82617EC5-9629-415F-801A-A2CE73D69F1B}"/>
    <hyperlink ref="B186" r:id="rId24" xr:uid="{B20E3269-8B8F-4EA6-BD97-20F2DF2F6989}"/>
    <hyperlink ref="B197" r:id="rId25" xr:uid="{A0DBD57D-B329-4A65-93B4-1A684FAF21D0}"/>
    <hyperlink ref="B198" r:id="rId26" xr:uid="{F481D697-D095-4A2F-B39B-8978CFE20DCB}"/>
    <hyperlink ref="B199" r:id="rId27" xr:uid="{CF565268-3C8D-4423-9577-BB3CE1431D5C}"/>
    <hyperlink ref="B333" r:id="rId28" xr:uid="{47C33690-46FE-477D-B8F5-0128257097BB}"/>
    <hyperlink ref="B298" r:id="rId29" xr:uid="{BAC7C3BB-E9F2-4367-B3A2-0F04F8A20E56}"/>
    <hyperlink ref="B317" r:id="rId30" xr:uid="{38267350-0680-47A6-9286-ABF897B1B1AB}"/>
    <hyperlink ref="B291" r:id="rId31" xr:uid="{A87E622F-EE5E-4D73-8257-164033A84936}"/>
    <hyperlink ref="B279" r:id="rId32" xr:uid="{16C78354-3B6F-4AFA-B5D4-6D2258FF2F8F}"/>
    <hyperlink ref="B421" r:id="rId33" xr:uid="{ABC119CB-5394-4F01-81D2-5A83D81AC996}"/>
    <hyperlink ref="B379" r:id="rId34" xr:uid="{894D8710-234C-4E4A-9ED1-2C98A955E0B2}"/>
    <hyperlink ref="B514" r:id="rId35" xr:uid="{5F13DCB3-6EC5-4E11-A70B-61D269716715}"/>
    <hyperlink ref="B433" r:id="rId36" xr:uid="{6A22BB6C-6C2E-4670-86F2-B10898588B1E}"/>
    <hyperlink ref="B420" r:id="rId37" xr:uid="{6B5BF459-964B-41DB-9195-A058F7E0D47E}"/>
    <hyperlink ref="B450" r:id="rId38" xr:uid="{A16538C7-6BD1-463C-8C17-4D9F09A334B2}"/>
    <hyperlink ref="B487" r:id="rId39" xr:uid="{ECD778E4-A5E0-4AB0-AC06-A55875A8E012}"/>
    <hyperlink ref="B488" r:id="rId40" xr:uid="{FC2E6E2E-F6B3-4660-956C-BBAF824A7109}"/>
    <hyperlink ref="B489" r:id="rId41" xr:uid="{036F68C8-3957-46FC-AD40-1C8C1F82D1DE}"/>
    <hyperlink ref="B490" r:id="rId42" xr:uid="{2A8B3879-B5B7-4995-A7C0-0469D4354623}"/>
    <hyperlink ref="B449" r:id="rId43" xr:uid="{FFE1114C-38A1-4C50-B75C-5EB701A3C90A}"/>
    <hyperlink ref="B491" r:id="rId44" xr:uid="{C6D8607C-33D1-475C-BB6A-963001EE9E45}"/>
    <hyperlink ref="B492" r:id="rId45" xr:uid="{098672EF-B7A7-4FAE-97A4-DE50F56C9ED0}"/>
    <hyperlink ref="B285" r:id="rId46" xr:uid="{5D59B1CE-5D0D-49EF-8AF8-256C3AEE2C43}"/>
    <hyperlink ref="B335" r:id="rId47" xr:uid="{8C52BE1E-E4E0-4471-933F-3C6C5B6616FC}"/>
    <hyperlink ref="B338" r:id="rId48" xr:uid="{74E0C6FC-8F46-4E0F-8BC1-2E7C211D7B25}"/>
    <hyperlink ref="B494" r:id="rId49" xr:uid="{479070E7-B81C-4729-8BFB-6D410D270071}"/>
    <hyperlink ref="B309" r:id="rId50" xr:uid="{2AA33990-E599-45EA-81C8-187DCF11F246}"/>
    <hyperlink ref="B281" r:id="rId51" xr:uid="{75A8FF38-BF4D-4F9C-8E4C-14BF73983E23}"/>
    <hyperlink ref="B299" r:id="rId52" xr:uid="{32B9F2FE-85AB-4D7B-97A2-F0AFD6A2AB62}"/>
    <hyperlink ref="B9" r:id="rId53" xr:uid="{B1EE7496-1203-4CE8-8588-F09983A9C6AB}"/>
    <hyperlink ref="B38" r:id="rId54" xr:uid="{6F398732-8889-4C53-91FC-533DD95F1C2C}"/>
    <hyperlink ref="B6" r:id="rId55" xr:uid="{F4D5986F-46AB-45D7-BD8E-7E1BD3C5E5E9}"/>
    <hyperlink ref="B82" r:id="rId56" xr:uid="{A5163489-91A0-4C0E-87E6-1CA66859AD88}"/>
    <hyperlink ref="B525" r:id="rId57" xr:uid="{2AEF68C7-033B-4271-869E-DBC2155A098D}"/>
    <hyperlink ref="B59" r:id="rId58" xr:uid="{9FD7441C-29F4-44D7-AA64-289054396278}"/>
    <hyperlink ref="B2" r:id="rId59" xr:uid="{7C6507E6-DBB9-4D8E-A268-AD99BE595502}"/>
    <hyperlink ref="B41" r:id="rId60" xr:uid="{5DD31BC4-B7FC-453A-BC03-221A1A4545B5}"/>
    <hyperlink ref="B21" r:id="rId61" xr:uid="{B31AC256-16F1-456C-B9B0-654B9043052E}"/>
    <hyperlink ref="B189" r:id="rId62" xr:uid="{D6CC9679-29AF-409E-9C35-53754BB99FD8}"/>
    <hyperlink ref="B190" r:id="rId63" xr:uid="{12051E78-585D-426B-AA26-DBF55938F5A9}"/>
    <hyperlink ref="B187" r:id="rId64" xr:uid="{D7AF6FC7-BD1E-4E29-AD2A-C2FE3D914F32}"/>
    <hyperlink ref="B502" r:id="rId65" xr:uid="{56AA1696-C25E-4647-A773-787F19B962A5}"/>
    <hyperlink ref="B302" r:id="rId66" xr:uid="{0C49C10C-697E-4395-8502-73EF62638BD2}"/>
    <hyperlink ref="B432" r:id="rId67" xr:uid="{60E50DE5-D215-43C1-AF88-7E209C295308}"/>
    <hyperlink ref="B425" r:id="rId68" xr:uid="{E02B61F0-D47F-4AE9-99D8-E9A4C60F76FB}"/>
    <hyperlink ref="B495" r:id="rId69" xr:uid="{A6641FED-D856-44F4-9E57-AC3BD957CCF5}"/>
    <hyperlink ref="B429" r:id="rId70" xr:uid="{B052EE24-42E7-4DDA-B84C-2310EE1A8D03}"/>
    <hyperlink ref="B423" r:id="rId71" xr:uid="{20D85CFF-ABEA-4781-B9B7-313C499F37C5}"/>
    <hyperlink ref="B431" r:id="rId72" xr:uid="{E4733DF1-597F-4BDC-9167-07C21F1A44FC}"/>
    <hyperlink ref="B419" r:id="rId73" xr:uid="{39A6736A-2554-4FF8-B774-5BF5B6197967}"/>
    <hyperlink ref="B426" r:id="rId74" xr:uid="{D8C0EA94-9550-40A3-A123-EB8F8A23CF8F}"/>
    <hyperlink ref="B430" r:id="rId75" xr:uid="{581124DC-C68B-42A7-A0F7-1A8F3F2B3750}"/>
    <hyperlink ref="B422" r:id="rId76" xr:uid="{33531016-6959-42FA-A8D7-7881DF59F48D}"/>
    <hyperlink ref="B424" r:id="rId77" xr:uid="{515D4B1F-CFE9-4D21-A0E6-9349A08B3EE0}"/>
    <hyperlink ref="B427" r:id="rId78" xr:uid="{61A957CD-EE3D-4726-AFDB-C4114F2224CF}"/>
    <hyperlink ref="B428" r:id="rId79" xr:uid="{0C101B7A-3DDD-4FD5-AF0A-84D91F6D0D13}"/>
    <hyperlink ref="B526" r:id="rId80" xr:uid="{DC064C3D-B727-4091-A530-3BCA3F5F8AE0}"/>
    <hyperlink ref="B372" r:id="rId81" xr:uid="{57FF4B3F-C236-406E-8A21-7BAC3EACC404}"/>
    <hyperlink ref="B373" r:id="rId82" xr:uid="{18D20972-32DA-46AA-856E-7DCCCE1DED51}"/>
    <hyperlink ref="B234" r:id="rId83" xr:uid="{35650D0D-4201-474B-9FC1-C08102AEE45E}"/>
    <hyperlink ref="B244" r:id="rId84" xr:uid="{F1252853-0051-4808-B4F2-27A03E3FCD4B}"/>
    <hyperlink ref="B60" r:id="rId85" xr:uid="{2E97A9CC-EF9F-452E-B1CD-9A9863A0D641}"/>
    <hyperlink ref="B71" r:id="rId86" xr:uid="{6B00CC55-407D-4895-A37A-0453F1958460}"/>
    <hyperlink ref="B457" r:id="rId87" xr:uid="{FA365A9F-E36B-44F6-924B-EEC169BDE360}"/>
    <hyperlink ref="B235" r:id="rId88" xr:uid="{EAF3DEB5-7B47-4873-8362-D68FE8C830AD}"/>
    <hyperlink ref="B42" r:id="rId89" xr:uid="{BCEC90EB-6659-486B-AE20-8B510FB647E8}"/>
    <hyperlink ref="B81" r:id="rId90" xr:uid="{9F0D36D2-BB28-400D-975F-BEADC37ED6B9}"/>
    <hyperlink ref="B69" r:id="rId91" xr:uid="{CDEF3E91-8EE6-439A-8D1E-341540D4F126}"/>
    <hyperlink ref="B34" r:id="rId92" xr:uid="{6C6211D2-57AA-4D5E-ACFC-AEFE61220528}"/>
    <hyperlink ref="B91" r:id="rId93" xr:uid="{1AE0A8D2-DA10-4F90-977C-1266CFA86216}"/>
    <hyperlink ref="B77" r:id="rId94" xr:uid="{8587D5DA-1293-44CD-A98E-A71EAE14D55A}"/>
    <hyperlink ref="B57" r:id="rId95" xr:uid="{D2F7DA24-57B8-4FDF-8B2D-95C640EFE1F4}"/>
    <hyperlink ref="B523" r:id="rId96" xr:uid="{D1A2591D-1CDD-413F-98A5-811062FF043E}"/>
    <hyperlink ref="B17" r:id="rId97" xr:uid="{9E42F631-8DAB-4B0E-A86F-B845C2435641}"/>
    <hyperlink ref="B89" r:id="rId98" xr:uid="{9AF1E44D-4A22-4437-9FB0-CF39C04CCAAB}"/>
    <hyperlink ref="B39" r:id="rId99" xr:uid="{20F6B317-5736-46DA-8674-BD210B6EFB61}"/>
    <hyperlink ref="B54" r:id="rId100" xr:uid="{8C3E96F2-899D-4344-B57B-EA6680D404F5}"/>
    <hyperlink ref="B380" r:id="rId101" xr:uid="{48F6AEFE-3EF3-469E-81DC-27D8D26BAA7D}"/>
    <hyperlink ref="B376" r:id="rId102" xr:uid="{2288F40D-9431-4E31-8C00-0ABCE09DA4E4}"/>
    <hyperlink ref="B509" r:id="rId103" xr:uid="{9639BF89-726B-4DD7-9712-83C2F8C07329}"/>
    <hyperlink ref="B518" r:id="rId104" xr:uid="{A1B45246-ED33-4E71-A035-407171614A9A}"/>
    <hyperlink ref="B510" r:id="rId105" xr:uid="{9F3BFAE0-5871-417F-ABE3-808705315ADD}"/>
    <hyperlink ref="B191" r:id="rId106" xr:uid="{191CAB67-73FB-457B-9226-EB3AC243CFA6}"/>
    <hyperlink ref="B88" r:id="rId107" xr:uid="{A1EC079F-DC0A-4A72-9505-C3F56FC9E5AE}"/>
    <hyperlink ref="B37" r:id="rId108" xr:uid="{AC072DA5-25C5-4A15-A8B0-9A3BF81F57AF}"/>
    <hyperlink ref="B80" r:id="rId109" xr:uid="{1C239308-6F68-47EE-A364-9B764D8CA649}"/>
    <hyperlink ref="B68" r:id="rId110" xr:uid="{21DC1E0F-34FF-4445-9E98-16AA81DB9294}"/>
    <hyperlink ref="B79" r:id="rId111" xr:uid="{17F9B680-9236-4588-9DCF-8EE36EC488F3}"/>
    <hyperlink ref="B31" r:id="rId112" xr:uid="{9D9F9DF8-0D16-4198-8450-5105024384AD}"/>
    <hyperlink ref="B85" r:id="rId113" xr:uid="{72FA8D96-AAB3-4770-82F3-AECD9060CB17}"/>
    <hyperlink ref="B43" r:id="rId114" xr:uid="{25BD81C8-EB9C-4EB0-BC1A-DF9D53D1F6D0}"/>
    <hyperlink ref="B72" r:id="rId115" xr:uid="{9F41EA4C-4DD6-45C3-B3B1-BE90A4960A50}"/>
    <hyperlink ref="B47" r:id="rId116" xr:uid="{DFA2CBB1-1D3C-430D-8731-EC9E0AE863B3}"/>
    <hyperlink ref="B52" r:id="rId117" xr:uid="{A5596B96-1812-4D07-87FB-C13DE1F6DE55}"/>
    <hyperlink ref="B87" r:id="rId118" xr:uid="{94B92198-FF20-42A9-B41C-FB213F8858EA}"/>
    <hyperlink ref="B381" r:id="rId119" xr:uid="{33F648AA-B4B3-4B91-9075-1029C8C2E716}"/>
    <hyperlink ref="B393" r:id="rId120" xr:uid="{4DCC4255-317C-4A48-AC4A-2A7003933B4D}"/>
    <hyperlink ref="B49" r:id="rId121" xr:uid="{CC25D8E0-58C1-4DED-80CC-1A6FF4268F74}"/>
    <hyperlink ref="B3" r:id="rId122" xr:uid="{A5701A19-DBF1-4482-9430-F338E96F4A64}"/>
    <hyperlink ref="B61" r:id="rId123" xr:uid="{4493B287-D667-4E9A-A444-AC7A5402F3A7}"/>
    <hyperlink ref="B75" r:id="rId124" xr:uid="{90EEBA92-F54E-4FFA-8A1A-743E5FD69D3C}"/>
    <hyperlink ref="B84" r:id="rId125" xr:uid="{CB3E4295-D366-40CC-AC1D-6145BA587C2F}"/>
    <hyperlink ref="B83" r:id="rId126" xr:uid="{AD2642ED-8BF9-4147-9BE9-5A792207EAEE}"/>
    <hyperlink ref="B33" r:id="rId127" xr:uid="{B89D65ED-00CC-4DC3-A734-9CB2127AF34D}"/>
    <hyperlink ref="B496" r:id="rId128" xr:uid="{D555F75C-7BD0-4B85-88D9-7C051DC96D37}"/>
    <hyperlink ref="B50" r:id="rId129" xr:uid="{F097C023-8FF3-455D-AC17-0CAE0971220C}"/>
    <hyperlink ref="B55" r:id="rId130" xr:uid="{8A83CF13-29BE-41F2-80A9-82B289EFED35}"/>
    <hyperlink ref="B30" r:id="rId131" xr:uid="{4512A315-6264-4D0B-A54F-102A52A2E7C1}"/>
    <hyperlink ref="B46" r:id="rId132" xr:uid="{2138B878-A1CC-4C8C-8EC3-992690772285}"/>
    <hyperlink ref="B66" r:id="rId133" xr:uid="{F2791BD2-4DE8-4254-8B01-3610A0762D37}"/>
    <hyperlink ref="B36" r:id="rId134" xr:uid="{8180721B-5803-4505-9F65-57D0236A8DA1}"/>
    <hyperlink ref="B86" r:id="rId135" xr:uid="{EE7BEAF1-E906-40E5-8C5C-BA0657A445F0}"/>
    <hyperlink ref="B67" r:id="rId136" xr:uid="{02B3A920-8E3C-45AB-828D-F73F251146BC}"/>
    <hyperlink ref="B62" r:id="rId137" xr:uid="{32C7282E-C91A-4529-BFB5-936B6E1D0AAD}"/>
    <hyperlink ref="B74" r:id="rId138" xr:uid="{EA4A994C-15F1-4D48-993C-5B7FE99CB38D}"/>
    <hyperlink ref="B4" r:id="rId139" xr:uid="{3B97E65B-A9D0-470F-B74B-AF3F40048F8D}"/>
    <hyperlink ref="B45" r:id="rId140" xr:uid="{7BEC694D-4333-4849-89CC-B88FE75C15B5}"/>
    <hyperlink ref="B5" r:id="rId141" xr:uid="{0416A9E5-FF39-4D3C-9F62-CCCFBDD635CF}"/>
    <hyperlink ref="B35" r:id="rId142" xr:uid="{27434958-420D-437D-AE76-CD640081AE03}"/>
    <hyperlink ref="B58" r:id="rId143" xr:uid="{2D5E5F69-A391-4BAC-B052-1D89964F30E6}"/>
    <hyperlink ref="B44" r:id="rId144" xr:uid="{1B510039-94EF-4931-A104-7FF1DB2AEAC1}"/>
    <hyperlink ref="B73" r:id="rId145" xr:uid="{6493B362-06A6-4013-8ADD-CAB537644676}"/>
    <hyperlink ref="B78" r:id="rId146" xr:uid="{66C04C30-5E68-49DF-AD49-BC96731C065C}"/>
    <hyperlink ref="B32" r:id="rId147" xr:uid="{FC1F50C0-88C3-4D3D-A920-03C3C5F9D8C4}"/>
    <hyperlink ref="B40" r:id="rId148" xr:uid="{7371FD1F-BD3F-4D40-9BF3-D977CDCE9909}"/>
    <hyperlink ref="B521" r:id="rId149" xr:uid="{34B9BA83-977A-4CA1-A7D6-5A00BD220008}"/>
    <hyperlink ref="B519" r:id="rId150" xr:uid="{9BF1C7F5-BC78-41E0-88B3-59A18E9C0171}"/>
    <hyperlink ref="B383" r:id="rId151" xr:uid="{D038B01A-F6E3-490E-A0E4-9D38A42C9691}"/>
    <hyperlink ref="B385" r:id="rId152" xr:uid="{FA45179F-6958-4407-A4F9-FEFCFA1B7874}"/>
    <hyperlink ref="B397" r:id="rId153" xr:uid="{CE13DB4F-758B-42B0-973A-17FDB4D37F94}"/>
    <hyperlink ref="B386" r:id="rId154" xr:uid="{4127C0D2-9D57-40E0-86E7-E94BAE21C00D}"/>
    <hyperlink ref="B395" r:id="rId155" xr:uid="{BDD0C91A-79C0-4CE4-ADBE-CE43E71EC79A}"/>
    <hyperlink ref="B512" r:id="rId156" xr:uid="{C1B72CFF-2B0C-4075-B52B-FB2C47A34DA6}"/>
    <hyperlink ref="B375" r:id="rId157" xr:uid="{43CE82AF-C53D-4389-AFF5-57CEC3661519}"/>
    <hyperlink ref="B374" r:id="rId158" xr:uid="{C38F61DF-7C15-4FC1-A315-B071399344B7}"/>
    <hyperlink ref="B524" r:id="rId159" xr:uid="{C5F8B82E-B051-419C-BB15-270511278EB5}"/>
    <hyperlink ref="B522" r:id="rId160" xr:uid="{3D14F159-5007-48A2-AADF-98AE9135200A}"/>
    <hyperlink ref="B389" r:id="rId161" xr:uid="{442FF090-7078-4C43-A2DF-A37CA93DC527}"/>
    <hyperlink ref="B516" r:id="rId162" xr:uid="{D79B0D2E-BBB1-4858-B985-C88B7E316B4C}"/>
    <hyperlink ref="B392" r:id="rId163" xr:uid="{45498152-2A41-4734-9E52-600C01DDFCB2}"/>
    <hyperlink ref="B378" r:id="rId164" xr:uid="{FD5DDF42-CC26-4741-ACD1-7EE0DF38ADCF}"/>
    <hyperlink ref="B382" r:id="rId165" xr:uid="{4857C68D-2AA2-4F41-AFF7-E0BE82D11B57}"/>
    <hyperlink ref="B300" r:id="rId166" xr:uid="{9641A9D1-2711-4270-AF50-5394CB07CB92}"/>
    <hyperlink ref="B334" r:id="rId167" xr:uid="{A05A17A5-0F6D-4DFC-8424-51F8CDA875F9}"/>
    <hyperlink ref="B306" r:id="rId168" xr:uid="{F404564F-DB81-4416-B54D-269FDE94CB68}"/>
    <hyperlink ref="B387" r:id="rId169" xr:uid="{112D540F-4DAF-460E-B425-8348D9F9D69D}"/>
    <hyperlink ref="B398" r:id="rId170" xr:uid="{99B98100-229F-4389-97CE-808885BEBD3E}"/>
    <hyperlink ref="B377" r:id="rId171" xr:uid="{084AA054-ECBA-4339-BEE0-E04EBCF53CAD}"/>
    <hyperlink ref="B388" r:id="rId172" xr:uid="{962D96C4-307B-4242-B0CF-73A8614FA630}"/>
    <hyperlink ref="B513" r:id="rId173" xr:uid="{A93CA4A9-FED5-4BA5-A5DB-80A90E4E3CC3}"/>
    <hyperlink ref="B295" r:id="rId174" xr:uid="{61164130-476A-4690-8E5B-021EE2083253}"/>
    <hyperlink ref="B160" r:id="rId175" xr:uid="{CBC1CD49-143D-41B0-8069-60D4D0417165}"/>
    <hyperlink ref="B322" r:id="rId176" xr:uid="{B2A71624-C4A9-4807-8470-4314928F31D0}"/>
    <hyperlink ref="B289" r:id="rId177" xr:uid="{22D82812-87D3-4231-B714-2FFE932F3F34}"/>
    <hyperlink ref="B312" r:id="rId178" xr:uid="{EB1993F3-F5E1-41F2-85C9-AB24D65BDC34}"/>
    <hyperlink ref="B273" r:id="rId179" xr:uid="{8729241A-1DA4-49B2-A16A-63C8A6C43516}"/>
    <hyperlink ref="B296" r:id="rId180" xr:uid="{C5980E2A-6DB6-4585-A9C0-E4F073ADF636}"/>
    <hyperlink ref="B287" r:id="rId181" xr:uid="{1339299C-4CCC-4419-9CFF-BE6E7A13C4BA}"/>
    <hyperlink ref="B331" r:id="rId182" xr:uid="{7B9B4A72-ADD5-4020-96F6-D6704715DF3B}"/>
    <hyperlink ref="B286" r:id="rId183" xr:uid="{712AAA4B-CF8B-46F0-B887-D6C7F318EADA}"/>
    <hyperlink ref="B280" r:id="rId184" xr:uid="{541A1F09-DB52-4BA1-925E-383E4B48AEC6}"/>
    <hyperlink ref="B294" r:id="rId185" xr:uid="{5A8AFFB1-DAE4-4C71-A350-C25EF22E3EB5}"/>
    <hyperlink ref="B327" r:id="rId186" xr:uid="{98538397-35EA-471A-8F53-B45AE3691075}"/>
    <hyperlink ref="B241" r:id="rId187" xr:uid="{028A8F91-2473-427F-A183-83AB849C1281}"/>
    <hyperlink ref="B237" r:id="rId188" xr:uid="{93F9AFD3-A8AA-4013-BE42-A4E3891A8B0E}"/>
    <hyperlink ref="B240" r:id="rId189" xr:uid="{D84B7531-24C9-46B6-A746-C836E00584FC}"/>
    <hyperlink ref="B236" r:id="rId190" xr:uid="{B43475FA-2C5D-416F-997B-3BC8CF73009C}"/>
    <hyperlink ref="B233" r:id="rId191" xr:uid="{1EC107FB-2C13-4A14-B397-C92D6E2798D1}"/>
    <hyperlink ref="B238" r:id="rId192" xr:uid="{103670FA-B715-481E-8404-21D8C17C0D68}"/>
    <hyperlink ref="B239" r:id="rId193" xr:uid="{4BE1663B-33E9-4B05-9C5C-DE54B5BCA3F3}"/>
    <hyperlink ref="B243" r:id="rId194" xr:uid="{4FA528A1-FB7E-45D0-A596-5BC2335C4CA4}"/>
    <hyperlink ref="B242" r:id="rId195" xr:uid="{8889DC34-870C-4770-9AFF-365F73F9AF67}"/>
    <hyperlink ref="B270" r:id="rId196" xr:uid="{68222338-E779-43AA-81A4-519CF334135C}"/>
    <hyperlink ref="B301" r:id="rId197" xr:uid="{A3C72FDD-2557-4015-BCE1-480E4DD0A56D}"/>
    <hyperlink ref="B271" r:id="rId198" xr:uid="{C8D991FA-90AC-4E4F-9CF0-5C47AA8BE8F9}"/>
    <hyperlink ref="B336" r:id="rId199" xr:uid="{ACB0B9AA-5BDD-4EA5-BA5A-4EDB926C9167}"/>
    <hyperlink ref="B337" r:id="rId200" xr:uid="{0468B3B9-5392-4E14-87D2-73BA014087F0}"/>
    <hyperlink ref="B278" r:id="rId201" xr:uid="{9F4E5CFF-3431-498F-A0A1-6B3590F151F6}"/>
    <hyperlink ref="B277" r:id="rId202" xr:uid="{CD80829A-99C3-4223-8852-4A5C79894CAB}"/>
    <hyperlink ref="B275" r:id="rId203" xr:uid="{4788D495-FF20-49E0-9A2C-67F8765E21D2}"/>
    <hyperlink ref="B308" r:id="rId204" xr:uid="{B7B104F6-CA46-4BEC-9D3C-8E84ED60C6D5}"/>
    <hyperlink ref="B284" r:id="rId205" xr:uid="{15EE7529-3800-4471-8372-923E549173BC}"/>
    <hyperlink ref="B319" r:id="rId206" xr:uid="{283DB158-F48F-442C-BF92-24C50653AFE9}"/>
    <hyperlink ref="B318" r:id="rId207" xr:uid="{F87C7339-AC2F-4B91-A556-D81A2EC385A6}"/>
    <hyperlink ref="B283" r:id="rId208" xr:uid="{53BC7EA3-9E54-4601-A391-9B04187336C1}"/>
    <hyperlink ref="B272" r:id="rId209" xr:uid="{33582EC1-D3DD-425A-898E-3AA4AA96B4B3}"/>
    <hyperlink ref="B292" r:id="rId210" xr:uid="{76BF5DEA-90C2-4A6C-A907-CAEC93E56419}"/>
    <hyperlink ref="B498" r:id="rId211" xr:uid="{EF6AF726-29A5-4A79-AE2A-5FD755C1F6E1}"/>
    <hyperlink ref="B311" r:id="rId212" xr:uid="{F4CEF5FE-F990-48C4-BD8C-EF60758575C6}"/>
    <hyperlink ref="B326" r:id="rId213" xr:uid="{8DFEE19D-A0A1-4ED4-AB2E-78D8AA2B8A07}"/>
    <hyperlink ref="B290" r:id="rId214" xr:uid="{E2D0246B-A093-4399-8778-1983CA960ABE}"/>
    <hyperlink ref="B123" r:id="rId215" xr:uid="{BA40846E-EF4D-41A4-8E75-807B4D747F40}"/>
    <hyperlink ref="B124" r:id="rId216" xr:uid="{DE6DC6BD-87C4-4E4F-912C-AFA6EC19DB24}"/>
    <hyperlink ref="B126" r:id="rId217" xr:uid="{4CA4D5E5-689D-4B68-A980-5F2165813355}"/>
    <hyperlink ref="B127" r:id="rId218" xr:uid="{FBC4CCC1-F2E0-4807-B586-CBC687875CAD}"/>
    <hyperlink ref="B128" r:id="rId219" xr:uid="{723BE101-2AFE-4491-857D-E21F043EC5CB}"/>
    <hyperlink ref="B131" r:id="rId220" xr:uid="{DE186D62-4E2C-4542-A66C-AE43AED451C4}"/>
    <hyperlink ref="B136" r:id="rId221" xr:uid="{10D1E0A2-2331-42D2-80D0-3C4B9E806300}"/>
    <hyperlink ref="B138" r:id="rId222" xr:uid="{19ACD7BB-D480-4C64-8B62-C75D2B1B71E0}"/>
    <hyperlink ref="B192" r:id="rId223" display="c1031" xr:uid="{E45627CE-14CF-475B-AD06-2F8E9C3668A4}"/>
    <hyperlink ref="B139" r:id="rId224" xr:uid="{EFCBFFBC-AF1B-48F8-9B61-F117F14BE507}"/>
    <hyperlink ref="B143" r:id="rId225" xr:uid="{4327894E-436B-4CAA-88CE-F28A03D95FEC}"/>
    <hyperlink ref="B157" r:id="rId226" xr:uid="{C43B4081-EF6F-4454-A09A-009CE190D9A4}"/>
    <hyperlink ref="B499" r:id="rId227" xr:uid="{DDD58319-7BD0-4998-B74E-6D09215042F2}"/>
    <hyperlink ref="B195" r:id="rId228" xr:uid="{6ACE0F3E-ED72-4EC2-913E-C1016D2D0C31}"/>
    <hyperlink ref="B325" r:id="rId229" xr:uid="{5ACEDE71-0F10-4F1A-9012-14F23FB421A4}"/>
    <hyperlink ref="B330" r:id="rId230" xr:uid="{44FCD373-58FD-40E3-855A-292EA70E5A83}"/>
    <hyperlink ref="B310" r:id="rId231" xr:uid="{39C80FE8-202E-44D9-94BE-8883B2AC2DE5}"/>
    <hyperlink ref="B315" r:id="rId232" xr:uid="{126AC04B-AABA-4903-8203-03663ACC70A7}"/>
    <hyperlink ref="B332" r:id="rId233" xr:uid="{7039779E-D7EF-485C-B5D0-15673D6600FB}"/>
    <hyperlink ref="B320" r:id="rId234" xr:uid="{9188A352-D32D-4629-B14D-D442153164FD}"/>
    <hyperlink ref="B304" r:id="rId235" xr:uid="{28E342CB-8639-4FB6-9C56-8C4C2D1419C4}"/>
    <hyperlink ref="B276" r:id="rId236" xr:uid="{E20FE679-ADF1-45A9-A467-2297E42B50AD}"/>
    <hyperlink ref="B314" r:id="rId237" xr:uid="{3B5ED26D-1297-41EF-9D3E-E2F64327DAB2}"/>
    <hyperlink ref="B282" r:id="rId238" xr:uid="{9681C517-1805-49AE-82F8-D693DA504ED2}"/>
    <hyperlink ref="B293" r:id="rId239" xr:uid="{257CBC7E-CDF3-46F1-9F7D-9FA4D25D7D4B}"/>
    <hyperlink ref="B307" r:id="rId240" xr:uid="{A3BD7F02-F9A5-4C24-900E-C35C7CEA83DA}"/>
    <hyperlink ref="B324" r:id="rId241" xr:uid="{721D11B9-9331-4513-B344-CC2B13B6BB1E}"/>
    <hyperlink ref="B305" r:id="rId242" xr:uid="{16FD87F9-4D4F-47BB-BDC3-044BC76706A8}"/>
    <hyperlink ref="B452" r:id="rId243" xr:uid="{527D8ECF-00E3-4019-BCAC-338C47372215}"/>
    <hyperlink ref="B451" r:id="rId244" xr:uid="{862AD49A-3BFE-4EB3-B81E-D5747F88D3B5}"/>
    <hyperlink ref="B167" r:id="rId245" xr:uid="{DB5BA7EA-89F0-4454-AD6E-628CBB4D7DE0}"/>
    <hyperlink ref="B456" r:id="rId246" xr:uid="{77C05F85-4F5E-4B5A-A825-E9545E53032A}"/>
    <hyperlink ref="B142" r:id="rId247" xr:uid="{28C29B52-00B2-453C-9E61-95B9D8B24314}"/>
    <hyperlink ref="B455" r:id="rId248" xr:uid="{9B090A8F-63CC-49A7-AEEA-310929B4487E}"/>
    <hyperlink ref="B173" r:id="rId249" xr:uid="{88492A87-1E61-4EFE-A47A-21AC8FB7CD84}"/>
    <hyperlink ref="B176" r:id="rId250" xr:uid="{0D50F072-7487-4DAC-8AA3-990E39F91073}"/>
    <hyperlink ref="B448" r:id="rId251" xr:uid="{A583BDB2-C032-4760-91E8-E86417600949}"/>
    <hyperlink ref="B453" r:id="rId252" xr:uid="{DE44790C-541D-4387-90AD-7EA6B9FBE0C7}"/>
    <hyperlink ref="B446" r:id="rId253" xr:uid="{A42A85CA-E7E8-4C15-97BB-0FF06434FE82}"/>
    <hyperlink ref="B177" r:id="rId254" xr:uid="{168F7F8F-56B7-499E-ADE7-59DF7177BC75}"/>
    <hyperlink ref="B178" r:id="rId255" xr:uid="{3785BE93-7B89-4925-92B7-2CD77D150F9F}"/>
    <hyperlink ref="B180" r:id="rId256" xr:uid="{D77583FA-6F7C-4130-9511-01F86690E720}"/>
    <hyperlink ref="B141" r:id="rId257" xr:uid="{DB0EAC81-69B5-4DCA-AF7C-CFE4B88860CF}"/>
    <hyperlink ref="B445" r:id="rId258" xr:uid="{2011219B-DB6D-4A14-B551-6670D5EE341B}"/>
    <hyperlink ref="B150" r:id="rId259" xr:uid="{564C232F-E955-4AD2-A9E7-0C6A690C67D0}"/>
    <hyperlink ref="B152" r:id="rId260" xr:uid="{C1718972-AA2E-416B-AD76-A4DD82D39FA4}"/>
    <hyperlink ref="B438" r:id="rId261" xr:uid="{7373E20A-4A46-494E-AE99-E33967D25F8E}"/>
    <hyperlink ref="B454" r:id="rId262" xr:uid="{14CE5036-7D61-48CC-84E7-53D314E818FB}"/>
    <hyperlink ref="B168" r:id="rId263" xr:uid="{E268EF69-8C6C-4723-B3E2-5518EF957168}"/>
    <hyperlink ref="B159" r:id="rId264" xr:uid="{2A757420-AA33-4E94-8B58-235465D6B005}"/>
    <hyperlink ref="B153" r:id="rId265" xr:uid="{8B522746-7444-4F34-8E41-A87B8949040F}"/>
    <hyperlink ref="B158" r:id="rId266" xr:uid="{C48C3A59-3C3F-4F6D-B058-7DCCD7D53CEA}"/>
    <hyperlink ref="B170" r:id="rId267" xr:uid="{161137B4-BC28-40D9-94E4-666249819EC1}"/>
    <hyperlink ref="B171" r:id="rId268" xr:uid="{FB9E5344-3BD0-4511-9B6C-6A6E24660201}"/>
    <hyperlink ref="B172" r:id="rId269" xr:uid="{9D825106-1577-45EC-A886-DCC1D6CABF5C}"/>
    <hyperlink ref="B447" r:id="rId270" xr:uid="{B64EC742-A91E-4BFA-AFF5-2E319F93EBCF}"/>
    <hyperlink ref="B76" r:id="rId271" xr:uid="{8F466838-BDD3-47C3-BA57-F72AC56991EF}"/>
    <hyperlink ref="B390" r:id="rId272" xr:uid="{C55CACE7-D4EE-4177-B2B3-268E67BEE7D4}"/>
    <hyperlink ref="B297" r:id="rId273" xr:uid="{C290E206-CCC9-4F84-B4D7-5AEAED30BC42}"/>
    <hyperlink ref="B384" r:id="rId274" xr:uid="{31E166F9-E178-4246-93A0-58EF2E98EC76}"/>
    <hyperlink ref="B90" r:id="rId275" xr:uid="{157DCAEA-264F-473F-A2F4-EF5517EB2676}"/>
    <hyperlink ref="B63" r:id="rId276" xr:uid="{31B71859-1849-40E5-8889-7ABDBA908645}"/>
    <hyperlink ref="B161" r:id="rId277" xr:uid="{58DDE3BE-47B6-4620-8B1C-656D10470CD8}"/>
    <hyperlink ref="B497" r:id="rId278" xr:uid="{8B1CD5DD-B122-4005-AB0A-970E197B28EB}"/>
    <hyperlink ref="B515" r:id="rId279" xr:uid="{1C705D59-CFBE-4E43-AD00-9255E627BCF1}"/>
    <hyperlink ref="B145" r:id="rId280" xr:uid="{D532DA08-5B2E-4187-901B-B60208E0B354}"/>
    <hyperlink ref="B435" r:id="rId281" xr:uid="{FB4A8EC1-B5C9-4788-A012-AF23628CEC48}"/>
    <hyperlink ref="B436" r:id="rId282" xr:uid="{97D9458F-916E-4084-B03A-4853BFA50058}"/>
    <hyperlink ref="B154" r:id="rId283" xr:uid="{6CBA3493-0B02-453C-AC0F-278D5C093FF5}"/>
    <hyperlink ref="B437" r:id="rId284" xr:uid="{1875EB03-CFCD-406E-B687-EF128463A5E1}"/>
    <hyperlink ref="B162" r:id="rId285" xr:uid="{8572ACD6-9615-4919-A76E-64F007A59123}"/>
    <hyperlink ref="B163" r:id="rId286" xr:uid="{9FD6D67F-0E0F-4FBE-87AB-029F66C00B97}"/>
    <hyperlink ref="B147" r:id="rId287" xr:uid="{0A7EA974-329E-4B66-8350-B857D306DD36}"/>
    <hyperlink ref="B148" r:id="rId288" xr:uid="{C11C0FFB-CB66-40AE-8C8E-D3B637EEB5F2}"/>
    <hyperlink ref="B149" r:id="rId289" xr:uid="{995D273A-3FD2-40F8-AE14-D637F1BF34E5}"/>
    <hyperlink ref="B439" r:id="rId290" xr:uid="{B0F11827-8DAB-4C41-95B6-4F4110928327}"/>
    <hyperlink ref="B440" r:id="rId291" xr:uid="{047A1D18-6F37-469F-B9C7-CE07F2A40B82}"/>
    <hyperlink ref="B441" r:id="rId292" xr:uid="{7A5DA136-BD12-4568-AD47-7CA8950486D5}"/>
    <hyperlink ref="B129" r:id="rId293" xr:uid="{41FF80D1-F62C-4BD5-A2F8-759A00293DA1}"/>
    <hyperlink ref="B130" r:id="rId294" xr:uid="{5BA38561-4A21-4B18-903D-93BD9EB95726}"/>
    <hyperlink ref="B144" r:id="rId295" xr:uid="{40D7F259-A7BE-4FC2-81B4-5F5919688419}"/>
    <hyperlink ref="B442" r:id="rId296" xr:uid="{9632DDDD-CD2F-4D72-B0D4-5C58998DBF1F}"/>
    <hyperlink ref="B443" r:id="rId297" xr:uid="{14B3F2CC-3BDC-41D1-9217-715D7E64CB84}"/>
    <hyperlink ref="B166" r:id="rId298" xr:uid="{9C079E78-98B5-41D0-9D65-9EB38B913AC9}"/>
    <hyperlink ref="B444" r:id="rId299" xr:uid="{F38222BD-4B3F-41A5-9E70-78EDC28D4FF8}"/>
    <hyperlink ref="B125" r:id="rId300" xr:uid="{4A5EF46E-CF5E-4B70-99E8-A2B499076A58}"/>
    <hyperlink ref="B134" r:id="rId301" xr:uid="{6621D177-68D9-49C8-82D2-C0C3DA1E204D}"/>
    <hyperlink ref="B137" r:id="rId302" xr:uid="{66488C5D-32B6-4A74-AFC7-56449E6CB38C}"/>
    <hyperlink ref="B179" r:id="rId303" xr:uid="{23EFE188-78C2-4844-A656-E888DF92D008}"/>
    <hyperlink ref="B155" r:id="rId304" xr:uid="{6D84ABF7-6CC2-4DBD-8C3A-E4F473514576}"/>
    <hyperlink ref="B156" r:id="rId305" xr:uid="{22736EC6-F1A7-4E06-AAB5-95D51395F525}"/>
    <hyperlink ref="B500" r:id="rId306" xr:uid="{53A35983-4B6C-49B3-A4B3-3BF51170196E}"/>
    <hyperlink ref="B458" r:id="rId307" xr:uid="{06A0D530-4426-45A4-BE17-89B905EC3689}"/>
    <hyperlink ref="B459" r:id="rId308" xr:uid="{01FA0C12-5F4C-4CD1-8DBE-70D0BF4C6F49}"/>
    <hyperlink ref="B460" r:id="rId309" xr:uid="{FDAF1D72-07C9-465B-AD71-1D8B9A373616}"/>
    <hyperlink ref="B399" r:id="rId310" xr:uid="{C67DDB26-BDAA-414B-A0ED-F72C5003086C}"/>
    <hyperlink ref="B261" r:id="rId311" xr:uid="{1B2A0AE8-CF5A-464A-88FD-04543135657D}"/>
    <hyperlink ref="B193" r:id="rId312" xr:uid="{52E3F791-6ED3-4B35-ACDD-CDB965C824C8}"/>
    <hyperlink ref="B340" r:id="rId313" display="B0106" xr:uid="{A2265D9B-BB9D-4525-993B-F5ECB6E2B93E}"/>
    <hyperlink ref="B461" r:id="rId314" xr:uid="{EAB8A90A-97A1-4218-A2C8-FA522A2AC1B1}"/>
    <hyperlink ref="B493" r:id="rId315" xr:uid="{D65834E0-DA45-419D-B961-98F0E94D8A60}"/>
    <hyperlink ref="B501" r:id="rId316" xr:uid="{656A040F-4002-4776-9D95-409695C2CDB5}"/>
    <hyperlink ref="B27" r:id="rId317" xr:uid="{8BC74A0C-0750-439B-B785-AFE9820BA17F}"/>
    <hyperlink ref="B103" r:id="rId318" xr:uid="{3F79C508-671A-4906-AEC5-3A7CFEA321B3}"/>
    <hyperlink ref="B358" r:id="rId319" xr:uid="{34FAEDF7-5D8F-4B5F-ADA3-A5D98078D3D3}"/>
    <hyperlink ref="B122" r:id="rId320" xr:uid="{B8D013D2-E439-4355-B353-51A77CDDB689}"/>
    <hyperlink ref="B463" r:id="rId321" xr:uid="{5AE5D6DB-F1AD-4F70-9682-9C1E38D2EC27}"/>
    <hyperlink ref="B268" r:id="rId322" xr:uid="{F5CC9D0E-ECE9-40C8-AB79-2265E6EFC659}"/>
    <hyperlink ref="B472" r:id="rId323" xr:uid="{E8CAFF9D-B68E-4C5D-83A4-CACA78877D49}"/>
    <hyperlink ref="B371" r:id="rId324" xr:uid="{2EC2A4C7-D054-4A5A-B9E7-5D68824E808A}"/>
    <hyperlink ref="B269" r:id="rId325" xr:uid="{6C6FE8B8-FD27-4908-AA44-DBBC9395E9E7}"/>
    <hyperlink ref="B401" r:id="rId326" xr:uid="{0627E534-4535-41EA-AE15-05642A26C8CF}"/>
    <hyperlink ref="B403" r:id="rId327" xr:uid="{66FE0809-409D-4284-BACF-86F10A6FB4BA}"/>
    <hyperlink ref="B404" r:id="rId328" xr:uid="{7CE94B70-17F6-4F6E-A0B8-38439F681B6F}"/>
    <hyperlink ref="B406" r:id="rId329" xr:uid="{9BC6206B-FCFA-4723-A425-922AAE55A1A0}"/>
    <hyperlink ref="B409" r:id="rId330" xr:uid="{33249DCF-70ED-4775-90A8-30CE01A7631E}"/>
    <hyperlink ref="B410" r:id="rId331" xr:uid="{9D4DCFEA-E758-432E-B1CF-B8C04A36F7E5}"/>
    <hyperlink ref="B411" r:id="rId332" xr:uid="{803FE29F-7984-468A-BDFC-A3209B5453B9}"/>
    <hyperlink ref="B412" r:id="rId333" xr:uid="{9107D8DD-9F2A-4882-882E-6300A7243587}"/>
    <hyperlink ref="B413" r:id="rId334" xr:uid="{FC4772EC-B012-4AA4-A2D6-D1252A480833}"/>
    <hyperlink ref="B415" r:id="rId335" xr:uid="{F65F9C4D-0B95-4DCA-AB7D-165D73FFF3A8}"/>
    <hyperlink ref="B416" r:id="rId336" xr:uid="{A6B5351D-C36A-4907-BEF9-4BD59CD2FC8E}"/>
    <hyperlink ref="B96" r:id="rId337" xr:uid="{9C6D290B-C601-43F0-A759-7D4DC81F4071}"/>
    <hyperlink ref="B97" r:id="rId338" xr:uid="{DD174593-D9C9-4A82-87AD-0BA9A29A97FD}"/>
    <hyperlink ref="B98" r:id="rId339" xr:uid="{C71EEC8D-FDEA-418D-989D-C17F4C95BE0A}"/>
    <hyperlink ref="B99" r:id="rId340" xr:uid="{50A9CEC7-26F4-4057-AD68-63620B71C0CF}"/>
    <hyperlink ref="B194" r:id="rId341" xr:uid="{76D6492F-819A-4ACA-B341-B327B9958334}"/>
    <hyperlink ref="B360" r:id="rId342" xr:uid="{48545933-FBA5-45B1-967C-7B4ABD824C31}"/>
    <hyperlink ref="B196" r:id="rId343" xr:uid="{BCA9C7DA-4F86-4A60-A6DC-A4730DA7E522}"/>
    <hyperlink ref="B266" r:id="rId344" xr:uid="{E926AB28-5516-4C53-B678-15124273A876}"/>
    <hyperlink ref="B267" r:id="rId345" xr:uid="{951F1263-0751-4452-AFF1-40F7A72EBE49}"/>
    <hyperlink ref="B288" r:id="rId346" xr:uid="{7086F9BA-A62B-4937-B614-37977C02373B}"/>
    <hyperlink ref="B321" r:id="rId347" xr:uid="{1F6F8404-14EF-40BB-AE67-BCE81E5A35C1}"/>
    <hyperlink ref="B323" r:id="rId348" xr:uid="{C3B4D41B-580B-4F71-B8D5-8C3E3748AAAA}"/>
    <hyperlink ref="B342" r:id="rId349" xr:uid="{E8D10ED3-0C77-4864-B230-B77935718C87}"/>
    <hyperlink ref="B343" r:id="rId350" xr:uid="{8C9F00ED-B739-4F3D-B804-80E857A64733}"/>
    <hyperlink ref="B345" r:id="rId351" xr:uid="{43E59243-59D0-40AB-9FC4-768EBEFD222A}"/>
    <hyperlink ref="B347" r:id="rId352" xr:uid="{34D52ABE-787C-4958-A4D0-078DACEE90A9}"/>
    <hyperlink ref="B349" r:id="rId353" xr:uid="{8F5C33B2-7AA1-494B-8F5C-050DFE540089}"/>
    <hyperlink ref="B350" r:id="rId354" xr:uid="{63565880-9F19-4F69-908C-A221A4DF648D}"/>
    <hyperlink ref="B464" r:id="rId355" xr:uid="{18B851C6-8A42-412B-89EC-A33FB2E85D4D}"/>
    <hyperlink ref="B468" r:id="rId356" xr:uid="{2BF220B7-96C6-4503-924F-5FFA098A3D04}"/>
    <hyperlink ref="B471" r:id="rId357" xr:uid="{4753DD2E-E544-435E-A49C-3574B97FDB45}"/>
    <hyperlink ref="B507" r:id="rId358" xr:uid="{BCA4900D-3483-4B7E-B2D4-C44524FDD45C}"/>
    <hyperlink ref="B508" r:id="rId359" xr:uid="{239FA13B-A202-4DBD-9032-366708AF9D85}"/>
    <hyperlink ref="B188" r:id="rId360" xr:uid="{AE9D3EA7-1CCB-4C73-BF47-ABEAEF485323}"/>
    <hyperlink ref="AU501" r:id="rId361" xr:uid="{3C66305C-178A-4F71-B245-0E9513B25709}"/>
    <hyperlink ref="B532" r:id="rId362" xr:uid="{9BEA37E7-20AA-476D-BE9E-1E4002F5161A}"/>
    <hyperlink ref="B531" r:id="rId363" xr:uid="{B2103A4E-1D51-4FDF-AFA8-3DAD0612028D}"/>
    <hyperlink ref="B533" r:id="rId364" xr:uid="{889555CA-16B0-43B4-8446-AFE67BF39348}"/>
    <hyperlink ref="AU533" r:id="rId365" xr:uid="{F457EB87-434A-4619-8171-5E43364352FB}"/>
    <hyperlink ref="B534" r:id="rId366" xr:uid="{32B31722-9B8A-4BD4-8A24-E41BFCDEB961}"/>
    <hyperlink ref="AU305" r:id="rId367" xr:uid="{3BFB2C4B-DD31-4E02-8E8F-442E142D5024}"/>
    <hyperlink ref="B535" r:id="rId368" xr:uid="{22C6F027-4FA8-4938-A8F4-A5F40CABA0AE}"/>
    <hyperlink ref="B536" r:id="rId369" xr:uid="{1875EC9F-9BA6-411C-A265-AFBB238A18A4}"/>
    <hyperlink ref="AU536" r:id="rId370" xr:uid="{5CD97C99-9A4C-455E-A32A-254123464D2F}"/>
    <hyperlink ref="B537" r:id="rId371" xr:uid="{E802ACDF-0296-499F-9700-52AFF3E060E8}"/>
    <hyperlink ref="AU537" r:id="rId372" xr:uid="{BBF86687-DCBE-4542-8679-8A11E83FD78E}"/>
    <hyperlink ref="B538" r:id="rId373" xr:uid="{C33DEC6C-DA08-4BA9-9A03-750DD07AA28C}"/>
    <hyperlink ref="B539" r:id="rId374" xr:uid="{F6EF2E24-A465-4F35-BD03-6E391B7DCBBB}"/>
    <hyperlink ref="B540" r:id="rId375" xr:uid="{81DD514E-123B-4281-AD80-F0FA7363881B}"/>
    <hyperlink ref="AU122" r:id="rId376" xr:uid="{8FB01A9F-3225-4E7F-A75A-C778B3C87AEE}"/>
    <hyperlink ref="B541" r:id="rId377" xr:uid="{6EBE4830-2D9B-448D-9B31-601CFC9F6F92}"/>
    <hyperlink ref="AU541" r:id="rId378" xr:uid="{89E2EEDB-E242-4108-86DF-6DBB05C11B19}"/>
    <hyperlink ref="B346" r:id="rId379" xr:uid="{C42ED611-42BA-4977-A35F-10F6616B4B3F}"/>
    <hyperlink ref="AU346" r:id="rId380" display="https://www.google.com/maps/place/26%C2%B059'22.1%22N+49%C2%B039'31.3%22E/@26.9579234,49.6917727,10z/data=!4m4!3m3!8m2!3d26.989477!4d49.658685?entry=ttu" xr:uid="{D9675E4B-7987-4E8E-BECA-1C4CD7006A3E}"/>
    <hyperlink ref="AU461" r:id="rId381" display="https://www.google.com/maps/place/24%C2%B043'58.1%22N+46%C2%B048'55.3%22E/@24.6456107,46.3814115,10z/data=!4m4!3m3!8m2!3d24.732817!4d46.81535?entry=ttu" xr:uid="{244C4C6D-8458-4121-93A6-392108EBA7C5}"/>
    <hyperlink ref="AU542" r:id="rId382" display="https://www.google.com/maps/place/24%C2%B043'58.1%22N+46%C2%B048'55.3%22E/@24.6456107,46.3814115,10z/data=!4m4!3m3!8m2!3d24.732817!4d46.81535?entry=ttu" xr:uid="{A42FB5F0-0728-4EB6-B2B9-9E4408CFD5AF}"/>
    <hyperlink ref="B542" r:id="rId383" xr:uid="{F61A9FE4-35B6-45F4-B0DA-3F0B52C906C0}"/>
    <hyperlink ref="B132" r:id="rId384" xr:uid="{82C09E77-E112-425B-A27C-C4C4E4B1978A}"/>
  </hyperlinks>
  <pageMargins left="0.7" right="0.7" top="0.75" bottom="0.75" header="0.3" footer="0.3"/>
  <pageSetup orientation="portrait" r:id="rId385"/>
  <legacyDrawing r:id="rId386"/>
  <tableParts count="1">
    <tablePart r:id="rId387"/>
  </tablePart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showInputMessage="1" showErrorMessage="1" xr:uid="{F2310BCD-BC29-4F44-97B3-C6D7D00FB000}">
          <x14:formula1>
            <xm:f>'Other Data'!$A$2:$A$10</xm:f>
          </x14:formula1>
          <xm:sqref>D2:D542</xm:sqref>
        </x14:dataValidation>
        <x14:dataValidation type="list" showInputMessage="1" showErrorMessage="1" xr:uid="{45FF50A3-26CE-4A65-8FFD-5219193404F5}">
          <x14:formula1>
            <xm:f>'Other Data'!$B$2:$B$19</xm:f>
          </x14:formula1>
          <xm:sqref>F2:F542</xm:sqref>
        </x14:dataValidation>
        <x14:dataValidation type="list" allowBlank="1" showInputMessage="1" showErrorMessage="1" xr:uid="{18FC7D84-C60F-43A6-8C94-98E8653AC922}">
          <x14:formula1>
            <xm:f>'Other Data'!$J$2:$J$10</xm:f>
          </x14:formula1>
          <xm:sqref>K2:K542</xm:sqref>
        </x14:dataValidation>
        <x14:dataValidation type="list" allowBlank="1" showInputMessage="1" showErrorMessage="1" xr:uid="{A1EF336D-8380-4249-8960-6B766FE500AD}">
          <x14:formula1>
            <xm:f>'Other Data'!$H$2:$H$10</xm:f>
          </x14:formula1>
          <xm:sqref>AQ426 S539:S542 S537 S150:S530 S532:S533 S55:S148 S10:S53 S2:S8 AN426 AK426 AH426 AE426 AB426 AQ304 AN304 AK304 AH304 AE304 AB304 S535</xm:sqref>
        </x14:dataValidation>
        <x14:dataValidation type="list" showInputMessage="1" showErrorMessage="1" xr:uid="{526EBCAB-8218-4704-AF47-13C490C890D8}">
          <x14:formula1>
            <xm:f>'Other Data'!$O$2:$O$10</xm:f>
          </x14:formula1>
          <xm:sqref>AQ421 AQ539:AQ542 AQ537 AQ447:AQ462 AQ334:AQ345 AQ256:AQ273 AQ215:AQ243 AQ171:AQ213 AQ115:AQ121 AQ106:AQ111 AQ360:AQ402 AQ471:AQ516 AQ427:AQ445 AQ425 AQ245:AQ254 AQ46:AQ51 AQ144:AQ148 AQ150:AQ159 AQ347:AQ351 AQ412:AQ413 AQ35 AQ37:AQ39 AQ28:AQ31 AQ16:AQ23 AQ80 AQ91:AQ92 AQ73:AQ78 AQ64:AQ65 AQ83:AQ84 AQ404:AQ410 AQ95:AQ97 AQ102:AQ103 AQ532:AQ535 AQ113 AQ68 AQ55:AQ57 AQ2 AQ6:AQ7 AQ11 AQ99:AQ100 AQ163:AQ166 AQ169 AQ123:AQ142 AQ415:AQ419 AQ59:AQ60 AQ88:AQ89 AQ275:AQ303 AQ354:AQ357 AQ465:AQ468 AQ520:AQ530 AQ305:AQ332</xm:sqref>
        </x14:dataValidation>
        <x14:dataValidation type="list" showInputMessage="1" showErrorMessage="1" xr:uid="{05725CDD-F414-40F7-80B5-87CF89607D85}">
          <x14:formula1>
            <xm:f>'Other Data'!$N$2:$N$10</xm:f>
          </x14:formula1>
          <xm:sqref>AN520:AN530 AN447:AN463 AN360:AN402 AN471:AN516 AN425 AN465:AN468 AN83:AN84 AN45:AN51 AN134:AN148 AN404:AN410 AN334:AN351 AN412:AN413 AN55:AN57 AN35 AN256:AN303 AN28:AN31 AN23 AN13 AN10:AN11 AN80 AN91:AN92 AN26 AN63:AN65 AN68 AN150:AN153 AN95:AN97 AN102:AN103 AN171:AN254 AN106:AN113 AN59:AN61 AN2 AN15:AN21 AN6:AN7 AN37:AN40 AN99:AN100 AN163:AN166 AN169 AN115:AN132 AN415:AN419 AN73:AN78 AN88:AN89 AN305:AN332 AN427:AN445 AN354:AN358 AN155:AN159 AN421 AN532:AN542</xm:sqref>
        </x14:dataValidation>
        <x14:dataValidation type="list" showInputMessage="1" showErrorMessage="1" xr:uid="{95360AC4-A6C6-42BB-969C-39969E70C5A6}">
          <x14:formula1>
            <xm:f>'Other Data'!$L$2:$L$10</xm:f>
          </x14:formula1>
          <xm:sqref>AH305:AH332 AH539:AH542 AH537 AH452:AH462 AH334:AH345 AH256:AH273 AH215:AH243 AH171:AH213 AH115:AH121 AH360:AH402 AH471:AH516 AH427:AH445 AK445 AH354:AH357 AH447:AH450 AH425 AH245:AH254 AK46:AK47 AK530 AH99:AH100 AH347:AH351 AH412:AH413 AH35 AH28:AH31 AH23 AH46:AH51 AH80 AH16:AH21 AH144:AH148 AH64:AH65 AH532:AH535 AH37:AH38 AH150:AH153 AH83:AH84 AH404:AH410 AH106:AH111 AH13 AH6:AH7 AH95:AH97 AH102:AH103 AH55:AH57 AH163:AH166 AH169 AH123:AH142 AH415:AH419 AH59:AH60 AH88 AH275:AH303 AH465:AH468 AK122:AK123 AK116:AK118 AN133 AK133:AK134 AH520:AH530 AK128 AH91:AH92 AH421 AH155:AH159 AK96 AH73:AH77 AK77</xm:sqref>
        </x14:dataValidation>
        <x14:dataValidation type="list" showInputMessage="1" showErrorMessage="1" xr:uid="{81589410-A7BE-4879-9486-3482AA70EDBF}">
          <x14:formula1>
            <xm:f>'Other Data'!$K$2:$K$10</xm:f>
          </x14:formula1>
          <xm:sqref>AE45:AE51 AE539:AE542 AE537 AE452:AE462 AE334:AE345 AE250:AE273 AE215:AE243 AE171:AE213 AE115:AE121 AE360:AE410 AE470:AE516 AE354:AE357 AE447:AE450 AE425 AE245:AE248 AH45 AE144:AE148 AE99:AE100 AK403 AH403 AE347:AE351 AE123:AE142 AE88:AE89 AH26 AE73:AE77 AE35 AE28:AE31 AE23 AE80 AE91:AE92 AE59:AE60 AE16:AE21 AK45 AE13 AN403 AE532:AE535 AE37:AE38 AE150:AE159 AK48:AK49 AE2 AQ403 AK115 AE26 AE6:AE7 AE95:AE97 AH2 AN154 AK154 AH154 AE102:AE103 AE55:AE57 AE163:AE165 AE412:AE413 AE169 AN420 AK420 AH420 AE415:AE421 AK26 AQ420 AE275:AE303 AE427:AE445 AE465:AE468 AN470 AK470 AH470 AK126 AE106:AE111 AK109 AK103 AE520:AE530 AQ470 AK89 AH89 AE83:AE84 AE305:AE332 AE64:AE65 AK2 AQ255 AN255 AK255 AH255</xm:sqref>
        </x14:dataValidation>
        <x14:dataValidation type="list" allowBlank="1" showInputMessage="1" showErrorMessage="1" xr:uid="{D725199E-B36E-4458-8319-6F9E43760BAE}">
          <x14:formula1>
            <xm:f>'Other Data'!$I$2:$I$10</xm:f>
          </x14:formula1>
          <xm:sqref>AK90:AK91 J72 AQ358 AQ346 AQ274 AQ244 AQ214 AQ122 AQ112 AH463 AH358 AH346 AH274 AH244 AH214 AH122 AH112 AB427:AB462 AB305:AB345 AB245:AB273 AB215:AB243 AB171:AB213 AB115:AB121 AB470:AB516 AQ8:AQ10 AH451 AE451 AB415:AB425 AB465:AB468 AQ463 G71:G72 AQ69:AQ72 AK63 AH63 AQ63 AB45:AB53 AN52:AN54 AK52:AK53 AH52:AH53 AE52:AE53 AQ40:AQ41 AB150:AB169 AB144:AB148 AB94:AB100 AB275:AB303 AB347:AB352 AB412:AB413 AE69:AE72 AE66:AE67 AQ66:AQ67 AQ24:AQ27 AN27 AK27 AH27 AE27 AQ36 AN36 AK36 AH36 AE36 AQ52:AQ54 AN33:AN34 AK33:AK34 AH33:AH34 AE33:AE34 AN24:AN25 AK24:AK25 AH24:AH25 AE24:AE25 AN14 AN12 P71:P72 AB83:AB84 AB80 AN90 AH90 AE90 AN41 AQ90 AK66:AK73 AH66:AH72 AB64:AB77 AQ33:AQ34 AK22 AH22 AE22 AQ12:AQ15 AH8:AH12 AB55:AB61 AK61 AH61 AE61 AQ61 AQ58 AN58 AK58 AH58 AE58 AN94 AK94 AH94 AE94 M71:M72 AQ98 AN98 AK98 AH98 AE98 AB106:AB111 AB360:AB410 AK106 AN22 AE39:AE41 AH14:AH15 AE14:AE15 AB2 AK39:AK41 AB33:AB41 AH39:AH41 AK8:AK15 AE8:AE12 AB4:AB31 AK451 AQ4:AQ5 AN4:AN5 AK4:AK5 AH4:AH5 AE4:AE5 AB102:AB103 AB132:AB142 AN160:AN162 AK160:AK162 AH160:AH162 AE160:AE162 AQ167:AQ168 AN167:AN168 AK167:AK168 AH167:AH168 AE166:AE168 AQ94 AQ160:AQ162 AB123:AB130 AN66:AN67 AN333 AK333 AH333 AE333 AQ333 AN352 AK352 AH352 AE352 AQ446 AN446 AK446 AH446 AE446 AB354:AB357 AQ352 AN8:AN9 AK132 AK112 AB520:AB542 AK127 AB88:AB92 AQ422:AQ424 AN422:AN424 AK422:AK424 AH422:AH424 AE422:AE424 AN69:AN72</xm:sqref>
        </x14:dataValidation>
        <x14:dataValidation type="list" showInputMessage="1" showErrorMessage="1" xr:uid="{D5B413B8-1BF0-4669-9D4E-DBD7686782D7}">
          <x14:formula1>
            <xm:f>'Other Data'!$G$2:$G$10</xm:f>
          </x14:formula1>
          <xm:sqref>AQ414 AE346 AE274 AE244 AE214 AE122 AB346 AB274 AB244 AB214 AB122 P171:P542 AQ93 P63:P70 P45:P61 AH54 AE54 AB54 S54 AQ149 AN149 AK149 AH149 AE149 AB149 S149 AQ42:AQ43 AN42:AN43 AK42:AK43 AN101 AK229 AK54 AQ101 AK81:AK82 AH81:AH82 AE81:AE82 P73:P169 AB81:AB82 AK101 AN93 AK93 AH93 AE93 AB93 AQ81:AQ82 AE101 AK78 AH78 AE78 AB78 AQ359 AQ114 AN114 AK113:AK114 AH113:AH114 AE112:AE114 AB112:AB114 AN359 AQ104 AN104 AK104 AH104 AE104 AB104 AK359 AQ3 AN3 AK3 AH3 AE3 AB3 AH359 AH42:AH43 AE42:AE43 AB411 AB42:AB43 P2:P42 AQ143 S9 AK143 AH143 AE143 AB143 AE358:AE359 AN81:AN82 AN414 AK414 AH414 AE414 AB414 AB358:AB359 AQ353 AN353 AK353 AH353 AE353 AB353 AB101 AQ464 AN464 AK464 AH464 AE463:AE464 AB463:AB464 AQ411 AQ469 AN469 AK469 AH469 AE469 AB469 AN411 AH101 AK411 AB63 AE68 AH411 AE63 AE411</xm:sqref>
        </x14:dataValidation>
        <x14:dataValidation type="list" showInputMessage="1" showErrorMessage="1" xr:uid="{5EB96E73-986A-4999-A6B0-F025317D6A7A}">
          <x14:formula1>
            <xm:f>'Other Data'!$F$2:$F$10</xm:f>
          </x14:formula1>
          <xm:sqref>AK64 M171:M542 M73:M169 M45:M70 M2:M43 P43</xm:sqref>
        </x14:dataValidation>
        <x14:dataValidation type="list" showInputMessage="1" showErrorMessage="1" xr:uid="{FC523CE6-1385-49A7-B464-291D9D4FE481}">
          <x14:formula1>
            <xm:f>'Other Data'!$H$2:$H$10</xm:f>
          </x14:formula1>
          <xm:sqref>AH32 AQ85:AQ87 AK85:AK87 AN105 AK105 AH105 AE105 AB105 AQ32 AN32 AK32 AK249 AN85:AN87 AE32 AE249 AB32 AQ517:AQ519 AQ105 AH85:AH87 AN79 AK79 AH79 AE79 AK131 AN517:AN519 AK517:AK519 AH517:AH519 AE517:AE519 AB79 AB517:AB519 AB131 AQ79 AE85:AE87 AB85:AB87</xm:sqref>
        </x14:dataValidation>
        <x14:dataValidation type="list" showInputMessage="1" showErrorMessage="1" xr:uid="{C6757B22-8F55-4A46-9F5A-E9502934FD60}">
          <x14:formula1>
            <xm:f>'Other Data'!$M$2:$M$10</xm:f>
          </x14:formula1>
          <xm:sqref>AK305:AK332 AK539:AK542 AK537 AK532:AK535 AK360:AK402 AK471:AK516 AH445 AK452:AK463 AK447:AK450 AK425 AK256:AK303 AK50:AK51 AK354:AK358 AK404:AK410 AK250:AK254 AK97 AK37:AK38 AK144:AK148 AK230:AK248 AK80 AK55:AK57 AK6:AK7 AK95 AK171:AK228 AK135:AK142 AK163:AK166 AK169 AK412:AK413 AK415:AK419 AK23 AK88 AK334:AK351 AK427:AK445 AK465:AK468 AK124:AK125 AK119:AK121 AK129:AK130 AK110:AK111 AK107:AK108 AK102 AK421 AK150:AK153 AK99:AK100 AK92 AK59:AK60 AK16:AK21 AK520:AK529 AK83:AK84 AK74:AK76 AK35 AK28:AK31 AK65 AK155:AK159</xm:sqref>
        </x14:dataValidation>
        <x14:dataValidation type="list" allowBlank="1" showInputMessage="1" showErrorMessage="1" xr:uid="{7FC827F1-C908-4567-BA93-69ABFC2A5AD0}">
          <x14:formula1>
            <xm:f>'Other Data'!$J$2:$J$9</xm:f>
          </x14:formula1>
          <xm:sqref>Z2:Z70 Z73:Z85 Z87:Z542</xm:sqref>
        </x14:dataValidation>
        <x14:dataValidation type="list" allowBlank="1" showInputMessage="1" showErrorMessage="1" xr:uid="{1FAFCA12-3C08-462F-938A-10C02788CDC9}">
          <x14:formula1>
            <xm:f>'Other Data'!$C$2:$C$10</xm:f>
          </x14:formula1>
          <xm:sqref>AQ44:AQ45 M44 P44 AN44 AB44 AK44 AE44 AH44 G2:G70 G73:G542</xm:sqref>
        </x14:dataValidation>
        <x14:dataValidation type="list" allowBlank="1" showInputMessage="1" showErrorMessage="1" xr:uid="{A4C4622B-9BB4-4AF7-A460-F79C461D1B76}">
          <x14:formula1>
            <xm:f>'Other Data'!$I$2:$I$14</xm:f>
          </x14:formula1>
          <xm:sqref>AF242</xm:sqref>
        </x14:dataValidation>
        <x14:dataValidation type="list" allowBlank="1" showInputMessage="1" showErrorMessage="1" xr:uid="{9268F27C-77B3-494F-8E23-5024BD389500}">
          <x14:formula1>
            <xm:f>'Other Data'!$D$2:$D$13</xm:f>
          </x14:formula1>
          <xm:sqref>AN170 M170 P170 AQ170 AB170 AE170 AH170 AK170 P62 AB62 AE62 AH62 AK62 AN62 AQ62 I2:I542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I544"/>
  <sheetViews>
    <sheetView rightToLeft="1" topLeftCell="B109" zoomScaleNormal="100" workbookViewId="0">
      <selection activeCell="D122" sqref="D122"/>
    </sheetView>
  </sheetViews>
  <sheetFormatPr defaultRowHeight="15" x14ac:dyDescent="0.25"/>
  <cols>
    <col min="1" max="1" width="15.28515625" customWidth="1"/>
    <col min="2" max="2" width="56.5703125" customWidth="1"/>
    <col min="3" max="3" width="21.7109375" customWidth="1"/>
    <col min="4" max="4" width="14.5703125" customWidth="1"/>
    <col min="5" max="5" width="15.42578125" customWidth="1"/>
    <col min="6" max="7" width="19.28515625" customWidth="1"/>
    <col min="8" max="8" width="20" bestFit="1" customWidth="1"/>
    <col min="9" max="9" width="24" bestFit="1" customWidth="1"/>
    <col min="10" max="10" width="19.28515625" customWidth="1"/>
    <col min="11" max="11" width="11.28515625" customWidth="1"/>
    <col min="12" max="22" width="23.7109375" bestFit="1" customWidth="1"/>
    <col min="23" max="23" width="11.28515625" customWidth="1"/>
    <col min="24" max="31" width="23.7109375" bestFit="1" customWidth="1"/>
    <col min="32" max="32" width="11.28515625" bestFit="1" customWidth="1"/>
  </cols>
  <sheetData>
    <row r="3" spans="1:9" x14ac:dyDescent="0.25">
      <c r="A3" s="3" t="s">
        <v>0</v>
      </c>
      <c r="B3" s="3" t="s">
        <v>1</v>
      </c>
      <c r="C3" s="3" t="s">
        <v>830</v>
      </c>
      <c r="D3" s="3" t="s">
        <v>832</v>
      </c>
      <c r="E3" s="3" t="s">
        <v>834</v>
      </c>
      <c r="F3" s="3" t="s">
        <v>836</v>
      </c>
      <c r="G3" s="3" t="s">
        <v>837</v>
      </c>
      <c r="H3" s="3" t="s">
        <v>838</v>
      </c>
      <c r="I3" s="3" t="s">
        <v>840</v>
      </c>
    </row>
    <row r="4" spans="1:9" x14ac:dyDescent="0.25">
      <c r="A4" t="s">
        <v>4</v>
      </c>
      <c r="B4" t="s">
        <v>5</v>
      </c>
      <c r="C4" t="s">
        <v>2247</v>
      </c>
      <c r="D4" t="s">
        <v>856</v>
      </c>
      <c r="E4" t="s">
        <v>1009</v>
      </c>
      <c r="F4" t="s">
        <v>856</v>
      </c>
      <c r="G4" t="s">
        <v>1009</v>
      </c>
      <c r="H4" t="s">
        <v>2247</v>
      </c>
      <c r="I4" t="s">
        <v>1009</v>
      </c>
    </row>
    <row r="5" spans="1:9" x14ac:dyDescent="0.25">
      <c r="A5" t="s">
        <v>7</v>
      </c>
      <c r="B5" t="s">
        <v>8</v>
      </c>
      <c r="C5" t="s">
        <v>2247</v>
      </c>
      <c r="D5" t="s">
        <v>856</v>
      </c>
      <c r="E5" t="s">
        <v>1009</v>
      </c>
      <c r="F5" t="s">
        <v>854</v>
      </c>
      <c r="G5" t="s">
        <v>1008</v>
      </c>
      <c r="H5" t="s">
        <v>2247</v>
      </c>
      <c r="I5" t="s">
        <v>1009</v>
      </c>
    </row>
    <row r="6" spans="1:9" x14ac:dyDescent="0.25">
      <c r="A6" t="s">
        <v>9</v>
      </c>
      <c r="B6" t="s">
        <v>10</v>
      </c>
      <c r="C6" t="s">
        <v>854</v>
      </c>
      <c r="D6" t="s">
        <v>856</v>
      </c>
      <c r="E6" t="s">
        <v>1009</v>
      </c>
      <c r="F6" t="s">
        <v>856</v>
      </c>
      <c r="G6" t="s">
        <v>1009</v>
      </c>
      <c r="H6" t="s">
        <v>856</v>
      </c>
      <c r="I6" t="s">
        <v>1009</v>
      </c>
    </row>
    <row r="7" spans="1:9" x14ac:dyDescent="0.25">
      <c r="A7" t="s">
        <v>11</v>
      </c>
      <c r="B7" t="s">
        <v>12</v>
      </c>
      <c r="C7" t="s">
        <v>854</v>
      </c>
      <c r="D7" t="s">
        <v>854</v>
      </c>
      <c r="E7" t="s">
        <v>1009</v>
      </c>
      <c r="F7" t="s">
        <v>854</v>
      </c>
      <c r="G7" t="s">
        <v>1008</v>
      </c>
      <c r="H7" t="s">
        <v>856</v>
      </c>
      <c r="I7" t="s">
        <v>1009</v>
      </c>
    </row>
    <row r="8" spans="1:9" x14ac:dyDescent="0.25">
      <c r="A8" t="s">
        <v>13</v>
      </c>
      <c r="B8" t="s">
        <v>14</v>
      </c>
      <c r="C8" t="s">
        <v>854</v>
      </c>
      <c r="D8" t="s">
        <v>854</v>
      </c>
      <c r="E8" t="s">
        <v>1008</v>
      </c>
      <c r="F8" t="s">
        <v>856</v>
      </c>
      <c r="G8" t="s">
        <v>1009</v>
      </c>
      <c r="H8" t="s">
        <v>856</v>
      </c>
      <c r="I8" t="s">
        <v>1009</v>
      </c>
    </row>
    <row r="9" spans="1:9" x14ac:dyDescent="0.25">
      <c r="A9" t="s">
        <v>15</v>
      </c>
      <c r="B9" t="s">
        <v>16</v>
      </c>
      <c r="C9" t="s">
        <v>2247</v>
      </c>
      <c r="D9" t="s">
        <v>856</v>
      </c>
      <c r="E9" t="s">
        <v>1009</v>
      </c>
      <c r="F9" t="s">
        <v>856</v>
      </c>
      <c r="G9" t="s">
        <v>1009</v>
      </c>
      <c r="H9" t="s">
        <v>2247</v>
      </c>
      <c r="I9" t="s">
        <v>1009</v>
      </c>
    </row>
    <row r="10" spans="1:9" x14ac:dyDescent="0.25">
      <c r="A10" t="s">
        <v>17</v>
      </c>
      <c r="B10" t="s">
        <v>18</v>
      </c>
      <c r="C10" t="s">
        <v>854</v>
      </c>
      <c r="D10" t="s">
        <v>854</v>
      </c>
      <c r="E10" t="s">
        <v>1009</v>
      </c>
      <c r="F10" t="s">
        <v>854</v>
      </c>
      <c r="G10" t="s">
        <v>1008</v>
      </c>
      <c r="H10" t="s">
        <v>856</v>
      </c>
      <c r="I10" t="s">
        <v>1009</v>
      </c>
    </row>
    <row r="11" spans="1:9" x14ac:dyDescent="0.25">
      <c r="A11" t="s">
        <v>19</v>
      </c>
      <c r="B11" t="s">
        <v>20</v>
      </c>
      <c r="C11" t="s">
        <v>856</v>
      </c>
      <c r="D11" t="s">
        <v>856</v>
      </c>
      <c r="E11" t="s">
        <v>1009</v>
      </c>
      <c r="F11" t="s">
        <v>854</v>
      </c>
      <c r="G11" t="s">
        <v>1008</v>
      </c>
      <c r="H11" t="s">
        <v>856</v>
      </c>
      <c r="I11" t="s">
        <v>1009</v>
      </c>
    </row>
    <row r="12" spans="1:9" x14ac:dyDescent="0.25">
      <c r="A12" t="s">
        <v>21</v>
      </c>
      <c r="B12" t="s">
        <v>22</v>
      </c>
      <c r="C12" t="s">
        <v>854</v>
      </c>
      <c r="D12" t="s">
        <v>854</v>
      </c>
      <c r="E12" t="s">
        <v>1009</v>
      </c>
      <c r="F12" t="s">
        <v>854</v>
      </c>
      <c r="G12" t="s">
        <v>1008</v>
      </c>
      <c r="H12" t="s">
        <v>856</v>
      </c>
      <c r="I12" t="s">
        <v>1009</v>
      </c>
    </row>
    <row r="13" spans="1:9" x14ac:dyDescent="0.25">
      <c r="A13" t="s">
        <v>23</v>
      </c>
      <c r="B13" t="s">
        <v>24</v>
      </c>
      <c r="C13" t="s">
        <v>918</v>
      </c>
      <c r="D13" t="s">
        <v>856</v>
      </c>
      <c r="E13" t="s">
        <v>1009</v>
      </c>
      <c r="F13" t="s">
        <v>856</v>
      </c>
      <c r="G13" t="s">
        <v>1009</v>
      </c>
      <c r="H13" t="s">
        <v>856</v>
      </c>
      <c r="I13" t="s">
        <v>1009</v>
      </c>
    </row>
    <row r="14" spans="1:9" x14ac:dyDescent="0.25">
      <c r="A14" t="s">
        <v>25</v>
      </c>
      <c r="B14" t="s">
        <v>26</v>
      </c>
      <c r="C14" t="s">
        <v>2247</v>
      </c>
      <c r="D14" t="s">
        <v>856</v>
      </c>
      <c r="E14" t="s">
        <v>1009</v>
      </c>
      <c r="F14" t="s">
        <v>856</v>
      </c>
      <c r="G14" t="s">
        <v>1009</v>
      </c>
      <c r="H14" t="s">
        <v>2247</v>
      </c>
      <c r="I14" t="s">
        <v>1009</v>
      </c>
    </row>
    <row r="15" spans="1:9" x14ac:dyDescent="0.25">
      <c r="A15" t="s">
        <v>27</v>
      </c>
      <c r="B15" t="s">
        <v>28</v>
      </c>
      <c r="C15" t="s">
        <v>854</v>
      </c>
      <c r="D15" t="s">
        <v>854</v>
      </c>
      <c r="E15" t="s">
        <v>1008</v>
      </c>
      <c r="F15" t="s">
        <v>854</v>
      </c>
      <c r="G15" t="s">
        <v>1008</v>
      </c>
      <c r="H15" t="s">
        <v>856</v>
      </c>
      <c r="I15" t="s">
        <v>1009</v>
      </c>
    </row>
    <row r="16" spans="1:9" x14ac:dyDescent="0.25">
      <c r="A16" t="s">
        <v>29</v>
      </c>
      <c r="B16" t="s">
        <v>30</v>
      </c>
      <c r="C16" t="s">
        <v>856</v>
      </c>
      <c r="D16" t="s">
        <v>854</v>
      </c>
      <c r="E16" t="s">
        <v>1009</v>
      </c>
      <c r="F16" t="s">
        <v>854</v>
      </c>
      <c r="G16" t="s">
        <v>1008</v>
      </c>
      <c r="H16" t="s">
        <v>856</v>
      </c>
      <c r="I16" t="s">
        <v>1009</v>
      </c>
    </row>
    <row r="17" spans="1:9" x14ac:dyDescent="0.25">
      <c r="A17" t="s">
        <v>31</v>
      </c>
      <c r="B17" t="s">
        <v>32</v>
      </c>
      <c r="C17" t="s">
        <v>854</v>
      </c>
      <c r="D17" t="s">
        <v>856</v>
      </c>
      <c r="E17" t="s">
        <v>1009</v>
      </c>
      <c r="F17" t="s">
        <v>856</v>
      </c>
      <c r="G17" t="s">
        <v>1009</v>
      </c>
      <c r="H17" t="s">
        <v>856</v>
      </c>
      <c r="I17" t="s">
        <v>1009</v>
      </c>
    </row>
    <row r="18" spans="1:9" x14ac:dyDescent="0.25">
      <c r="A18" t="s">
        <v>33</v>
      </c>
      <c r="B18" t="s">
        <v>1139</v>
      </c>
      <c r="C18" t="s">
        <v>854</v>
      </c>
      <c r="D18" t="s">
        <v>854</v>
      </c>
      <c r="E18" t="s">
        <v>1008</v>
      </c>
      <c r="F18" t="s">
        <v>854</v>
      </c>
      <c r="G18" t="s">
        <v>1008</v>
      </c>
      <c r="H18" t="s">
        <v>854</v>
      </c>
      <c r="I18" t="s">
        <v>1008</v>
      </c>
    </row>
    <row r="19" spans="1:9" x14ac:dyDescent="0.25">
      <c r="A19" t="s">
        <v>34</v>
      </c>
      <c r="B19" t="s">
        <v>35</v>
      </c>
      <c r="C19" t="s">
        <v>854</v>
      </c>
      <c r="D19" t="s">
        <v>856</v>
      </c>
      <c r="E19" t="s">
        <v>1009</v>
      </c>
      <c r="F19" t="s">
        <v>856</v>
      </c>
      <c r="G19" t="s">
        <v>1009</v>
      </c>
      <c r="H19" t="s">
        <v>856</v>
      </c>
      <c r="I19" t="s">
        <v>1009</v>
      </c>
    </row>
    <row r="20" spans="1:9" x14ac:dyDescent="0.25">
      <c r="A20" t="s">
        <v>36</v>
      </c>
      <c r="B20" t="s">
        <v>37</v>
      </c>
      <c r="C20" t="s">
        <v>856</v>
      </c>
      <c r="D20" t="s">
        <v>854</v>
      </c>
      <c r="E20" t="s">
        <v>1008</v>
      </c>
      <c r="F20" t="s">
        <v>854</v>
      </c>
      <c r="G20" t="s">
        <v>1008</v>
      </c>
      <c r="H20" t="s">
        <v>854</v>
      </c>
      <c r="I20" t="s">
        <v>1009</v>
      </c>
    </row>
    <row r="21" spans="1:9" x14ac:dyDescent="0.25">
      <c r="A21" t="s">
        <v>38</v>
      </c>
      <c r="B21" t="s">
        <v>39</v>
      </c>
      <c r="C21" t="s">
        <v>854</v>
      </c>
      <c r="D21" t="s">
        <v>854</v>
      </c>
      <c r="E21" t="s">
        <v>1008</v>
      </c>
      <c r="F21" t="s">
        <v>854</v>
      </c>
      <c r="G21" t="s">
        <v>1008</v>
      </c>
      <c r="H21" t="s">
        <v>854</v>
      </c>
      <c r="I21" t="s">
        <v>1008</v>
      </c>
    </row>
    <row r="22" spans="1:9" x14ac:dyDescent="0.25">
      <c r="A22" t="s">
        <v>40</v>
      </c>
      <c r="B22" t="s">
        <v>41</v>
      </c>
      <c r="C22" t="s">
        <v>854</v>
      </c>
      <c r="D22" t="s">
        <v>856</v>
      </c>
      <c r="E22" t="s">
        <v>1009</v>
      </c>
      <c r="F22" t="s">
        <v>856</v>
      </c>
      <c r="G22" t="s">
        <v>1009</v>
      </c>
      <c r="H22" t="s">
        <v>856</v>
      </c>
      <c r="I22" t="s">
        <v>1009</v>
      </c>
    </row>
    <row r="23" spans="1:9" x14ac:dyDescent="0.25">
      <c r="A23" t="s">
        <v>42</v>
      </c>
      <c r="B23" t="s">
        <v>43</v>
      </c>
      <c r="C23" t="s">
        <v>2247</v>
      </c>
      <c r="D23" t="s">
        <v>856</v>
      </c>
      <c r="E23" t="s">
        <v>1009</v>
      </c>
      <c r="F23" t="s">
        <v>854</v>
      </c>
      <c r="G23" t="s">
        <v>1008</v>
      </c>
      <c r="H23" t="s">
        <v>2247</v>
      </c>
      <c r="I23" t="s">
        <v>1009</v>
      </c>
    </row>
    <row r="24" spans="1:9" x14ac:dyDescent="0.25">
      <c r="A24" t="s">
        <v>44</v>
      </c>
      <c r="B24" t="s">
        <v>45</v>
      </c>
      <c r="C24" t="s">
        <v>854</v>
      </c>
      <c r="D24" t="s">
        <v>854</v>
      </c>
      <c r="E24" t="s">
        <v>1008</v>
      </c>
      <c r="F24" t="s">
        <v>854</v>
      </c>
      <c r="G24" t="s">
        <v>1008</v>
      </c>
      <c r="H24" t="s">
        <v>854</v>
      </c>
      <c r="I24" t="s">
        <v>1009</v>
      </c>
    </row>
    <row r="25" spans="1:9" x14ac:dyDescent="0.25">
      <c r="A25" t="s">
        <v>46</v>
      </c>
      <c r="B25" t="s">
        <v>47</v>
      </c>
      <c r="C25" t="s">
        <v>854</v>
      </c>
      <c r="D25" t="s">
        <v>856</v>
      </c>
      <c r="E25" t="s">
        <v>1009</v>
      </c>
      <c r="F25" t="s">
        <v>856</v>
      </c>
      <c r="G25" t="s">
        <v>1009</v>
      </c>
      <c r="H25" t="s">
        <v>856</v>
      </c>
      <c r="I25" t="s">
        <v>1009</v>
      </c>
    </row>
    <row r="26" spans="1:9" x14ac:dyDescent="0.25">
      <c r="A26" t="s">
        <v>48</v>
      </c>
      <c r="B26" t="s">
        <v>49</v>
      </c>
      <c r="C26" t="s">
        <v>854</v>
      </c>
      <c r="D26" t="s">
        <v>854</v>
      </c>
      <c r="E26" t="s">
        <v>1009</v>
      </c>
      <c r="F26" t="s">
        <v>856</v>
      </c>
      <c r="G26" t="s">
        <v>1009</v>
      </c>
      <c r="H26" t="s">
        <v>854</v>
      </c>
      <c r="I26" t="s">
        <v>1009</v>
      </c>
    </row>
    <row r="27" spans="1:9" x14ac:dyDescent="0.25">
      <c r="A27" t="s">
        <v>50</v>
      </c>
      <c r="B27" t="s">
        <v>51</v>
      </c>
      <c r="C27" t="s">
        <v>854</v>
      </c>
      <c r="D27" t="s">
        <v>854</v>
      </c>
      <c r="E27" t="s">
        <v>1009</v>
      </c>
      <c r="F27" t="s">
        <v>854</v>
      </c>
      <c r="G27" t="s">
        <v>1008</v>
      </c>
      <c r="H27" t="s">
        <v>856</v>
      </c>
      <c r="I27" t="s">
        <v>1009</v>
      </c>
    </row>
    <row r="28" spans="1:9" x14ac:dyDescent="0.25">
      <c r="A28" t="s">
        <v>52</v>
      </c>
      <c r="B28" t="s">
        <v>53</v>
      </c>
      <c r="C28" t="s">
        <v>2247</v>
      </c>
      <c r="D28" t="s">
        <v>856</v>
      </c>
      <c r="E28" t="s">
        <v>1009</v>
      </c>
      <c r="F28" t="s">
        <v>854</v>
      </c>
      <c r="G28" t="s">
        <v>1008</v>
      </c>
      <c r="H28" t="s">
        <v>2247</v>
      </c>
      <c r="I28" t="s">
        <v>1009</v>
      </c>
    </row>
    <row r="29" spans="1:9" x14ac:dyDescent="0.25">
      <c r="A29" t="s">
        <v>54</v>
      </c>
      <c r="B29" t="s">
        <v>55</v>
      </c>
      <c r="C29" t="s">
        <v>854</v>
      </c>
      <c r="D29" t="s">
        <v>854</v>
      </c>
      <c r="E29" t="s">
        <v>1009</v>
      </c>
      <c r="F29" t="s">
        <v>856</v>
      </c>
      <c r="G29" t="s">
        <v>1009</v>
      </c>
      <c r="H29" t="s">
        <v>856</v>
      </c>
      <c r="I29" t="s">
        <v>1009</v>
      </c>
    </row>
    <row r="30" spans="1:9" x14ac:dyDescent="0.25">
      <c r="A30" t="s">
        <v>56</v>
      </c>
      <c r="B30" t="s">
        <v>57</v>
      </c>
      <c r="C30" t="s">
        <v>2247</v>
      </c>
      <c r="D30" t="s">
        <v>856</v>
      </c>
      <c r="E30" t="s">
        <v>1009</v>
      </c>
      <c r="F30" t="s">
        <v>854</v>
      </c>
      <c r="G30" t="s">
        <v>1008</v>
      </c>
      <c r="H30" t="s">
        <v>2247</v>
      </c>
      <c r="I30" t="s">
        <v>1009</v>
      </c>
    </row>
    <row r="31" spans="1:9" x14ac:dyDescent="0.25">
      <c r="A31" t="s">
        <v>58</v>
      </c>
      <c r="B31" t="s">
        <v>59</v>
      </c>
      <c r="C31" t="s">
        <v>854</v>
      </c>
      <c r="D31" t="s">
        <v>856</v>
      </c>
      <c r="E31" t="s">
        <v>1009</v>
      </c>
      <c r="F31" t="s">
        <v>856</v>
      </c>
      <c r="G31" t="s">
        <v>1009</v>
      </c>
      <c r="H31" t="s">
        <v>856</v>
      </c>
      <c r="I31" t="s">
        <v>1009</v>
      </c>
    </row>
    <row r="32" spans="1:9" x14ac:dyDescent="0.25">
      <c r="A32" t="s">
        <v>60</v>
      </c>
      <c r="B32" t="s">
        <v>61</v>
      </c>
      <c r="C32" t="s">
        <v>2247</v>
      </c>
      <c r="D32" t="s">
        <v>856</v>
      </c>
      <c r="E32" t="s">
        <v>1009</v>
      </c>
      <c r="F32" t="s">
        <v>854</v>
      </c>
      <c r="G32" t="s">
        <v>1008</v>
      </c>
      <c r="H32" t="s">
        <v>2247</v>
      </c>
      <c r="I32" t="s">
        <v>1009</v>
      </c>
    </row>
    <row r="33" spans="1:9" x14ac:dyDescent="0.25">
      <c r="A33" t="s">
        <v>62</v>
      </c>
      <c r="B33" t="s">
        <v>63</v>
      </c>
      <c r="C33" t="s">
        <v>2247</v>
      </c>
      <c r="D33" t="s">
        <v>856</v>
      </c>
      <c r="E33" t="s">
        <v>1009</v>
      </c>
      <c r="F33" t="s">
        <v>854</v>
      </c>
      <c r="G33" t="s">
        <v>1008</v>
      </c>
      <c r="H33" t="s">
        <v>2247</v>
      </c>
      <c r="I33" t="s">
        <v>1009</v>
      </c>
    </row>
    <row r="34" spans="1:9" x14ac:dyDescent="0.25">
      <c r="A34" t="s">
        <v>64</v>
      </c>
      <c r="B34" t="s">
        <v>65</v>
      </c>
      <c r="C34" t="s">
        <v>2247</v>
      </c>
      <c r="D34" t="s">
        <v>856</v>
      </c>
      <c r="E34" t="s">
        <v>1009</v>
      </c>
      <c r="F34" t="s">
        <v>854</v>
      </c>
      <c r="G34" t="s">
        <v>1008</v>
      </c>
      <c r="H34" t="s">
        <v>2247</v>
      </c>
      <c r="I34" t="s">
        <v>1009</v>
      </c>
    </row>
    <row r="35" spans="1:9" x14ac:dyDescent="0.25">
      <c r="A35" t="s">
        <v>66</v>
      </c>
      <c r="B35" t="s">
        <v>67</v>
      </c>
      <c r="C35" t="s">
        <v>2247</v>
      </c>
      <c r="D35" t="s">
        <v>856</v>
      </c>
      <c r="E35" t="s">
        <v>1009</v>
      </c>
      <c r="F35" t="s">
        <v>854</v>
      </c>
      <c r="G35" t="s">
        <v>1008</v>
      </c>
      <c r="H35" t="s">
        <v>2247</v>
      </c>
      <c r="I35" t="s">
        <v>1009</v>
      </c>
    </row>
    <row r="36" spans="1:9" x14ac:dyDescent="0.25">
      <c r="A36" t="s">
        <v>68</v>
      </c>
      <c r="B36" t="s">
        <v>69</v>
      </c>
      <c r="C36" t="s">
        <v>856</v>
      </c>
      <c r="D36" t="s">
        <v>856</v>
      </c>
      <c r="E36" t="s">
        <v>1009</v>
      </c>
      <c r="F36" t="s">
        <v>854</v>
      </c>
      <c r="G36" t="s">
        <v>1008</v>
      </c>
      <c r="H36" t="s">
        <v>856</v>
      </c>
      <c r="I36" t="s">
        <v>1009</v>
      </c>
    </row>
    <row r="37" spans="1:9" x14ac:dyDescent="0.25">
      <c r="A37" t="s">
        <v>70</v>
      </c>
      <c r="B37" t="s">
        <v>71</v>
      </c>
      <c r="C37" t="s">
        <v>2247</v>
      </c>
      <c r="D37" t="s">
        <v>856</v>
      </c>
      <c r="E37" t="s">
        <v>1009</v>
      </c>
      <c r="F37" t="s">
        <v>854</v>
      </c>
      <c r="G37" t="s">
        <v>1008</v>
      </c>
      <c r="H37" t="s">
        <v>2247</v>
      </c>
      <c r="I37" t="s">
        <v>1009</v>
      </c>
    </row>
    <row r="38" spans="1:9" x14ac:dyDescent="0.25">
      <c r="A38" t="s">
        <v>72</v>
      </c>
      <c r="B38" t="s">
        <v>73</v>
      </c>
      <c r="C38" t="s">
        <v>856</v>
      </c>
      <c r="D38" t="s">
        <v>856</v>
      </c>
      <c r="E38" t="s">
        <v>1009</v>
      </c>
      <c r="F38" t="s">
        <v>856</v>
      </c>
      <c r="G38" t="s">
        <v>1009</v>
      </c>
      <c r="H38" t="s">
        <v>856</v>
      </c>
      <c r="I38" t="s">
        <v>1009</v>
      </c>
    </row>
    <row r="39" spans="1:9" x14ac:dyDescent="0.25">
      <c r="A39" t="s">
        <v>75</v>
      </c>
      <c r="B39" t="s">
        <v>2193</v>
      </c>
      <c r="C39" t="s">
        <v>854</v>
      </c>
      <c r="D39" t="s">
        <v>854</v>
      </c>
      <c r="E39" t="s">
        <v>1008</v>
      </c>
      <c r="F39" t="s">
        <v>854</v>
      </c>
      <c r="G39" t="s">
        <v>1008</v>
      </c>
      <c r="H39" t="s">
        <v>856</v>
      </c>
      <c r="I39" t="s">
        <v>1009</v>
      </c>
    </row>
    <row r="40" spans="1:9" x14ac:dyDescent="0.25">
      <c r="A40" t="s">
        <v>76</v>
      </c>
      <c r="B40" t="s">
        <v>2418</v>
      </c>
      <c r="C40" t="s">
        <v>854</v>
      </c>
      <c r="D40" t="s">
        <v>854</v>
      </c>
      <c r="E40" t="s">
        <v>1009</v>
      </c>
      <c r="F40" t="s">
        <v>854</v>
      </c>
      <c r="G40" t="s">
        <v>1008</v>
      </c>
      <c r="H40" t="s">
        <v>854</v>
      </c>
      <c r="I40" t="s">
        <v>1008</v>
      </c>
    </row>
    <row r="41" spans="1:9" x14ac:dyDescent="0.25">
      <c r="A41" t="s">
        <v>77</v>
      </c>
      <c r="B41" t="s">
        <v>78</v>
      </c>
      <c r="C41" t="s">
        <v>2247</v>
      </c>
      <c r="D41" t="s">
        <v>856</v>
      </c>
      <c r="E41" t="s">
        <v>1009</v>
      </c>
      <c r="F41" t="s">
        <v>854</v>
      </c>
      <c r="G41" t="s">
        <v>1008</v>
      </c>
      <c r="H41" t="s">
        <v>2247</v>
      </c>
      <c r="I41" t="s">
        <v>1009</v>
      </c>
    </row>
    <row r="42" spans="1:9" x14ac:dyDescent="0.25">
      <c r="A42" t="s">
        <v>79</v>
      </c>
      <c r="B42" t="s">
        <v>80</v>
      </c>
      <c r="C42" t="s">
        <v>854</v>
      </c>
      <c r="D42" t="s">
        <v>856</v>
      </c>
      <c r="E42" t="s">
        <v>1009</v>
      </c>
      <c r="F42" t="s">
        <v>856</v>
      </c>
      <c r="G42" t="s">
        <v>1009</v>
      </c>
      <c r="H42" t="s">
        <v>856</v>
      </c>
      <c r="I42" t="s">
        <v>1009</v>
      </c>
    </row>
    <row r="43" spans="1:9" x14ac:dyDescent="0.25">
      <c r="A43" t="s">
        <v>81</v>
      </c>
      <c r="B43" t="s">
        <v>82</v>
      </c>
      <c r="C43" t="s">
        <v>2247</v>
      </c>
      <c r="D43" t="s">
        <v>856</v>
      </c>
      <c r="E43" t="s">
        <v>1009</v>
      </c>
      <c r="F43" t="s">
        <v>854</v>
      </c>
      <c r="G43" t="s">
        <v>1008</v>
      </c>
      <c r="H43" t="s">
        <v>2247</v>
      </c>
      <c r="I43" t="s">
        <v>1009</v>
      </c>
    </row>
    <row r="44" spans="1:9" x14ac:dyDescent="0.25">
      <c r="A44" t="s">
        <v>83</v>
      </c>
      <c r="B44" t="s">
        <v>84</v>
      </c>
      <c r="C44" t="s">
        <v>2247</v>
      </c>
      <c r="D44" t="s">
        <v>856</v>
      </c>
      <c r="E44" t="s">
        <v>1009</v>
      </c>
      <c r="F44" t="s">
        <v>854</v>
      </c>
      <c r="G44" t="s">
        <v>1008</v>
      </c>
      <c r="H44" t="s">
        <v>2247</v>
      </c>
      <c r="I44" t="s">
        <v>1009</v>
      </c>
    </row>
    <row r="45" spans="1:9" x14ac:dyDescent="0.25">
      <c r="A45" t="s">
        <v>85</v>
      </c>
      <c r="B45" t="s">
        <v>86</v>
      </c>
      <c r="C45" t="s">
        <v>854</v>
      </c>
      <c r="D45" t="s">
        <v>856</v>
      </c>
      <c r="E45" t="s">
        <v>1009</v>
      </c>
      <c r="F45" t="s">
        <v>856</v>
      </c>
      <c r="G45" t="s">
        <v>1009</v>
      </c>
      <c r="H45" t="s">
        <v>856</v>
      </c>
      <c r="I45" t="s">
        <v>1009</v>
      </c>
    </row>
    <row r="46" spans="1:9" x14ac:dyDescent="0.25">
      <c r="A46" t="s">
        <v>87</v>
      </c>
      <c r="B46" t="s">
        <v>88</v>
      </c>
      <c r="C46" t="s">
        <v>2247</v>
      </c>
      <c r="D46" t="s">
        <v>856</v>
      </c>
      <c r="E46" t="s">
        <v>1009</v>
      </c>
      <c r="F46" t="s">
        <v>854</v>
      </c>
      <c r="G46" t="s">
        <v>1008</v>
      </c>
      <c r="H46" t="s">
        <v>2247</v>
      </c>
      <c r="I46" t="s">
        <v>1009</v>
      </c>
    </row>
    <row r="47" spans="1:9" x14ac:dyDescent="0.25">
      <c r="A47" t="s">
        <v>89</v>
      </c>
      <c r="B47" t="s">
        <v>90</v>
      </c>
      <c r="C47" t="s">
        <v>2247</v>
      </c>
      <c r="D47" t="s">
        <v>856</v>
      </c>
      <c r="E47" t="s">
        <v>1009</v>
      </c>
      <c r="F47" t="s">
        <v>854</v>
      </c>
      <c r="G47" t="s">
        <v>1008</v>
      </c>
      <c r="H47" t="s">
        <v>2247</v>
      </c>
      <c r="I47" t="s">
        <v>1009</v>
      </c>
    </row>
    <row r="48" spans="1:9" x14ac:dyDescent="0.25">
      <c r="A48" t="s">
        <v>91</v>
      </c>
      <c r="B48" t="s">
        <v>1169</v>
      </c>
      <c r="C48" t="s">
        <v>854</v>
      </c>
      <c r="D48" t="s">
        <v>856</v>
      </c>
      <c r="E48" t="s">
        <v>1009</v>
      </c>
      <c r="F48" t="s">
        <v>856</v>
      </c>
      <c r="G48" t="s">
        <v>1009</v>
      </c>
      <c r="H48" t="s">
        <v>856</v>
      </c>
      <c r="I48" t="s">
        <v>1009</v>
      </c>
    </row>
    <row r="49" spans="1:9" x14ac:dyDescent="0.25">
      <c r="A49" t="s">
        <v>92</v>
      </c>
      <c r="B49" t="s">
        <v>93</v>
      </c>
      <c r="C49" t="s">
        <v>854</v>
      </c>
      <c r="D49" t="s">
        <v>856</v>
      </c>
      <c r="E49" t="s">
        <v>1009</v>
      </c>
      <c r="F49" t="s">
        <v>856</v>
      </c>
      <c r="G49" t="s">
        <v>1009</v>
      </c>
      <c r="H49" t="s">
        <v>856</v>
      </c>
      <c r="I49" t="s">
        <v>1009</v>
      </c>
    </row>
    <row r="50" spans="1:9" x14ac:dyDescent="0.25">
      <c r="A50" t="s">
        <v>94</v>
      </c>
      <c r="B50" t="s">
        <v>95</v>
      </c>
      <c r="C50" t="s">
        <v>854</v>
      </c>
      <c r="D50" t="s">
        <v>854</v>
      </c>
      <c r="E50" t="s">
        <v>1008</v>
      </c>
      <c r="F50" t="s">
        <v>854</v>
      </c>
      <c r="G50" t="s">
        <v>1008</v>
      </c>
      <c r="H50" t="s">
        <v>856</v>
      </c>
      <c r="I50" t="s">
        <v>1009</v>
      </c>
    </row>
    <row r="51" spans="1:9" x14ac:dyDescent="0.25">
      <c r="A51" t="s">
        <v>96</v>
      </c>
      <c r="B51" t="s">
        <v>97</v>
      </c>
      <c r="C51" t="s">
        <v>2247</v>
      </c>
      <c r="D51" t="s">
        <v>856</v>
      </c>
      <c r="E51" t="s">
        <v>1009</v>
      </c>
      <c r="F51" t="s">
        <v>854</v>
      </c>
      <c r="G51" t="s">
        <v>1008</v>
      </c>
      <c r="H51" t="s">
        <v>2247</v>
      </c>
      <c r="I51" t="s">
        <v>1009</v>
      </c>
    </row>
    <row r="52" spans="1:9" x14ac:dyDescent="0.25">
      <c r="A52" t="s">
        <v>98</v>
      </c>
      <c r="B52" t="s">
        <v>99</v>
      </c>
      <c r="C52" t="s">
        <v>2247</v>
      </c>
      <c r="D52" t="s">
        <v>856</v>
      </c>
      <c r="E52" t="s">
        <v>1009</v>
      </c>
      <c r="F52" t="s">
        <v>856</v>
      </c>
      <c r="G52" t="s">
        <v>1009</v>
      </c>
      <c r="H52" t="s">
        <v>2247</v>
      </c>
      <c r="I52" t="s">
        <v>1009</v>
      </c>
    </row>
    <row r="53" spans="1:9" x14ac:dyDescent="0.25">
      <c r="A53" t="s">
        <v>100</v>
      </c>
      <c r="B53" t="s">
        <v>101</v>
      </c>
      <c r="C53" t="s">
        <v>854</v>
      </c>
      <c r="D53" t="s">
        <v>854</v>
      </c>
      <c r="E53" t="s">
        <v>1009</v>
      </c>
      <c r="F53" t="s">
        <v>854</v>
      </c>
      <c r="G53" t="s">
        <v>1008</v>
      </c>
      <c r="H53" t="s">
        <v>854</v>
      </c>
      <c r="I53" t="s">
        <v>1008</v>
      </c>
    </row>
    <row r="54" spans="1:9" x14ac:dyDescent="0.25">
      <c r="A54" t="s">
        <v>102</v>
      </c>
      <c r="B54" t="s">
        <v>103</v>
      </c>
      <c r="C54" t="s">
        <v>854</v>
      </c>
      <c r="D54" t="s">
        <v>856</v>
      </c>
      <c r="E54" t="s">
        <v>1009</v>
      </c>
      <c r="F54" t="s">
        <v>856</v>
      </c>
      <c r="G54" t="s">
        <v>1009</v>
      </c>
      <c r="H54" t="s">
        <v>856</v>
      </c>
      <c r="I54" t="s">
        <v>1009</v>
      </c>
    </row>
    <row r="55" spans="1:9" x14ac:dyDescent="0.25">
      <c r="A55" t="s">
        <v>104</v>
      </c>
      <c r="B55" t="s">
        <v>105</v>
      </c>
      <c r="C55" t="s">
        <v>2247</v>
      </c>
      <c r="D55" t="s">
        <v>856</v>
      </c>
      <c r="E55" t="s">
        <v>1009</v>
      </c>
      <c r="F55" t="s">
        <v>854</v>
      </c>
      <c r="G55" t="s">
        <v>1008</v>
      </c>
      <c r="H55" t="s">
        <v>2247</v>
      </c>
      <c r="I55" t="s">
        <v>1009</v>
      </c>
    </row>
    <row r="56" spans="1:9" x14ac:dyDescent="0.25">
      <c r="A56" t="s">
        <v>106</v>
      </c>
      <c r="B56" t="s">
        <v>1654</v>
      </c>
      <c r="C56" t="s">
        <v>854</v>
      </c>
      <c r="D56" t="s">
        <v>854</v>
      </c>
      <c r="E56" t="s">
        <v>1008</v>
      </c>
      <c r="F56" t="s">
        <v>854</v>
      </c>
      <c r="G56" t="s">
        <v>1008</v>
      </c>
      <c r="H56" t="s">
        <v>854</v>
      </c>
      <c r="I56" t="s">
        <v>1008</v>
      </c>
    </row>
    <row r="57" spans="1:9" x14ac:dyDescent="0.25">
      <c r="A57" t="s">
        <v>107</v>
      </c>
      <c r="B57" t="s">
        <v>108</v>
      </c>
      <c r="C57" t="s">
        <v>2247</v>
      </c>
      <c r="D57" t="s">
        <v>856</v>
      </c>
      <c r="E57" t="s">
        <v>1009</v>
      </c>
      <c r="F57" t="s">
        <v>854</v>
      </c>
      <c r="G57" t="s">
        <v>1008</v>
      </c>
      <c r="H57" t="s">
        <v>2247</v>
      </c>
      <c r="I57" t="s">
        <v>1009</v>
      </c>
    </row>
    <row r="58" spans="1:9" x14ac:dyDescent="0.25">
      <c r="A58" t="s">
        <v>109</v>
      </c>
      <c r="B58" t="s">
        <v>110</v>
      </c>
      <c r="C58" t="s">
        <v>2247</v>
      </c>
      <c r="D58" t="s">
        <v>856</v>
      </c>
      <c r="E58" t="s">
        <v>1009</v>
      </c>
      <c r="F58" t="s">
        <v>854</v>
      </c>
      <c r="G58" t="s">
        <v>1008</v>
      </c>
      <c r="H58" t="s">
        <v>2247</v>
      </c>
      <c r="I58" t="s">
        <v>1009</v>
      </c>
    </row>
    <row r="59" spans="1:9" x14ac:dyDescent="0.25">
      <c r="A59" t="s">
        <v>111</v>
      </c>
      <c r="B59" t="s">
        <v>112</v>
      </c>
      <c r="C59" t="s">
        <v>2247</v>
      </c>
      <c r="D59" t="s">
        <v>856</v>
      </c>
      <c r="E59" t="s">
        <v>1009</v>
      </c>
      <c r="F59" t="s">
        <v>854</v>
      </c>
      <c r="G59" t="s">
        <v>1008</v>
      </c>
      <c r="H59" t="s">
        <v>2247</v>
      </c>
      <c r="I59" t="s">
        <v>1009</v>
      </c>
    </row>
    <row r="60" spans="1:9" x14ac:dyDescent="0.25">
      <c r="A60" t="s">
        <v>113</v>
      </c>
      <c r="B60" t="s">
        <v>114</v>
      </c>
      <c r="C60" t="s">
        <v>854</v>
      </c>
      <c r="D60" t="s">
        <v>856</v>
      </c>
      <c r="E60" t="s">
        <v>1009</v>
      </c>
      <c r="F60" t="s">
        <v>856</v>
      </c>
      <c r="G60" t="s">
        <v>1009</v>
      </c>
      <c r="H60" t="s">
        <v>856</v>
      </c>
      <c r="I60" t="s">
        <v>1009</v>
      </c>
    </row>
    <row r="61" spans="1:9" x14ac:dyDescent="0.25">
      <c r="A61" t="s">
        <v>115</v>
      </c>
      <c r="B61" t="s">
        <v>1177</v>
      </c>
      <c r="C61" t="s">
        <v>856</v>
      </c>
      <c r="D61" t="s">
        <v>854</v>
      </c>
      <c r="E61" t="s">
        <v>1008</v>
      </c>
      <c r="F61" t="s">
        <v>854</v>
      </c>
      <c r="G61" t="s">
        <v>1008</v>
      </c>
      <c r="H61" t="s">
        <v>856</v>
      </c>
      <c r="I61" t="s">
        <v>1009</v>
      </c>
    </row>
    <row r="62" spans="1:9" x14ac:dyDescent="0.25">
      <c r="A62" t="s">
        <v>116</v>
      </c>
      <c r="B62" t="s">
        <v>117</v>
      </c>
      <c r="C62" t="s">
        <v>2247</v>
      </c>
      <c r="D62" t="s">
        <v>856</v>
      </c>
      <c r="E62" t="s">
        <v>1009</v>
      </c>
      <c r="F62" t="s">
        <v>854</v>
      </c>
      <c r="G62" t="s">
        <v>1008</v>
      </c>
      <c r="H62" t="s">
        <v>2247</v>
      </c>
      <c r="I62" t="s">
        <v>1009</v>
      </c>
    </row>
    <row r="63" spans="1:9" x14ac:dyDescent="0.25">
      <c r="A63" t="s">
        <v>118</v>
      </c>
      <c r="B63" t="s">
        <v>926</v>
      </c>
      <c r="C63" t="s">
        <v>2247</v>
      </c>
      <c r="D63" t="s">
        <v>856</v>
      </c>
      <c r="E63" t="s">
        <v>1009</v>
      </c>
      <c r="F63" t="s">
        <v>854</v>
      </c>
      <c r="G63" t="s">
        <v>1008</v>
      </c>
      <c r="H63" t="s">
        <v>2247</v>
      </c>
      <c r="I63" t="s">
        <v>1009</v>
      </c>
    </row>
    <row r="64" spans="1:9" x14ac:dyDescent="0.25">
      <c r="A64" t="s">
        <v>119</v>
      </c>
      <c r="B64" t="s">
        <v>120</v>
      </c>
      <c r="C64" t="s">
        <v>854</v>
      </c>
      <c r="D64" t="s">
        <v>856</v>
      </c>
      <c r="E64" t="s">
        <v>1009</v>
      </c>
      <c r="F64" t="s">
        <v>856</v>
      </c>
      <c r="G64" t="s">
        <v>1009</v>
      </c>
      <c r="H64" t="s">
        <v>856</v>
      </c>
      <c r="I64" t="s">
        <v>1009</v>
      </c>
    </row>
    <row r="65" spans="1:9" x14ac:dyDescent="0.25">
      <c r="A65" t="s">
        <v>121</v>
      </c>
      <c r="B65" t="s">
        <v>122</v>
      </c>
      <c r="C65" t="s">
        <v>2247</v>
      </c>
      <c r="D65" t="s">
        <v>856</v>
      </c>
      <c r="E65" t="s">
        <v>1009</v>
      </c>
      <c r="F65" t="s">
        <v>854</v>
      </c>
      <c r="G65" t="s">
        <v>1008</v>
      </c>
      <c r="H65" t="s">
        <v>2247</v>
      </c>
      <c r="I65" t="s">
        <v>1009</v>
      </c>
    </row>
    <row r="66" spans="1:9" x14ac:dyDescent="0.25">
      <c r="A66" t="s">
        <v>123</v>
      </c>
      <c r="B66" t="s">
        <v>124</v>
      </c>
      <c r="C66" t="s">
        <v>2247</v>
      </c>
      <c r="D66" t="s">
        <v>856</v>
      </c>
      <c r="E66" t="s">
        <v>1009</v>
      </c>
      <c r="F66" t="s">
        <v>854</v>
      </c>
      <c r="G66" t="s">
        <v>1008</v>
      </c>
      <c r="H66" t="s">
        <v>2247</v>
      </c>
      <c r="I66" t="s">
        <v>1009</v>
      </c>
    </row>
    <row r="67" spans="1:9" x14ac:dyDescent="0.25">
      <c r="A67" t="s">
        <v>125</v>
      </c>
      <c r="B67" t="s">
        <v>126</v>
      </c>
      <c r="C67" t="s">
        <v>856</v>
      </c>
      <c r="D67" t="s">
        <v>854</v>
      </c>
      <c r="E67" t="s">
        <v>1009</v>
      </c>
      <c r="F67" t="s">
        <v>854</v>
      </c>
      <c r="G67" t="s">
        <v>1008</v>
      </c>
      <c r="H67" t="s">
        <v>856</v>
      </c>
      <c r="I67" t="s">
        <v>1009</v>
      </c>
    </row>
    <row r="68" spans="1:9" x14ac:dyDescent="0.25">
      <c r="A68" t="s">
        <v>127</v>
      </c>
      <c r="B68" t="s">
        <v>128</v>
      </c>
      <c r="C68" t="s">
        <v>856</v>
      </c>
      <c r="D68" t="s">
        <v>854</v>
      </c>
      <c r="E68" t="s">
        <v>1009</v>
      </c>
      <c r="F68" t="s">
        <v>854</v>
      </c>
      <c r="G68" t="s">
        <v>1008</v>
      </c>
      <c r="H68" t="s">
        <v>856</v>
      </c>
      <c r="I68" t="s">
        <v>1009</v>
      </c>
    </row>
    <row r="69" spans="1:9" x14ac:dyDescent="0.25">
      <c r="A69" t="s">
        <v>129</v>
      </c>
      <c r="B69" t="s">
        <v>130</v>
      </c>
      <c r="C69" t="s">
        <v>854</v>
      </c>
      <c r="D69" t="s">
        <v>856</v>
      </c>
      <c r="E69" t="s">
        <v>1009</v>
      </c>
      <c r="F69" t="s">
        <v>856</v>
      </c>
      <c r="G69" t="s">
        <v>1009</v>
      </c>
      <c r="H69" t="s">
        <v>856</v>
      </c>
      <c r="I69" t="s">
        <v>1009</v>
      </c>
    </row>
    <row r="70" spans="1:9" x14ac:dyDescent="0.25">
      <c r="A70" t="s">
        <v>131</v>
      </c>
      <c r="B70" t="s">
        <v>132</v>
      </c>
      <c r="C70" t="s">
        <v>854</v>
      </c>
      <c r="D70" t="s">
        <v>854</v>
      </c>
      <c r="E70" t="s">
        <v>1009</v>
      </c>
      <c r="F70" t="s">
        <v>856</v>
      </c>
      <c r="G70" t="s">
        <v>1009</v>
      </c>
      <c r="H70" t="s">
        <v>856</v>
      </c>
      <c r="I70" t="s">
        <v>1009</v>
      </c>
    </row>
    <row r="71" spans="1:9" x14ac:dyDescent="0.25">
      <c r="A71" t="s">
        <v>133</v>
      </c>
      <c r="B71" t="s">
        <v>134</v>
      </c>
      <c r="C71" t="s">
        <v>856</v>
      </c>
      <c r="D71" t="s">
        <v>854</v>
      </c>
      <c r="E71" t="s">
        <v>1009</v>
      </c>
      <c r="F71" t="s">
        <v>854</v>
      </c>
      <c r="G71" t="s">
        <v>1008</v>
      </c>
      <c r="H71" t="s">
        <v>856</v>
      </c>
      <c r="I71" t="s">
        <v>1009</v>
      </c>
    </row>
    <row r="72" spans="1:9" x14ac:dyDescent="0.25">
      <c r="A72" t="s">
        <v>135</v>
      </c>
      <c r="B72" t="s">
        <v>136</v>
      </c>
      <c r="C72" t="s">
        <v>854</v>
      </c>
      <c r="D72" t="s">
        <v>854</v>
      </c>
      <c r="E72" t="s">
        <v>1009</v>
      </c>
      <c r="F72" t="s">
        <v>854</v>
      </c>
      <c r="G72" t="s">
        <v>1008</v>
      </c>
      <c r="H72" t="s">
        <v>856</v>
      </c>
      <c r="I72" t="s">
        <v>1009</v>
      </c>
    </row>
    <row r="73" spans="1:9" x14ac:dyDescent="0.25">
      <c r="A73" t="s">
        <v>137</v>
      </c>
      <c r="B73" t="s">
        <v>138</v>
      </c>
      <c r="C73" t="s">
        <v>854</v>
      </c>
      <c r="D73" t="s">
        <v>854</v>
      </c>
      <c r="E73" t="s">
        <v>1009</v>
      </c>
      <c r="F73" t="s">
        <v>854</v>
      </c>
      <c r="G73" t="s">
        <v>1008</v>
      </c>
      <c r="H73" t="s">
        <v>856</v>
      </c>
      <c r="I73" t="s">
        <v>1009</v>
      </c>
    </row>
    <row r="74" spans="1:9" x14ac:dyDescent="0.25">
      <c r="A74" t="s">
        <v>139</v>
      </c>
      <c r="B74" t="s">
        <v>140</v>
      </c>
      <c r="C74" t="s">
        <v>856</v>
      </c>
      <c r="D74" t="s">
        <v>854</v>
      </c>
      <c r="E74" t="s">
        <v>1009</v>
      </c>
      <c r="F74" t="s">
        <v>854</v>
      </c>
      <c r="G74" t="s">
        <v>1008</v>
      </c>
      <c r="H74" t="s">
        <v>856</v>
      </c>
      <c r="I74" t="s">
        <v>1009</v>
      </c>
    </row>
    <row r="75" spans="1:9" x14ac:dyDescent="0.25">
      <c r="A75" t="s">
        <v>141</v>
      </c>
      <c r="B75" t="s">
        <v>142</v>
      </c>
      <c r="C75" t="s">
        <v>854</v>
      </c>
      <c r="D75" t="s">
        <v>856</v>
      </c>
      <c r="E75" t="s">
        <v>1009</v>
      </c>
      <c r="F75" t="s">
        <v>856</v>
      </c>
      <c r="G75" t="s">
        <v>1009</v>
      </c>
      <c r="H75" t="s">
        <v>856</v>
      </c>
      <c r="I75" t="s">
        <v>1009</v>
      </c>
    </row>
    <row r="76" spans="1:9" x14ac:dyDescent="0.25">
      <c r="A76" t="s">
        <v>143</v>
      </c>
      <c r="B76" t="s">
        <v>144</v>
      </c>
      <c r="C76" t="s">
        <v>856</v>
      </c>
      <c r="D76" t="s">
        <v>854</v>
      </c>
      <c r="E76" t="s">
        <v>1008</v>
      </c>
      <c r="F76" t="s">
        <v>856</v>
      </c>
      <c r="G76" t="s">
        <v>1009</v>
      </c>
      <c r="H76" t="s">
        <v>856</v>
      </c>
      <c r="I76" t="s">
        <v>1009</v>
      </c>
    </row>
    <row r="77" spans="1:9" x14ac:dyDescent="0.25">
      <c r="A77" t="s">
        <v>145</v>
      </c>
      <c r="B77" t="s">
        <v>146</v>
      </c>
      <c r="C77" t="s">
        <v>2247</v>
      </c>
      <c r="D77" t="s">
        <v>856</v>
      </c>
      <c r="E77" t="s">
        <v>1009</v>
      </c>
      <c r="F77" t="s">
        <v>854</v>
      </c>
      <c r="G77" t="s">
        <v>1008</v>
      </c>
      <c r="H77" t="s">
        <v>2247</v>
      </c>
      <c r="I77" t="s">
        <v>1009</v>
      </c>
    </row>
    <row r="78" spans="1:9" x14ac:dyDescent="0.25">
      <c r="A78" t="s">
        <v>147</v>
      </c>
      <c r="B78" t="s">
        <v>148</v>
      </c>
      <c r="C78" t="s">
        <v>856</v>
      </c>
      <c r="D78" t="s">
        <v>854</v>
      </c>
      <c r="E78" t="s">
        <v>1009</v>
      </c>
      <c r="F78" t="s">
        <v>856</v>
      </c>
      <c r="G78" t="s">
        <v>1009</v>
      </c>
      <c r="H78" t="s">
        <v>856</v>
      </c>
      <c r="I78" t="s">
        <v>1009</v>
      </c>
    </row>
    <row r="79" spans="1:9" x14ac:dyDescent="0.25">
      <c r="A79" t="s">
        <v>149</v>
      </c>
      <c r="B79" t="s">
        <v>150</v>
      </c>
      <c r="C79" t="s">
        <v>856</v>
      </c>
      <c r="D79" t="s">
        <v>854</v>
      </c>
      <c r="E79" t="s">
        <v>1009</v>
      </c>
      <c r="F79" t="s">
        <v>854</v>
      </c>
      <c r="G79" t="s">
        <v>1008</v>
      </c>
      <c r="H79" t="s">
        <v>854</v>
      </c>
      <c r="I79" t="s">
        <v>1008</v>
      </c>
    </row>
    <row r="80" spans="1:9" x14ac:dyDescent="0.25">
      <c r="A80" t="s">
        <v>151</v>
      </c>
      <c r="B80" t="s">
        <v>152</v>
      </c>
      <c r="C80" t="s">
        <v>856</v>
      </c>
      <c r="D80" t="s">
        <v>856</v>
      </c>
      <c r="E80" t="s">
        <v>1009</v>
      </c>
      <c r="F80" t="s">
        <v>854</v>
      </c>
      <c r="G80" t="s">
        <v>1008</v>
      </c>
      <c r="H80" t="s">
        <v>856</v>
      </c>
      <c r="I80" t="s">
        <v>1009</v>
      </c>
    </row>
    <row r="81" spans="1:9" x14ac:dyDescent="0.25">
      <c r="A81" t="s">
        <v>153</v>
      </c>
      <c r="B81" t="s">
        <v>154</v>
      </c>
      <c r="C81" t="s">
        <v>856</v>
      </c>
      <c r="D81" t="s">
        <v>854</v>
      </c>
      <c r="E81" t="s">
        <v>1009</v>
      </c>
      <c r="F81" t="s">
        <v>856</v>
      </c>
      <c r="G81" t="s">
        <v>1009</v>
      </c>
      <c r="H81" t="s">
        <v>856</v>
      </c>
      <c r="I81" t="s">
        <v>1009</v>
      </c>
    </row>
    <row r="82" spans="1:9" x14ac:dyDescent="0.25">
      <c r="A82" t="s">
        <v>155</v>
      </c>
      <c r="B82" t="s">
        <v>156</v>
      </c>
      <c r="C82" t="s">
        <v>856</v>
      </c>
      <c r="D82" t="s">
        <v>854</v>
      </c>
      <c r="E82" t="s">
        <v>1009</v>
      </c>
      <c r="F82" t="s">
        <v>856</v>
      </c>
      <c r="G82" t="s">
        <v>1009</v>
      </c>
      <c r="H82" t="s">
        <v>856</v>
      </c>
      <c r="I82" t="s">
        <v>1009</v>
      </c>
    </row>
    <row r="83" spans="1:9" x14ac:dyDescent="0.25">
      <c r="A83" t="s">
        <v>157</v>
      </c>
      <c r="B83" t="s">
        <v>158</v>
      </c>
      <c r="C83" t="s">
        <v>854</v>
      </c>
      <c r="D83" t="s">
        <v>854</v>
      </c>
      <c r="E83" t="s">
        <v>1009</v>
      </c>
      <c r="F83" t="s">
        <v>854</v>
      </c>
      <c r="G83" t="s">
        <v>1008</v>
      </c>
      <c r="H83" t="s">
        <v>854</v>
      </c>
      <c r="I83" t="s">
        <v>1009</v>
      </c>
    </row>
    <row r="84" spans="1:9" x14ac:dyDescent="0.25">
      <c r="A84" t="s">
        <v>159</v>
      </c>
      <c r="B84" t="s">
        <v>160</v>
      </c>
      <c r="C84" t="s">
        <v>854</v>
      </c>
      <c r="D84" t="s">
        <v>854</v>
      </c>
      <c r="E84" t="s">
        <v>1009</v>
      </c>
      <c r="F84" t="s">
        <v>854</v>
      </c>
      <c r="G84" t="s">
        <v>1008</v>
      </c>
      <c r="H84" t="s">
        <v>856</v>
      </c>
      <c r="I84" t="s">
        <v>1009</v>
      </c>
    </row>
    <row r="85" spans="1:9" x14ac:dyDescent="0.25">
      <c r="A85" t="s">
        <v>161</v>
      </c>
      <c r="B85" t="s">
        <v>162</v>
      </c>
      <c r="C85" t="s">
        <v>854</v>
      </c>
      <c r="D85" t="s">
        <v>854</v>
      </c>
      <c r="E85" t="s">
        <v>1009</v>
      </c>
      <c r="F85" t="s">
        <v>854</v>
      </c>
      <c r="G85" t="s">
        <v>1008</v>
      </c>
      <c r="H85" t="s">
        <v>856</v>
      </c>
      <c r="I85" t="s">
        <v>1009</v>
      </c>
    </row>
    <row r="86" spans="1:9" x14ac:dyDescent="0.25">
      <c r="A86" t="s">
        <v>163</v>
      </c>
      <c r="B86" t="s">
        <v>2318</v>
      </c>
      <c r="C86" t="s">
        <v>856</v>
      </c>
      <c r="D86" t="s">
        <v>856</v>
      </c>
      <c r="E86" t="s">
        <v>1009</v>
      </c>
      <c r="F86" t="s">
        <v>856</v>
      </c>
      <c r="G86" t="s">
        <v>1009</v>
      </c>
      <c r="H86" t="s">
        <v>856</v>
      </c>
      <c r="I86" t="s">
        <v>1009</v>
      </c>
    </row>
    <row r="87" spans="1:9" x14ac:dyDescent="0.25">
      <c r="A87" t="s">
        <v>164</v>
      </c>
      <c r="B87" t="s">
        <v>165</v>
      </c>
      <c r="C87" t="s">
        <v>856</v>
      </c>
      <c r="D87" t="s">
        <v>854</v>
      </c>
      <c r="E87" t="s">
        <v>1009</v>
      </c>
      <c r="F87" t="s">
        <v>854</v>
      </c>
      <c r="G87" t="s">
        <v>1008</v>
      </c>
      <c r="H87" t="s">
        <v>856</v>
      </c>
      <c r="I87" t="s">
        <v>1009</v>
      </c>
    </row>
    <row r="88" spans="1:9" x14ac:dyDescent="0.25">
      <c r="A88" t="s">
        <v>166</v>
      </c>
      <c r="B88" t="s">
        <v>2157</v>
      </c>
      <c r="C88" t="s">
        <v>856</v>
      </c>
      <c r="D88" t="s">
        <v>854</v>
      </c>
      <c r="E88" t="s">
        <v>1009</v>
      </c>
      <c r="F88" t="s">
        <v>854</v>
      </c>
      <c r="G88" t="s">
        <v>1008</v>
      </c>
      <c r="H88" t="s">
        <v>856</v>
      </c>
      <c r="I88" t="s">
        <v>1009</v>
      </c>
    </row>
    <row r="89" spans="1:9" x14ac:dyDescent="0.25">
      <c r="A89" t="s">
        <v>167</v>
      </c>
      <c r="B89" t="s">
        <v>168</v>
      </c>
      <c r="C89" t="s">
        <v>854</v>
      </c>
      <c r="D89" t="s">
        <v>854</v>
      </c>
      <c r="E89" t="s">
        <v>1009</v>
      </c>
      <c r="F89" t="s">
        <v>854</v>
      </c>
      <c r="G89" t="s">
        <v>1008</v>
      </c>
      <c r="H89" t="s">
        <v>856</v>
      </c>
      <c r="I89" t="s">
        <v>1009</v>
      </c>
    </row>
    <row r="90" spans="1:9" x14ac:dyDescent="0.25">
      <c r="A90" t="s">
        <v>169</v>
      </c>
      <c r="B90" t="s">
        <v>170</v>
      </c>
      <c r="C90" t="s">
        <v>854</v>
      </c>
      <c r="D90" t="s">
        <v>854</v>
      </c>
      <c r="E90" t="s">
        <v>1008</v>
      </c>
      <c r="F90" t="s">
        <v>854</v>
      </c>
      <c r="G90" t="s">
        <v>1008</v>
      </c>
      <c r="H90" t="s">
        <v>856</v>
      </c>
      <c r="I90" t="s">
        <v>1009</v>
      </c>
    </row>
    <row r="91" spans="1:9" x14ac:dyDescent="0.25">
      <c r="A91" t="s">
        <v>171</v>
      </c>
      <c r="B91" t="s">
        <v>172</v>
      </c>
      <c r="C91" t="s">
        <v>856</v>
      </c>
      <c r="D91" t="s">
        <v>854</v>
      </c>
      <c r="E91" t="s">
        <v>1008</v>
      </c>
      <c r="F91" t="s">
        <v>854</v>
      </c>
      <c r="G91" t="s">
        <v>1008</v>
      </c>
      <c r="H91" t="s">
        <v>856</v>
      </c>
      <c r="I91" t="s">
        <v>1009</v>
      </c>
    </row>
    <row r="92" spans="1:9" x14ac:dyDescent="0.25">
      <c r="A92" t="s">
        <v>173</v>
      </c>
      <c r="B92" t="s">
        <v>174</v>
      </c>
      <c r="C92" t="s">
        <v>856</v>
      </c>
      <c r="D92" t="s">
        <v>854</v>
      </c>
      <c r="E92" t="s">
        <v>1009</v>
      </c>
      <c r="F92" t="s">
        <v>854</v>
      </c>
      <c r="G92" t="s">
        <v>1008</v>
      </c>
      <c r="H92" t="s">
        <v>856</v>
      </c>
      <c r="I92" t="s">
        <v>1009</v>
      </c>
    </row>
    <row r="93" spans="1:9" x14ac:dyDescent="0.25">
      <c r="A93" t="s">
        <v>175</v>
      </c>
      <c r="B93" t="s">
        <v>176</v>
      </c>
      <c r="C93" t="s">
        <v>856</v>
      </c>
      <c r="D93" t="s">
        <v>854</v>
      </c>
      <c r="E93" t="s">
        <v>1009</v>
      </c>
      <c r="F93" t="s">
        <v>854</v>
      </c>
      <c r="G93" t="s">
        <v>1008</v>
      </c>
      <c r="H93" t="s">
        <v>856</v>
      </c>
      <c r="I93" t="s">
        <v>1009</v>
      </c>
    </row>
    <row r="94" spans="1:9" x14ac:dyDescent="0.25">
      <c r="A94" t="s">
        <v>177</v>
      </c>
      <c r="B94" t="s">
        <v>178</v>
      </c>
      <c r="C94" t="s">
        <v>856</v>
      </c>
      <c r="D94" t="s">
        <v>854</v>
      </c>
      <c r="E94" t="s">
        <v>1009</v>
      </c>
      <c r="F94" t="s">
        <v>854</v>
      </c>
      <c r="G94" t="s">
        <v>1008</v>
      </c>
      <c r="H94" t="s">
        <v>856</v>
      </c>
      <c r="I94" t="s">
        <v>1009</v>
      </c>
    </row>
    <row r="95" spans="1:9" x14ac:dyDescent="0.25">
      <c r="A95" t="s">
        <v>179</v>
      </c>
      <c r="B95" t="s">
        <v>180</v>
      </c>
      <c r="C95" t="s">
        <v>856</v>
      </c>
      <c r="D95" t="s">
        <v>854</v>
      </c>
      <c r="E95" t="s">
        <v>1008</v>
      </c>
      <c r="F95" t="s">
        <v>854</v>
      </c>
      <c r="G95" t="s">
        <v>1008</v>
      </c>
      <c r="H95" t="s">
        <v>854</v>
      </c>
      <c r="I95" t="s">
        <v>1008</v>
      </c>
    </row>
    <row r="96" spans="1:9" x14ac:dyDescent="0.25">
      <c r="A96" t="s">
        <v>181</v>
      </c>
      <c r="B96" t="s">
        <v>182</v>
      </c>
      <c r="C96" t="s">
        <v>854</v>
      </c>
      <c r="D96" t="s">
        <v>854</v>
      </c>
      <c r="E96" t="s">
        <v>1009</v>
      </c>
      <c r="F96" t="s">
        <v>854</v>
      </c>
      <c r="G96" t="s">
        <v>1008</v>
      </c>
      <c r="H96" t="s">
        <v>854</v>
      </c>
      <c r="I96" t="s">
        <v>1009</v>
      </c>
    </row>
    <row r="97" spans="1:9" x14ac:dyDescent="0.25">
      <c r="A97" t="s">
        <v>183</v>
      </c>
      <c r="B97" t="s">
        <v>184</v>
      </c>
      <c r="C97" t="s">
        <v>856</v>
      </c>
      <c r="D97" t="s">
        <v>854</v>
      </c>
      <c r="E97" t="s">
        <v>1009</v>
      </c>
      <c r="F97" t="s">
        <v>854</v>
      </c>
      <c r="G97" t="s">
        <v>1008</v>
      </c>
      <c r="H97" t="s">
        <v>856</v>
      </c>
      <c r="I97" t="s">
        <v>1009</v>
      </c>
    </row>
    <row r="98" spans="1:9" x14ac:dyDescent="0.25">
      <c r="A98" t="s">
        <v>927</v>
      </c>
      <c r="B98" t="s">
        <v>952</v>
      </c>
      <c r="C98" t="s">
        <v>854</v>
      </c>
      <c r="D98" t="s">
        <v>854</v>
      </c>
      <c r="E98" t="s">
        <v>1008</v>
      </c>
      <c r="F98" t="s">
        <v>854</v>
      </c>
      <c r="G98" t="s">
        <v>1008</v>
      </c>
      <c r="H98" t="s">
        <v>854</v>
      </c>
      <c r="I98" t="s">
        <v>1008</v>
      </c>
    </row>
    <row r="99" spans="1:9" x14ac:dyDescent="0.25">
      <c r="A99" t="s">
        <v>928</v>
      </c>
      <c r="B99" t="s">
        <v>953</v>
      </c>
      <c r="C99" t="s">
        <v>856</v>
      </c>
      <c r="D99" t="s">
        <v>854</v>
      </c>
      <c r="E99" t="s">
        <v>1009</v>
      </c>
      <c r="F99" t="s">
        <v>856</v>
      </c>
      <c r="G99" t="s">
        <v>1009</v>
      </c>
      <c r="H99" t="s">
        <v>856</v>
      </c>
      <c r="I99" t="s">
        <v>1009</v>
      </c>
    </row>
    <row r="100" spans="1:9" x14ac:dyDescent="0.25">
      <c r="A100" t="s">
        <v>185</v>
      </c>
      <c r="B100" t="s">
        <v>186</v>
      </c>
      <c r="C100" t="s">
        <v>854</v>
      </c>
      <c r="D100" t="s">
        <v>854</v>
      </c>
      <c r="E100" t="s">
        <v>1009</v>
      </c>
      <c r="F100" t="s">
        <v>856</v>
      </c>
      <c r="G100" t="s">
        <v>1009</v>
      </c>
      <c r="H100" t="s">
        <v>856</v>
      </c>
      <c r="I100" t="s">
        <v>1009</v>
      </c>
    </row>
    <row r="101" spans="1:9" x14ac:dyDescent="0.25">
      <c r="A101" t="s">
        <v>188</v>
      </c>
      <c r="B101" t="s">
        <v>2322</v>
      </c>
      <c r="C101" t="s">
        <v>856</v>
      </c>
      <c r="D101" t="s">
        <v>856</v>
      </c>
      <c r="E101" t="s">
        <v>1009</v>
      </c>
      <c r="F101" t="s">
        <v>856</v>
      </c>
      <c r="G101" t="s">
        <v>1009</v>
      </c>
      <c r="H101" t="s">
        <v>856</v>
      </c>
      <c r="I101" t="s">
        <v>1009</v>
      </c>
    </row>
    <row r="102" spans="1:9" x14ac:dyDescent="0.25">
      <c r="A102" t="s">
        <v>929</v>
      </c>
      <c r="B102" t="s">
        <v>954</v>
      </c>
      <c r="C102" t="s">
        <v>856</v>
      </c>
      <c r="D102" t="s">
        <v>856</v>
      </c>
      <c r="E102" t="s">
        <v>1009</v>
      </c>
      <c r="F102" t="s">
        <v>854</v>
      </c>
      <c r="G102" t="s">
        <v>1008</v>
      </c>
      <c r="H102" t="s">
        <v>856</v>
      </c>
      <c r="I102" t="s">
        <v>1009</v>
      </c>
    </row>
    <row r="103" spans="1:9" x14ac:dyDescent="0.25">
      <c r="A103" t="s">
        <v>189</v>
      </c>
      <c r="B103" t="s">
        <v>190</v>
      </c>
      <c r="C103" t="s">
        <v>854</v>
      </c>
      <c r="D103" t="s">
        <v>854</v>
      </c>
      <c r="E103" t="s">
        <v>1009</v>
      </c>
      <c r="F103" t="s">
        <v>854</v>
      </c>
      <c r="G103" t="s">
        <v>1008</v>
      </c>
      <c r="H103" t="s">
        <v>856</v>
      </c>
      <c r="I103" t="s">
        <v>1009</v>
      </c>
    </row>
    <row r="104" spans="1:9" x14ac:dyDescent="0.25">
      <c r="A104" t="s">
        <v>191</v>
      </c>
      <c r="B104" t="s">
        <v>2323</v>
      </c>
      <c r="C104" t="s">
        <v>856</v>
      </c>
      <c r="D104" t="s">
        <v>856</v>
      </c>
      <c r="E104" t="s">
        <v>1009</v>
      </c>
      <c r="F104" t="s">
        <v>854</v>
      </c>
      <c r="G104" t="s">
        <v>1008</v>
      </c>
      <c r="H104" t="s">
        <v>856</v>
      </c>
      <c r="I104" t="s">
        <v>1009</v>
      </c>
    </row>
    <row r="105" spans="1:9" x14ac:dyDescent="0.25">
      <c r="A105" t="s">
        <v>192</v>
      </c>
      <c r="B105" t="s">
        <v>193</v>
      </c>
      <c r="C105" t="s">
        <v>854</v>
      </c>
      <c r="D105" t="s">
        <v>854</v>
      </c>
      <c r="E105" t="s">
        <v>1009</v>
      </c>
      <c r="F105" t="s">
        <v>854</v>
      </c>
      <c r="G105" t="s">
        <v>1008</v>
      </c>
      <c r="H105" t="s">
        <v>856</v>
      </c>
      <c r="I105" t="s">
        <v>1009</v>
      </c>
    </row>
    <row r="106" spans="1:9" x14ac:dyDescent="0.25">
      <c r="A106" t="s">
        <v>194</v>
      </c>
      <c r="B106" t="s">
        <v>2324</v>
      </c>
      <c r="C106" t="s">
        <v>856</v>
      </c>
      <c r="D106" t="s">
        <v>856</v>
      </c>
      <c r="E106" t="s">
        <v>1009</v>
      </c>
      <c r="F106" t="s">
        <v>854</v>
      </c>
      <c r="G106" t="s">
        <v>1008</v>
      </c>
      <c r="H106" t="s">
        <v>854</v>
      </c>
      <c r="I106" t="s">
        <v>1009</v>
      </c>
    </row>
    <row r="107" spans="1:9" x14ac:dyDescent="0.25">
      <c r="A107" t="s">
        <v>195</v>
      </c>
      <c r="B107" t="s">
        <v>196</v>
      </c>
      <c r="C107" t="s">
        <v>854</v>
      </c>
      <c r="D107" t="s">
        <v>856</v>
      </c>
      <c r="E107" t="s">
        <v>1009</v>
      </c>
      <c r="F107" t="s">
        <v>856</v>
      </c>
      <c r="G107" t="s">
        <v>1009</v>
      </c>
      <c r="H107" t="s">
        <v>856</v>
      </c>
      <c r="I107" t="s">
        <v>1009</v>
      </c>
    </row>
    <row r="108" spans="1:9" x14ac:dyDescent="0.25">
      <c r="A108" t="s">
        <v>197</v>
      </c>
      <c r="B108" t="s">
        <v>198</v>
      </c>
      <c r="C108" t="s">
        <v>856</v>
      </c>
      <c r="D108" t="s">
        <v>856</v>
      </c>
      <c r="E108" t="s">
        <v>1009</v>
      </c>
      <c r="F108" t="s">
        <v>854</v>
      </c>
      <c r="G108" t="s">
        <v>1008</v>
      </c>
      <c r="H108" t="s">
        <v>856</v>
      </c>
      <c r="I108" t="s">
        <v>1009</v>
      </c>
    </row>
    <row r="109" spans="1:9" x14ac:dyDescent="0.25">
      <c r="A109" t="s">
        <v>199</v>
      </c>
      <c r="B109" t="s">
        <v>200</v>
      </c>
      <c r="C109" t="s">
        <v>854</v>
      </c>
      <c r="D109" t="s">
        <v>854</v>
      </c>
      <c r="E109" t="s">
        <v>1009</v>
      </c>
      <c r="F109" t="s">
        <v>854</v>
      </c>
      <c r="G109" t="s">
        <v>1008</v>
      </c>
      <c r="H109" t="s">
        <v>856</v>
      </c>
      <c r="I109" t="s">
        <v>1009</v>
      </c>
    </row>
    <row r="110" spans="1:9" x14ac:dyDescent="0.25">
      <c r="A110" t="s">
        <v>201</v>
      </c>
      <c r="B110" t="s">
        <v>2325</v>
      </c>
      <c r="C110" t="s">
        <v>856</v>
      </c>
      <c r="D110" t="s">
        <v>856</v>
      </c>
      <c r="E110" t="s">
        <v>1009</v>
      </c>
      <c r="F110" t="s">
        <v>856</v>
      </c>
      <c r="G110" t="s">
        <v>1009</v>
      </c>
      <c r="H110" t="s">
        <v>856</v>
      </c>
      <c r="I110" t="s">
        <v>1009</v>
      </c>
    </row>
    <row r="111" spans="1:9" x14ac:dyDescent="0.25">
      <c r="A111" t="s">
        <v>202</v>
      </c>
      <c r="B111" t="s">
        <v>203</v>
      </c>
      <c r="C111" t="s">
        <v>856</v>
      </c>
      <c r="D111" t="s">
        <v>856</v>
      </c>
      <c r="E111" t="s">
        <v>1009</v>
      </c>
      <c r="F111" t="s">
        <v>854</v>
      </c>
      <c r="G111" t="s">
        <v>1008</v>
      </c>
      <c r="H111" t="s">
        <v>856</v>
      </c>
      <c r="I111" t="s">
        <v>1009</v>
      </c>
    </row>
    <row r="112" spans="1:9" x14ac:dyDescent="0.25">
      <c r="A112" t="s">
        <v>204</v>
      </c>
      <c r="B112" t="s">
        <v>2326</v>
      </c>
      <c r="C112" t="s">
        <v>856</v>
      </c>
      <c r="D112" t="s">
        <v>856</v>
      </c>
      <c r="E112" t="s">
        <v>1009</v>
      </c>
      <c r="F112" t="s">
        <v>856</v>
      </c>
      <c r="G112" t="s">
        <v>1009</v>
      </c>
      <c r="H112" t="s">
        <v>856</v>
      </c>
      <c r="I112" t="s">
        <v>1009</v>
      </c>
    </row>
    <row r="113" spans="1:9" x14ac:dyDescent="0.25">
      <c r="A113" t="s">
        <v>205</v>
      </c>
      <c r="B113" t="s">
        <v>2327</v>
      </c>
      <c r="C113" t="s">
        <v>856</v>
      </c>
      <c r="D113" t="s">
        <v>856</v>
      </c>
      <c r="E113" t="s">
        <v>1009</v>
      </c>
      <c r="F113" t="s">
        <v>854</v>
      </c>
      <c r="G113" t="s">
        <v>1008</v>
      </c>
      <c r="H113" t="s">
        <v>856</v>
      </c>
      <c r="I113" t="s">
        <v>1009</v>
      </c>
    </row>
    <row r="114" spans="1:9" x14ac:dyDescent="0.25">
      <c r="A114" t="s">
        <v>206</v>
      </c>
      <c r="B114" t="s">
        <v>2328</v>
      </c>
      <c r="C114" t="s">
        <v>856</v>
      </c>
      <c r="D114" t="s">
        <v>856</v>
      </c>
      <c r="E114" t="s">
        <v>1009</v>
      </c>
      <c r="F114" t="s">
        <v>856</v>
      </c>
      <c r="G114" t="s">
        <v>1009</v>
      </c>
      <c r="H114" t="s">
        <v>856</v>
      </c>
      <c r="I114" t="s">
        <v>1009</v>
      </c>
    </row>
    <row r="115" spans="1:9" x14ac:dyDescent="0.25">
      <c r="A115" t="s">
        <v>207</v>
      </c>
      <c r="B115" t="s">
        <v>2329</v>
      </c>
      <c r="C115" t="s">
        <v>856</v>
      </c>
      <c r="D115" t="s">
        <v>856</v>
      </c>
      <c r="E115" t="s">
        <v>1009</v>
      </c>
      <c r="F115" t="s">
        <v>856</v>
      </c>
      <c r="G115" t="s">
        <v>1009</v>
      </c>
      <c r="H115" t="s">
        <v>856</v>
      </c>
      <c r="I115" t="s">
        <v>1009</v>
      </c>
    </row>
    <row r="116" spans="1:9" x14ac:dyDescent="0.25">
      <c r="A116" t="s">
        <v>208</v>
      </c>
      <c r="B116" t="s">
        <v>209</v>
      </c>
      <c r="C116" t="s">
        <v>856</v>
      </c>
      <c r="D116" t="s">
        <v>854</v>
      </c>
      <c r="E116" t="s">
        <v>1008</v>
      </c>
      <c r="F116" t="s">
        <v>854</v>
      </c>
      <c r="G116" t="s">
        <v>1008</v>
      </c>
      <c r="H116" t="s">
        <v>854</v>
      </c>
      <c r="I116" t="s">
        <v>1008</v>
      </c>
    </row>
    <row r="117" spans="1:9" x14ac:dyDescent="0.25">
      <c r="A117" t="s">
        <v>210</v>
      </c>
      <c r="B117" t="s">
        <v>211</v>
      </c>
      <c r="C117" t="s">
        <v>856</v>
      </c>
      <c r="D117" t="s">
        <v>856</v>
      </c>
      <c r="E117" t="s">
        <v>1009</v>
      </c>
      <c r="F117" t="s">
        <v>854</v>
      </c>
      <c r="G117" t="s">
        <v>1008</v>
      </c>
      <c r="H117" t="s">
        <v>856</v>
      </c>
      <c r="I117" t="s">
        <v>1009</v>
      </c>
    </row>
    <row r="118" spans="1:9" x14ac:dyDescent="0.25">
      <c r="A118" t="s">
        <v>212</v>
      </c>
      <c r="B118" t="s">
        <v>213</v>
      </c>
      <c r="C118" t="s">
        <v>854</v>
      </c>
      <c r="D118" t="s">
        <v>854</v>
      </c>
      <c r="E118" t="s">
        <v>1009</v>
      </c>
      <c r="F118" t="s">
        <v>856</v>
      </c>
      <c r="G118" t="s">
        <v>1009</v>
      </c>
      <c r="H118" t="s">
        <v>856</v>
      </c>
      <c r="I118" t="s">
        <v>1009</v>
      </c>
    </row>
    <row r="119" spans="1:9" x14ac:dyDescent="0.25">
      <c r="A119" t="s">
        <v>214</v>
      </c>
      <c r="B119" t="s">
        <v>2330</v>
      </c>
      <c r="C119" t="s">
        <v>856</v>
      </c>
      <c r="D119" t="s">
        <v>856</v>
      </c>
      <c r="E119" t="s">
        <v>1009</v>
      </c>
      <c r="F119" t="s">
        <v>856</v>
      </c>
      <c r="G119" t="s">
        <v>1009</v>
      </c>
      <c r="H119" t="s">
        <v>856</v>
      </c>
      <c r="I119" t="s">
        <v>1009</v>
      </c>
    </row>
    <row r="120" spans="1:9" x14ac:dyDescent="0.25">
      <c r="A120" t="s">
        <v>215</v>
      </c>
      <c r="B120" t="s">
        <v>216</v>
      </c>
      <c r="C120" t="s">
        <v>854</v>
      </c>
      <c r="D120" t="s">
        <v>854</v>
      </c>
      <c r="E120" t="s">
        <v>1008</v>
      </c>
      <c r="F120" t="s">
        <v>854</v>
      </c>
      <c r="G120" t="s">
        <v>1008</v>
      </c>
      <c r="H120" t="s">
        <v>854</v>
      </c>
      <c r="I120" t="s">
        <v>1008</v>
      </c>
    </row>
    <row r="121" spans="1:9" x14ac:dyDescent="0.25">
      <c r="A121" t="s">
        <v>217</v>
      </c>
      <c r="B121" t="s">
        <v>218</v>
      </c>
      <c r="C121" t="s">
        <v>854</v>
      </c>
      <c r="D121" t="s">
        <v>856</v>
      </c>
      <c r="E121" t="s">
        <v>1009</v>
      </c>
      <c r="F121" t="s">
        <v>856</v>
      </c>
      <c r="G121" t="s">
        <v>1009</v>
      </c>
      <c r="H121" t="s">
        <v>856</v>
      </c>
      <c r="I121" t="s">
        <v>1009</v>
      </c>
    </row>
    <row r="122" spans="1:9" x14ac:dyDescent="0.25">
      <c r="A122" t="s">
        <v>219</v>
      </c>
      <c r="B122" t="s">
        <v>220</v>
      </c>
      <c r="C122" t="s">
        <v>854</v>
      </c>
      <c r="D122" t="s">
        <v>854</v>
      </c>
      <c r="E122" t="s">
        <v>1009</v>
      </c>
      <c r="F122" t="s">
        <v>856</v>
      </c>
      <c r="G122" t="s">
        <v>1009</v>
      </c>
      <c r="H122" t="s">
        <v>856</v>
      </c>
      <c r="I122" t="s">
        <v>1009</v>
      </c>
    </row>
    <row r="123" spans="1:9" x14ac:dyDescent="0.25">
      <c r="A123" t="s">
        <v>221</v>
      </c>
      <c r="B123" t="s">
        <v>222</v>
      </c>
      <c r="C123" t="s">
        <v>854</v>
      </c>
      <c r="D123" t="s">
        <v>854</v>
      </c>
      <c r="E123" t="s">
        <v>1009</v>
      </c>
      <c r="F123" t="s">
        <v>854</v>
      </c>
      <c r="G123" t="s">
        <v>1008</v>
      </c>
      <c r="H123" t="s">
        <v>854</v>
      </c>
      <c r="I123" t="s">
        <v>1009</v>
      </c>
    </row>
    <row r="124" spans="1:9" x14ac:dyDescent="0.25">
      <c r="A124" t="s">
        <v>223</v>
      </c>
      <c r="B124" t="s">
        <v>224</v>
      </c>
      <c r="C124" t="s">
        <v>854</v>
      </c>
      <c r="D124" t="s">
        <v>854</v>
      </c>
      <c r="E124" t="s">
        <v>1009</v>
      </c>
      <c r="F124" t="s">
        <v>856</v>
      </c>
      <c r="G124" t="s">
        <v>1009</v>
      </c>
      <c r="H124" t="s">
        <v>856</v>
      </c>
      <c r="I124" t="s">
        <v>1009</v>
      </c>
    </row>
    <row r="125" spans="1:9" x14ac:dyDescent="0.25">
      <c r="A125" t="s">
        <v>225</v>
      </c>
      <c r="B125" t="s">
        <v>226</v>
      </c>
      <c r="C125" t="s">
        <v>854</v>
      </c>
      <c r="D125" t="s">
        <v>854</v>
      </c>
      <c r="E125" t="s">
        <v>1008</v>
      </c>
      <c r="F125" t="s">
        <v>854</v>
      </c>
      <c r="G125" t="s">
        <v>1008</v>
      </c>
      <c r="H125" t="s">
        <v>856</v>
      </c>
      <c r="I125" t="s">
        <v>1009</v>
      </c>
    </row>
    <row r="126" spans="1:9" x14ac:dyDescent="0.25">
      <c r="A126" t="s">
        <v>227</v>
      </c>
      <c r="B126" t="s">
        <v>2331</v>
      </c>
      <c r="C126" t="s">
        <v>856</v>
      </c>
      <c r="D126" t="s">
        <v>856</v>
      </c>
      <c r="E126" t="s">
        <v>1009</v>
      </c>
      <c r="F126" t="s">
        <v>854</v>
      </c>
      <c r="G126" t="s">
        <v>1008</v>
      </c>
      <c r="H126" t="s">
        <v>856</v>
      </c>
      <c r="I126" t="s">
        <v>1009</v>
      </c>
    </row>
    <row r="127" spans="1:9" x14ac:dyDescent="0.25">
      <c r="A127" t="s">
        <v>228</v>
      </c>
      <c r="B127" t="s">
        <v>2332</v>
      </c>
      <c r="C127" t="s">
        <v>854</v>
      </c>
      <c r="D127" t="s">
        <v>854</v>
      </c>
      <c r="E127" t="s">
        <v>1009</v>
      </c>
      <c r="F127" t="s">
        <v>856</v>
      </c>
      <c r="G127" t="s">
        <v>1009</v>
      </c>
      <c r="H127" t="s">
        <v>856</v>
      </c>
      <c r="I127" t="s">
        <v>1009</v>
      </c>
    </row>
    <row r="128" spans="1:9" x14ac:dyDescent="0.25">
      <c r="A128" t="s">
        <v>229</v>
      </c>
      <c r="B128" t="s">
        <v>230</v>
      </c>
      <c r="C128" t="s">
        <v>918</v>
      </c>
      <c r="D128" t="s">
        <v>854</v>
      </c>
      <c r="E128" t="s">
        <v>1009</v>
      </c>
      <c r="F128" t="s">
        <v>854</v>
      </c>
      <c r="G128" t="s">
        <v>1008</v>
      </c>
      <c r="H128" t="s">
        <v>856</v>
      </c>
      <c r="I128" t="s">
        <v>1009</v>
      </c>
    </row>
    <row r="129" spans="1:9" x14ac:dyDescent="0.25">
      <c r="A129" t="s">
        <v>231</v>
      </c>
      <c r="B129" t="s">
        <v>2333</v>
      </c>
      <c r="C129" t="s">
        <v>856</v>
      </c>
      <c r="D129" t="s">
        <v>856</v>
      </c>
      <c r="E129" t="s">
        <v>1009</v>
      </c>
      <c r="F129" t="s">
        <v>856</v>
      </c>
      <c r="G129" t="s">
        <v>1009</v>
      </c>
      <c r="H129" t="s">
        <v>856</v>
      </c>
      <c r="I129" t="s">
        <v>1009</v>
      </c>
    </row>
    <row r="130" spans="1:9" x14ac:dyDescent="0.25">
      <c r="A130" t="s">
        <v>232</v>
      </c>
      <c r="B130" t="s">
        <v>2334</v>
      </c>
      <c r="C130" t="s">
        <v>856</v>
      </c>
      <c r="D130" t="s">
        <v>856</v>
      </c>
      <c r="E130" t="s">
        <v>1009</v>
      </c>
      <c r="F130" t="s">
        <v>854</v>
      </c>
      <c r="G130" t="s">
        <v>1008</v>
      </c>
      <c r="H130" t="s">
        <v>856</v>
      </c>
      <c r="I130" t="s">
        <v>1009</v>
      </c>
    </row>
    <row r="131" spans="1:9" x14ac:dyDescent="0.25">
      <c r="A131" t="s">
        <v>233</v>
      </c>
      <c r="B131" t="s">
        <v>234</v>
      </c>
      <c r="C131" t="s">
        <v>854</v>
      </c>
      <c r="D131" t="s">
        <v>854</v>
      </c>
      <c r="E131" t="s">
        <v>1008</v>
      </c>
      <c r="F131" t="s">
        <v>854</v>
      </c>
      <c r="G131" t="s">
        <v>1008</v>
      </c>
      <c r="H131" t="s">
        <v>854</v>
      </c>
      <c r="I131" t="s">
        <v>1008</v>
      </c>
    </row>
    <row r="132" spans="1:9" x14ac:dyDescent="0.25">
      <c r="A132" t="s">
        <v>235</v>
      </c>
      <c r="B132" t="s">
        <v>2335</v>
      </c>
      <c r="C132" t="s">
        <v>856</v>
      </c>
      <c r="D132" t="s">
        <v>856</v>
      </c>
      <c r="E132" t="s">
        <v>1009</v>
      </c>
      <c r="F132" t="s">
        <v>856</v>
      </c>
      <c r="G132" t="s">
        <v>1009</v>
      </c>
      <c r="H132" t="s">
        <v>856</v>
      </c>
      <c r="I132" t="s">
        <v>1009</v>
      </c>
    </row>
    <row r="133" spans="1:9" x14ac:dyDescent="0.25">
      <c r="A133" t="s">
        <v>236</v>
      </c>
      <c r="B133" t="s">
        <v>237</v>
      </c>
      <c r="C133" t="s">
        <v>854</v>
      </c>
      <c r="D133" t="s">
        <v>854</v>
      </c>
      <c r="E133" t="s">
        <v>1008</v>
      </c>
      <c r="F133" t="s">
        <v>854</v>
      </c>
      <c r="G133" t="s">
        <v>1008</v>
      </c>
      <c r="H133" t="s">
        <v>854</v>
      </c>
      <c r="I133" t="s">
        <v>1009</v>
      </c>
    </row>
    <row r="134" spans="1:9" x14ac:dyDescent="0.25">
      <c r="A134" t="s">
        <v>239</v>
      </c>
      <c r="B134" t="s">
        <v>240</v>
      </c>
      <c r="C134" t="s">
        <v>2247</v>
      </c>
      <c r="D134" t="s">
        <v>856</v>
      </c>
      <c r="E134" t="s">
        <v>1009</v>
      </c>
      <c r="F134" t="s">
        <v>856</v>
      </c>
      <c r="G134" t="s">
        <v>1009</v>
      </c>
      <c r="H134" t="s">
        <v>856</v>
      </c>
      <c r="I134" t="s">
        <v>1009</v>
      </c>
    </row>
    <row r="135" spans="1:9" x14ac:dyDescent="0.25">
      <c r="A135" t="s">
        <v>241</v>
      </c>
      <c r="B135" t="s">
        <v>242</v>
      </c>
      <c r="C135" t="s">
        <v>854</v>
      </c>
      <c r="D135" t="s">
        <v>854</v>
      </c>
      <c r="E135" t="s">
        <v>1009</v>
      </c>
      <c r="F135" t="s">
        <v>854</v>
      </c>
      <c r="G135" t="s">
        <v>1008</v>
      </c>
      <c r="H135" t="s">
        <v>856</v>
      </c>
      <c r="I135" t="s">
        <v>1009</v>
      </c>
    </row>
    <row r="136" spans="1:9" x14ac:dyDescent="0.25">
      <c r="A136" t="s">
        <v>243</v>
      </c>
      <c r="B136" t="s">
        <v>1230</v>
      </c>
      <c r="C136" t="s">
        <v>854</v>
      </c>
      <c r="D136" t="s">
        <v>854</v>
      </c>
      <c r="E136" t="s">
        <v>1008</v>
      </c>
      <c r="F136" t="s">
        <v>854</v>
      </c>
      <c r="G136" t="s">
        <v>1008</v>
      </c>
      <c r="H136" t="s">
        <v>854</v>
      </c>
      <c r="I136" t="s">
        <v>1009</v>
      </c>
    </row>
    <row r="137" spans="1:9" x14ac:dyDescent="0.25">
      <c r="A137" t="s">
        <v>244</v>
      </c>
      <c r="B137" t="s">
        <v>1232</v>
      </c>
      <c r="C137" t="s">
        <v>854</v>
      </c>
      <c r="D137" t="s">
        <v>854</v>
      </c>
      <c r="E137" t="s">
        <v>1009</v>
      </c>
      <c r="F137" t="s">
        <v>854</v>
      </c>
      <c r="G137" t="s">
        <v>1008</v>
      </c>
      <c r="H137" t="s">
        <v>856</v>
      </c>
      <c r="I137" t="s">
        <v>1009</v>
      </c>
    </row>
    <row r="138" spans="1:9" x14ac:dyDescent="0.25">
      <c r="A138" t="s">
        <v>245</v>
      </c>
      <c r="B138" t="s">
        <v>246</v>
      </c>
      <c r="C138" t="s">
        <v>854</v>
      </c>
      <c r="D138" t="s">
        <v>854</v>
      </c>
      <c r="E138" t="s">
        <v>1009</v>
      </c>
      <c r="F138" t="s">
        <v>854</v>
      </c>
      <c r="G138" t="s">
        <v>1008</v>
      </c>
      <c r="H138" t="s">
        <v>854</v>
      </c>
      <c r="I138" t="s">
        <v>1008</v>
      </c>
    </row>
    <row r="139" spans="1:9" x14ac:dyDescent="0.25">
      <c r="A139" t="s">
        <v>247</v>
      </c>
      <c r="B139" t="s">
        <v>248</v>
      </c>
      <c r="C139" t="s">
        <v>854</v>
      </c>
      <c r="D139" t="s">
        <v>854</v>
      </c>
      <c r="E139" t="s">
        <v>1009</v>
      </c>
      <c r="F139" t="s">
        <v>854</v>
      </c>
      <c r="G139" t="s">
        <v>1008</v>
      </c>
      <c r="H139" t="s">
        <v>854</v>
      </c>
      <c r="I139" t="s">
        <v>1008</v>
      </c>
    </row>
    <row r="140" spans="1:9" x14ac:dyDescent="0.25">
      <c r="A140" t="s">
        <v>249</v>
      </c>
      <c r="B140" t="s">
        <v>1236</v>
      </c>
      <c r="C140" t="s">
        <v>854</v>
      </c>
      <c r="D140" t="s">
        <v>854</v>
      </c>
      <c r="E140" t="s">
        <v>1008</v>
      </c>
      <c r="F140" t="s">
        <v>854</v>
      </c>
      <c r="G140" t="s">
        <v>1008</v>
      </c>
      <c r="H140" t="s">
        <v>854</v>
      </c>
      <c r="I140" t="s">
        <v>1008</v>
      </c>
    </row>
    <row r="141" spans="1:9" x14ac:dyDescent="0.25">
      <c r="A141" t="s">
        <v>250</v>
      </c>
      <c r="B141" t="s">
        <v>251</v>
      </c>
      <c r="C141" t="s">
        <v>854</v>
      </c>
      <c r="D141" t="s">
        <v>854</v>
      </c>
      <c r="E141" t="s">
        <v>1009</v>
      </c>
      <c r="F141" t="s">
        <v>854</v>
      </c>
      <c r="G141" t="s">
        <v>1008</v>
      </c>
      <c r="H141" t="s">
        <v>854</v>
      </c>
      <c r="I141" t="s">
        <v>1009</v>
      </c>
    </row>
    <row r="142" spans="1:9" x14ac:dyDescent="0.25">
      <c r="A142" t="s">
        <v>252</v>
      </c>
      <c r="B142" t="s">
        <v>253</v>
      </c>
      <c r="C142" t="s">
        <v>854</v>
      </c>
      <c r="D142" t="s">
        <v>854</v>
      </c>
      <c r="E142" t="s">
        <v>1009</v>
      </c>
      <c r="F142" t="s">
        <v>854</v>
      </c>
      <c r="G142" t="s">
        <v>1008</v>
      </c>
      <c r="H142" t="s">
        <v>856</v>
      </c>
      <c r="I142" t="s">
        <v>1009</v>
      </c>
    </row>
    <row r="143" spans="1:9" x14ac:dyDescent="0.25">
      <c r="A143" t="s">
        <v>254</v>
      </c>
      <c r="B143" t="s">
        <v>255</v>
      </c>
      <c r="C143" t="s">
        <v>856</v>
      </c>
      <c r="D143" t="s">
        <v>854</v>
      </c>
      <c r="E143" t="s">
        <v>1009</v>
      </c>
      <c r="F143" t="s">
        <v>854</v>
      </c>
      <c r="G143" t="s">
        <v>1008</v>
      </c>
      <c r="H143" t="s">
        <v>856</v>
      </c>
      <c r="I143" t="s">
        <v>1009</v>
      </c>
    </row>
    <row r="144" spans="1:9" x14ac:dyDescent="0.25">
      <c r="A144" t="s">
        <v>256</v>
      </c>
      <c r="B144" t="s">
        <v>257</v>
      </c>
      <c r="C144" t="s">
        <v>2247</v>
      </c>
      <c r="D144" t="s">
        <v>856</v>
      </c>
      <c r="E144" t="s">
        <v>1009</v>
      </c>
      <c r="F144" t="s">
        <v>854</v>
      </c>
      <c r="G144" t="s">
        <v>1008</v>
      </c>
      <c r="H144" t="s">
        <v>2247</v>
      </c>
      <c r="I144" t="s">
        <v>1009</v>
      </c>
    </row>
    <row r="145" spans="1:9" x14ac:dyDescent="0.25">
      <c r="A145" t="s">
        <v>258</v>
      </c>
      <c r="B145" t="s">
        <v>259</v>
      </c>
      <c r="C145" t="s">
        <v>2247</v>
      </c>
      <c r="D145" t="s">
        <v>856</v>
      </c>
      <c r="E145" t="s">
        <v>1009</v>
      </c>
      <c r="F145" t="s">
        <v>854</v>
      </c>
      <c r="G145" t="s">
        <v>1008</v>
      </c>
      <c r="H145" t="s">
        <v>2247</v>
      </c>
      <c r="I145" t="s">
        <v>1009</v>
      </c>
    </row>
    <row r="146" spans="1:9" x14ac:dyDescent="0.25">
      <c r="A146" t="s">
        <v>260</v>
      </c>
      <c r="B146" t="s">
        <v>261</v>
      </c>
      <c r="C146" t="s">
        <v>2247</v>
      </c>
      <c r="D146" t="s">
        <v>856</v>
      </c>
      <c r="E146" t="s">
        <v>1009</v>
      </c>
      <c r="F146" t="s">
        <v>854</v>
      </c>
      <c r="G146" t="s">
        <v>1008</v>
      </c>
      <c r="H146" t="s">
        <v>2247</v>
      </c>
      <c r="I146" t="s">
        <v>1009</v>
      </c>
    </row>
    <row r="147" spans="1:9" x14ac:dyDescent="0.25">
      <c r="A147" t="s">
        <v>262</v>
      </c>
      <c r="B147" t="s">
        <v>263</v>
      </c>
      <c r="C147" t="s">
        <v>856</v>
      </c>
      <c r="D147" t="s">
        <v>854</v>
      </c>
      <c r="E147" t="s">
        <v>1009</v>
      </c>
      <c r="F147" t="s">
        <v>854</v>
      </c>
      <c r="G147" t="s">
        <v>1008</v>
      </c>
      <c r="H147" t="s">
        <v>854</v>
      </c>
      <c r="I147" t="s">
        <v>1009</v>
      </c>
    </row>
    <row r="148" spans="1:9" x14ac:dyDescent="0.25">
      <c r="A148" t="s">
        <v>264</v>
      </c>
      <c r="B148" t="s">
        <v>265</v>
      </c>
      <c r="C148" t="s">
        <v>2247</v>
      </c>
      <c r="D148" t="s">
        <v>856</v>
      </c>
      <c r="E148" t="s">
        <v>1009</v>
      </c>
      <c r="F148" t="s">
        <v>854</v>
      </c>
      <c r="G148" t="s">
        <v>1008</v>
      </c>
      <c r="H148" t="s">
        <v>2247</v>
      </c>
      <c r="I148" t="s">
        <v>1009</v>
      </c>
    </row>
    <row r="149" spans="1:9" x14ac:dyDescent="0.25">
      <c r="A149" t="s">
        <v>266</v>
      </c>
      <c r="B149" t="s">
        <v>2337</v>
      </c>
      <c r="C149" t="s">
        <v>856</v>
      </c>
      <c r="D149" t="s">
        <v>856</v>
      </c>
      <c r="E149" t="s">
        <v>1009</v>
      </c>
      <c r="F149" t="s">
        <v>856</v>
      </c>
      <c r="G149" t="s">
        <v>1009</v>
      </c>
      <c r="H149" t="s">
        <v>856</v>
      </c>
      <c r="I149" t="s">
        <v>1009</v>
      </c>
    </row>
    <row r="150" spans="1:9" x14ac:dyDescent="0.25">
      <c r="A150" t="s">
        <v>267</v>
      </c>
      <c r="B150" t="s">
        <v>268</v>
      </c>
      <c r="C150" t="s">
        <v>918</v>
      </c>
      <c r="D150" t="s">
        <v>854</v>
      </c>
      <c r="E150" t="s">
        <v>1009</v>
      </c>
      <c r="F150" t="s">
        <v>854</v>
      </c>
      <c r="G150" t="s">
        <v>1008</v>
      </c>
      <c r="H150" t="s">
        <v>856</v>
      </c>
      <c r="I150" t="s">
        <v>1009</v>
      </c>
    </row>
    <row r="151" spans="1:9" x14ac:dyDescent="0.25">
      <c r="A151" t="s">
        <v>269</v>
      </c>
      <c r="B151" t="s">
        <v>2430</v>
      </c>
      <c r="C151" t="s">
        <v>854</v>
      </c>
      <c r="D151" t="s">
        <v>854</v>
      </c>
      <c r="E151" t="s">
        <v>1009</v>
      </c>
      <c r="F151" t="s">
        <v>854</v>
      </c>
      <c r="G151" t="s">
        <v>1008</v>
      </c>
      <c r="H151" t="s">
        <v>854</v>
      </c>
      <c r="I151" t="s">
        <v>1008</v>
      </c>
    </row>
    <row r="152" spans="1:9" x14ac:dyDescent="0.25">
      <c r="A152" t="s">
        <v>270</v>
      </c>
      <c r="B152" t="s">
        <v>271</v>
      </c>
      <c r="C152" t="s">
        <v>856</v>
      </c>
      <c r="D152" t="s">
        <v>856</v>
      </c>
      <c r="E152" t="s">
        <v>1009</v>
      </c>
      <c r="F152" t="s">
        <v>854</v>
      </c>
      <c r="G152" t="s">
        <v>1008</v>
      </c>
      <c r="H152" t="s">
        <v>856</v>
      </c>
      <c r="I152" t="s">
        <v>1009</v>
      </c>
    </row>
    <row r="153" spans="1:9" x14ac:dyDescent="0.25">
      <c r="A153" t="s">
        <v>272</v>
      </c>
      <c r="B153" t="s">
        <v>273</v>
      </c>
      <c r="C153" t="s">
        <v>854</v>
      </c>
      <c r="D153" t="s">
        <v>856</v>
      </c>
      <c r="E153" t="s">
        <v>1009</v>
      </c>
      <c r="F153" t="s">
        <v>854</v>
      </c>
      <c r="G153" t="s">
        <v>1008</v>
      </c>
      <c r="H153" t="s">
        <v>856</v>
      </c>
      <c r="I153" t="s">
        <v>1009</v>
      </c>
    </row>
    <row r="154" spans="1:9" x14ac:dyDescent="0.25">
      <c r="A154" t="s">
        <v>274</v>
      </c>
      <c r="B154" t="s">
        <v>275</v>
      </c>
      <c r="C154" t="s">
        <v>854</v>
      </c>
      <c r="D154" t="s">
        <v>856</v>
      </c>
      <c r="E154" t="s">
        <v>1009</v>
      </c>
      <c r="F154" t="s">
        <v>854</v>
      </c>
      <c r="G154" t="s">
        <v>1008</v>
      </c>
      <c r="H154" t="s">
        <v>856</v>
      </c>
      <c r="I154" t="s">
        <v>1009</v>
      </c>
    </row>
    <row r="155" spans="1:9" x14ac:dyDescent="0.25">
      <c r="A155" t="s">
        <v>276</v>
      </c>
      <c r="B155" t="s">
        <v>277</v>
      </c>
      <c r="C155" t="s">
        <v>2247</v>
      </c>
      <c r="D155" t="s">
        <v>856</v>
      </c>
      <c r="E155" t="s">
        <v>1009</v>
      </c>
      <c r="F155" t="s">
        <v>854</v>
      </c>
      <c r="G155" t="s">
        <v>1008</v>
      </c>
      <c r="H155" t="s">
        <v>2247</v>
      </c>
      <c r="I155" t="s">
        <v>1009</v>
      </c>
    </row>
    <row r="156" spans="1:9" x14ac:dyDescent="0.25">
      <c r="A156" t="s">
        <v>278</v>
      </c>
      <c r="B156" t="s">
        <v>279</v>
      </c>
      <c r="C156" t="s">
        <v>2247</v>
      </c>
      <c r="D156" t="s">
        <v>856</v>
      </c>
      <c r="E156" t="s">
        <v>1009</v>
      </c>
      <c r="F156" t="s">
        <v>854</v>
      </c>
      <c r="G156" t="s">
        <v>1008</v>
      </c>
      <c r="H156" t="s">
        <v>2247</v>
      </c>
      <c r="I156" t="s">
        <v>1009</v>
      </c>
    </row>
    <row r="157" spans="1:9" x14ac:dyDescent="0.25">
      <c r="A157" t="s">
        <v>280</v>
      </c>
      <c r="B157" t="s">
        <v>281</v>
      </c>
      <c r="C157" t="s">
        <v>854</v>
      </c>
      <c r="D157" t="s">
        <v>854</v>
      </c>
      <c r="E157" t="s">
        <v>1008</v>
      </c>
      <c r="F157" t="s">
        <v>854</v>
      </c>
      <c r="G157" t="s">
        <v>1008</v>
      </c>
      <c r="H157" t="s">
        <v>854</v>
      </c>
      <c r="I157" t="s">
        <v>1009</v>
      </c>
    </row>
    <row r="158" spans="1:9" x14ac:dyDescent="0.25">
      <c r="A158" t="s">
        <v>282</v>
      </c>
      <c r="B158" t="s">
        <v>283</v>
      </c>
      <c r="C158" t="s">
        <v>854</v>
      </c>
      <c r="D158" t="s">
        <v>856</v>
      </c>
      <c r="E158" t="s">
        <v>1009</v>
      </c>
      <c r="F158" t="s">
        <v>854</v>
      </c>
      <c r="G158" t="s">
        <v>1008</v>
      </c>
      <c r="H158" t="s">
        <v>854</v>
      </c>
      <c r="I158" t="s">
        <v>1008</v>
      </c>
    </row>
    <row r="159" spans="1:9" x14ac:dyDescent="0.25">
      <c r="A159" t="s">
        <v>284</v>
      </c>
      <c r="B159" t="s">
        <v>285</v>
      </c>
      <c r="C159" t="s">
        <v>854</v>
      </c>
      <c r="D159" t="s">
        <v>854</v>
      </c>
      <c r="E159" t="s">
        <v>1009</v>
      </c>
      <c r="F159" t="s">
        <v>854</v>
      </c>
      <c r="G159" t="s">
        <v>1008</v>
      </c>
      <c r="H159" t="s">
        <v>854</v>
      </c>
      <c r="I159" t="s">
        <v>1008</v>
      </c>
    </row>
    <row r="160" spans="1:9" x14ac:dyDescent="0.25">
      <c r="A160" t="s">
        <v>286</v>
      </c>
      <c r="B160" t="s">
        <v>287</v>
      </c>
      <c r="C160" t="s">
        <v>856</v>
      </c>
      <c r="D160" t="s">
        <v>854</v>
      </c>
      <c r="E160" t="s">
        <v>1009</v>
      </c>
      <c r="F160" t="s">
        <v>854</v>
      </c>
      <c r="G160" t="s">
        <v>1008</v>
      </c>
      <c r="H160" t="s">
        <v>856</v>
      </c>
      <c r="I160" t="s">
        <v>1009</v>
      </c>
    </row>
    <row r="161" spans="1:9" x14ac:dyDescent="0.25">
      <c r="A161" t="s">
        <v>288</v>
      </c>
      <c r="B161" t="s">
        <v>289</v>
      </c>
      <c r="C161" t="s">
        <v>854</v>
      </c>
      <c r="D161" t="s">
        <v>854</v>
      </c>
      <c r="E161" t="s">
        <v>1009</v>
      </c>
      <c r="F161" t="s">
        <v>856</v>
      </c>
      <c r="G161" t="s">
        <v>1009</v>
      </c>
      <c r="H161" t="s">
        <v>856</v>
      </c>
      <c r="I161" t="s">
        <v>1009</v>
      </c>
    </row>
    <row r="162" spans="1:9" x14ac:dyDescent="0.25">
      <c r="A162" t="s">
        <v>290</v>
      </c>
      <c r="B162" t="s">
        <v>2338</v>
      </c>
      <c r="C162" t="s">
        <v>856</v>
      </c>
      <c r="D162" t="s">
        <v>856</v>
      </c>
      <c r="E162" t="s">
        <v>1009</v>
      </c>
      <c r="F162" t="s">
        <v>854</v>
      </c>
      <c r="G162" t="s">
        <v>1008</v>
      </c>
      <c r="H162" t="s">
        <v>856</v>
      </c>
      <c r="I162" t="s">
        <v>1009</v>
      </c>
    </row>
    <row r="163" spans="1:9" x14ac:dyDescent="0.25">
      <c r="A163" t="s">
        <v>291</v>
      </c>
      <c r="B163" t="s">
        <v>292</v>
      </c>
      <c r="C163" t="s">
        <v>856</v>
      </c>
      <c r="D163" t="s">
        <v>856</v>
      </c>
      <c r="E163" t="s">
        <v>1009</v>
      </c>
      <c r="F163" t="s">
        <v>854</v>
      </c>
      <c r="G163" t="s">
        <v>1008</v>
      </c>
      <c r="H163" t="s">
        <v>856</v>
      </c>
      <c r="I163" t="s">
        <v>1009</v>
      </c>
    </row>
    <row r="164" spans="1:9" x14ac:dyDescent="0.25">
      <c r="A164" t="s">
        <v>293</v>
      </c>
      <c r="B164" t="s">
        <v>294</v>
      </c>
      <c r="C164" t="s">
        <v>854</v>
      </c>
      <c r="D164" t="s">
        <v>854</v>
      </c>
      <c r="E164" t="s">
        <v>1009</v>
      </c>
      <c r="F164" t="s">
        <v>854</v>
      </c>
      <c r="G164" t="s">
        <v>1008</v>
      </c>
      <c r="H164" t="s">
        <v>854</v>
      </c>
      <c r="I164" t="s">
        <v>1009</v>
      </c>
    </row>
    <row r="165" spans="1:9" x14ac:dyDescent="0.25">
      <c r="A165" t="s">
        <v>295</v>
      </c>
      <c r="B165" t="s">
        <v>296</v>
      </c>
      <c r="C165" t="s">
        <v>856</v>
      </c>
      <c r="D165" t="s">
        <v>856</v>
      </c>
      <c r="E165" t="s">
        <v>1009</v>
      </c>
      <c r="F165" t="s">
        <v>854</v>
      </c>
      <c r="G165" t="s">
        <v>1008</v>
      </c>
      <c r="H165" t="s">
        <v>856</v>
      </c>
      <c r="I165" t="s">
        <v>1009</v>
      </c>
    </row>
    <row r="166" spans="1:9" x14ac:dyDescent="0.25">
      <c r="A166" t="s">
        <v>297</v>
      </c>
      <c r="B166" t="s">
        <v>298</v>
      </c>
      <c r="C166" t="s">
        <v>2247</v>
      </c>
      <c r="D166" t="s">
        <v>856</v>
      </c>
      <c r="E166" t="s">
        <v>1009</v>
      </c>
      <c r="F166" t="s">
        <v>854</v>
      </c>
      <c r="G166" t="s">
        <v>1008</v>
      </c>
      <c r="H166" t="s">
        <v>2247</v>
      </c>
      <c r="I166" t="s">
        <v>1009</v>
      </c>
    </row>
    <row r="167" spans="1:9" x14ac:dyDescent="0.25">
      <c r="A167" t="s">
        <v>299</v>
      </c>
      <c r="B167" t="s">
        <v>2339</v>
      </c>
      <c r="C167" t="s">
        <v>856</v>
      </c>
      <c r="D167" t="s">
        <v>856</v>
      </c>
      <c r="E167" t="s">
        <v>1009</v>
      </c>
      <c r="F167" t="s">
        <v>856</v>
      </c>
      <c r="G167" t="s">
        <v>1009</v>
      </c>
      <c r="H167" t="s">
        <v>856</v>
      </c>
      <c r="I167" t="s">
        <v>1009</v>
      </c>
    </row>
    <row r="168" spans="1:9" x14ac:dyDescent="0.25">
      <c r="A168" t="s">
        <v>300</v>
      </c>
      <c r="B168" t="s">
        <v>301</v>
      </c>
      <c r="C168" t="s">
        <v>854</v>
      </c>
      <c r="D168" t="s">
        <v>856</v>
      </c>
      <c r="E168" t="s">
        <v>1009</v>
      </c>
      <c r="F168" t="s">
        <v>854</v>
      </c>
      <c r="G168" t="s">
        <v>1008</v>
      </c>
      <c r="H168" t="s">
        <v>856</v>
      </c>
      <c r="I168" t="s">
        <v>1009</v>
      </c>
    </row>
    <row r="169" spans="1:9" x14ac:dyDescent="0.25">
      <c r="A169" t="s">
        <v>302</v>
      </c>
      <c r="B169" t="s">
        <v>2251</v>
      </c>
      <c r="C169" t="s">
        <v>856</v>
      </c>
      <c r="D169" t="s">
        <v>854</v>
      </c>
      <c r="E169" t="s">
        <v>1008</v>
      </c>
      <c r="F169" t="s">
        <v>854</v>
      </c>
      <c r="G169" t="s">
        <v>1008</v>
      </c>
      <c r="H169" t="s">
        <v>856</v>
      </c>
      <c r="I169" t="s">
        <v>1009</v>
      </c>
    </row>
    <row r="170" spans="1:9" x14ac:dyDescent="0.25">
      <c r="A170" t="s">
        <v>303</v>
      </c>
      <c r="B170" t="s">
        <v>304</v>
      </c>
      <c r="C170" t="s">
        <v>2247</v>
      </c>
      <c r="D170" t="s">
        <v>856</v>
      </c>
      <c r="E170" t="s">
        <v>1009</v>
      </c>
      <c r="F170" t="s">
        <v>854</v>
      </c>
      <c r="G170" t="s">
        <v>1008</v>
      </c>
      <c r="H170" t="s">
        <v>2247</v>
      </c>
      <c r="I170" t="s">
        <v>1009</v>
      </c>
    </row>
    <row r="171" spans="1:9" x14ac:dyDescent="0.25">
      <c r="A171" t="s">
        <v>305</v>
      </c>
      <c r="B171" t="s">
        <v>1755</v>
      </c>
      <c r="C171" t="s">
        <v>854</v>
      </c>
      <c r="D171" t="s">
        <v>854</v>
      </c>
      <c r="E171" t="s">
        <v>1009</v>
      </c>
      <c r="F171" t="s">
        <v>854</v>
      </c>
      <c r="G171" t="s">
        <v>1008</v>
      </c>
      <c r="H171" t="s">
        <v>854</v>
      </c>
      <c r="I171" t="s">
        <v>1008</v>
      </c>
    </row>
    <row r="172" spans="1:9" x14ac:dyDescent="0.25">
      <c r="A172" t="s">
        <v>306</v>
      </c>
      <c r="B172" t="s">
        <v>307</v>
      </c>
      <c r="C172" t="s">
        <v>854</v>
      </c>
      <c r="D172" t="s">
        <v>854</v>
      </c>
      <c r="E172" t="s">
        <v>1009</v>
      </c>
      <c r="F172" t="s">
        <v>854</v>
      </c>
      <c r="G172" t="s">
        <v>1008</v>
      </c>
      <c r="H172" t="s">
        <v>856</v>
      </c>
      <c r="I172" t="s">
        <v>1009</v>
      </c>
    </row>
    <row r="173" spans="1:9" x14ac:dyDescent="0.25">
      <c r="A173" t="s">
        <v>308</v>
      </c>
      <c r="B173" t="s">
        <v>1262</v>
      </c>
      <c r="C173" t="s">
        <v>856</v>
      </c>
      <c r="D173" t="s">
        <v>856</v>
      </c>
      <c r="E173" t="s">
        <v>1009</v>
      </c>
      <c r="F173" t="s">
        <v>856</v>
      </c>
      <c r="G173" t="s">
        <v>1009</v>
      </c>
      <c r="H173" t="s">
        <v>856</v>
      </c>
      <c r="I173" t="s">
        <v>1009</v>
      </c>
    </row>
    <row r="174" spans="1:9" x14ac:dyDescent="0.25">
      <c r="A174" t="s">
        <v>309</v>
      </c>
      <c r="B174" t="s">
        <v>1263</v>
      </c>
      <c r="C174" t="s">
        <v>856</v>
      </c>
      <c r="D174" t="s">
        <v>854</v>
      </c>
      <c r="E174" t="s">
        <v>1009</v>
      </c>
      <c r="F174" t="s">
        <v>854</v>
      </c>
      <c r="G174" t="s">
        <v>1008</v>
      </c>
      <c r="H174" t="s">
        <v>856</v>
      </c>
      <c r="I174" t="s">
        <v>1009</v>
      </c>
    </row>
    <row r="175" spans="1:9" x14ac:dyDescent="0.25">
      <c r="A175" t="s">
        <v>310</v>
      </c>
      <c r="B175" t="s">
        <v>2340</v>
      </c>
      <c r="C175" t="s">
        <v>856</v>
      </c>
      <c r="D175" t="s">
        <v>856</v>
      </c>
      <c r="E175" t="s">
        <v>1009</v>
      </c>
      <c r="F175" t="s">
        <v>854</v>
      </c>
      <c r="G175" t="s">
        <v>1008</v>
      </c>
      <c r="H175" t="s">
        <v>856</v>
      </c>
      <c r="I175" t="s">
        <v>1009</v>
      </c>
    </row>
    <row r="176" spans="1:9" x14ac:dyDescent="0.25">
      <c r="A176" t="s">
        <v>311</v>
      </c>
      <c r="B176" t="s">
        <v>312</v>
      </c>
      <c r="C176" t="s">
        <v>856</v>
      </c>
      <c r="D176" t="s">
        <v>856</v>
      </c>
      <c r="E176" t="s">
        <v>1009</v>
      </c>
      <c r="F176" t="s">
        <v>854</v>
      </c>
      <c r="G176" t="s">
        <v>1008</v>
      </c>
      <c r="H176" t="s">
        <v>856</v>
      </c>
      <c r="I176" t="s">
        <v>1009</v>
      </c>
    </row>
    <row r="177" spans="1:9" x14ac:dyDescent="0.25">
      <c r="A177" t="s">
        <v>313</v>
      </c>
      <c r="B177" t="s">
        <v>314</v>
      </c>
      <c r="C177" t="s">
        <v>856</v>
      </c>
      <c r="D177" t="s">
        <v>856</v>
      </c>
      <c r="E177" t="s">
        <v>1009</v>
      </c>
      <c r="F177" t="s">
        <v>856</v>
      </c>
      <c r="G177" t="s">
        <v>1009</v>
      </c>
      <c r="H177" t="s">
        <v>856</v>
      </c>
      <c r="I177" t="s">
        <v>1009</v>
      </c>
    </row>
    <row r="178" spans="1:9" x14ac:dyDescent="0.25">
      <c r="A178" t="s">
        <v>315</v>
      </c>
      <c r="B178" t="s">
        <v>316</v>
      </c>
      <c r="C178" t="s">
        <v>2247</v>
      </c>
      <c r="D178" t="s">
        <v>856</v>
      </c>
      <c r="E178" t="s">
        <v>1009</v>
      </c>
      <c r="F178" t="s">
        <v>854</v>
      </c>
      <c r="G178" t="s">
        <v>1008</v>
      </c>
      <c r="H178" t="s">
        <v>2247</v>
      </c>
      <c r="I178" t="s">
        <v>1009</v>
      </c>
    </row>
    <row r="179" spans="1:9" x14ac:dyDescent="0.25">
      <c r="A179" t="s">
        <v>317</v>
      </c>
      <c r="B179" t="s">
        <v>318</v>
      </c>
      <c r="C179" t="s">
        <v>918</v>
      </c>
      <c r="D179" t="s">
        <v>854</v>
      </c>
      <c r="E179" t="s">
        <v>1008</v>
      </c>
      <c r="F179" t="s">
        <v>854</v>
      </c>
      <c r="G179" t="s">
        <v>1008</v>
      </c>
      <c r="H179" t="s">
        <v>854</v>
      </c>
      <c r="I179" t="s">
        <v>1008</v>
      </c>
    </row>
    <row r="180" spans="1:9" x14ac:dyDescent="0.25">
      <c r="A180" t="s">
        <v>319</v>
      </c>
      <c r="B180" t="s">
        <v>320</v>
      </c>
      <c r="C180" t="s">
        <v>854</v>
      </c>
      <c r="D180" t="s">
        <v>854</v>
      </c>
      <c r="E180" t="s">
        <v>1008</v>
      </c>
      <c r="F180" t="s">
        <v>854</v>
      </c>
      <c r="G180" t="s">
        <v>1008</v>
      </c>
      <c r="H180" t="s">
        <v>854</v>
      </c>
      <c r="I180" t="s">
        <v>1009</v>
      </c>
    </row>
    <row r="181" spans="1:9" x14ac:dyDescent="0.25">
      <c r="A181" t="s">
        <v>321</v>
      </c>
      <c r="B181" t="s">
        <v>322</v>
      </c>
      <c r="C181" t="s">
        <v>856</v>
      </c>
      <c r="D181" t="s">
        <v>856</v>
      </c>
      <c r="E181" t="s">
        <v>1009</v>
      </c>
      <c r="F181" t="s">
        <v>856</v>
      </c>
      <c r="G181" t="s">
        <v>1009</v>
      </c>
      <c r="H181" t="s">
        <v>856</v>
      </c>
      <c r="I181" t="s">
        <v>1009</v>
      </c>
    </row>
    <row r="182" spans="1:9" x14ac:dyDescent="0.25">
      <c r="A182" t="s">
        <v>323</v>
      </c>
      <c r="B182" t="s">
        <v>324</v>
      </c>
      <c r="C182" t="s">
        <v>854</v>
      </c>
      <c r="D182" t="s">
        <v>856</v>
      </c>
      <c r="E182" t="s">
        <v>1009</v>
      </c>
      <c r="F182" t="s">
        <v>854</v>
      </c>
      <c r="G182" t="s">
        <v>1008</v>
      </c>
      <c r="H182" t="s">
        <v>856</v>
      </c>
      <c r="I182" t="s">
        <v>1009</v>
      </c>
    </row>
    <row r="183" spans="1:9" x14ac:dyDescent="0.25">
      <c r="A183" t="s">
        <v>325</v>
      </c>
      <c r="B183" t="s">
        <v>326</v>
      </c>
      <c r="C183" t="s">
        <v>854</v>
      </c>
      <c r="D183" t="s">
        <v>856</v>
      </c>
      <c r="E183" t="s">
        <v>1009</v>
      </c>
      <c r="F183" t="s">
        <v>854</v>
      </c>
      <c r="G183" t="s">
        <v>1008</v>
      </c>
      <c r="H183" t="s">
        <v>856</v>
      </c>
      <c r="I183" t="s">
        <v>1009</v>
      </c>
    </row>
    <row r="184" spans="1:9" x14ac:dyDescent="0.25">
      <c r="A184" t="s">
        <v>327</v>
      </c>
      <c r="B184" t="s">
        <v>328</v>
      </c>
      <c r="C184" t="s">
        <v>854</v>
      </c>
      <c r="D184" t="s">
        <v>854</v>
      </c>
      <c r="E184" t="s">
        <v>1009</v>
      </c>
      <c r="F184" t="s">
        <v>854</v>
      </c>
      <c r="G184" t="s">
        <v>1008</v>
      </c>
      <c r="H184" t="s">
        <v>854</v>
      </c>
      <c r="I184" t="s">
        <v>1009</v>
      </c>
    </row>
    <row r="185" spans="1:9" x14ac:dyDescent="0.25">
      <c r="A185" t="s">
        <v>329</v>
      </c>
      <c r="B185" t="s">
        <v>330</v>
      </c>
      <c r="C185" t="s">
        <v>854</v>
      </c>
      <c r="D185" t="s">
        <v>854</v>
      </c>
      <c r="E185" t="s">
        <v>1009</v>
      </c>
      <c r="F185" t="s">
        <v>854</v>
      </c>
      <c r="G185" t="s">
        <v>1008</v>
      </c>
      <c r="H185" t="s">
        <v>856</v>
      </c>
      <c r="I185" t="s">
        <v>1009</v>
      </c>
    </row>
    <row r="186" spans="1:9" x14ac:dyDescent="0.25">
      <c r="A186" t="s">
        <v>331</v>
      </c>
      <c r="B186" t="s">
        <v>332</v>
      </c>
      <c r="C186" t="s">
        <v>854</v>
      </c>
      <c r="D186" t="s">
        <v>854</v>
      </c>
      <c r="E186" t="s">
        <v>1009</v>
      </c>
      <c r="F186" t="s">
        <v>854</v>
      </c>
      <c r="G186" t="s">
        <v>1008</v>
      </c>
      <c r="H186" t="s">
        <v>856</v>
      </c>
      <c r="I186" t="s">
        <v>1009</v>
      </c>
    </row>
    <row r="187" spans="1:9" x14ac:dyDescent="0.25">
      <c r="A187" t="s">
        <v>333</v>
      </c>
      <c r="B187" t="s">
        <v>334</v>
      </c>
      <c r="C187" t="s">
        <v>856</v>
      </c>
      <c r="D187" t="s">
        <v>856</v>
      </c>
      <c r="E187" t="s">
        <v>1009</v>
      </c>
      <c r="F187" t="s">
        <v>854</v>
      </c>
      <c r="G187" t="s">
        <v>1008</v>
      </c>
      <c r="H187" t="s">
        <v>856</v>
      </c>
      <c r="I187" t="s">
        <v>1009</v>
      </c>
    </row>
    <row r="188" spans="1:9" x14ac:dyDescent="0.25">
      <c r="A188" t="s">
        <v>335</v>
      </c>
      <c r="B188" t="s">
        <v>336</v>
      </c>
      <c r="C188" t="s">
        <v>918</v>
      </c>
      <c r="D188" t="s">
        <v>854</v>
      </c>
      <c r="E188" t="s">
        <v>1008</v>
      </c>
      <c r="F188" t="s">
        <v>856</v>
      </c>
      <c r="G188" t="s">
        <v>1009</v>
      </c>
      <c r="H188" t="s">
        <v>854</v>
      </c>
      <c r="I188" t="s">
        <v>1009</v>
      </c>
    </row>
    <row r="189" spans="1:9" x14ac:dyDescent="0.25">
      <c r="A189" t="s">
        <v>337</v>
      </c>
      <c r="B189" t="s">
        <v>338</v>
      </c>
      <c r="C189" t="s">
        <v>854</v>
      </c>
      <c r="D189" t="s">
        <v>854</v>
      </c>
      <c r="E189" t="s">
        <v>1009</v>
      </c>
      <c r="F189" t="s">
        <v>854</v>
      </c>
      <c r="G189" t="s">
        <v>1008</v>
      </c>
      <c r="H189" t="s">
        <v>856</v>
      </c>
      <c r="I189" t="s">
        <v>1009</v>
      </c>
    </row>
    <row r="190" spans="1:9" x14ac:dyDescent="0.25">
      <c r="A190" t="s">
        <v>339</v>
      </c>
      <c r="B190" t="s">
        <v>340</v>
      </c>
      <c r="C190" t="s">
        <v>854</v>
      </c>
      <c r="D190" t="s">
        <v>854</v>
      </c>
      <c r="E190" t="s">
        <v>1009</v>
      </c>
      <c r="F190" t="s">
        <v>856</v>
      </c>
      <c r="G190" t="s">
        <v>1009</v>
      </c>
      <c r="H190" t="s">
        <v>856</v>
      </c>
      <c r="I190" t="s">
        <v>1009</v>
      </c>
    </row>
    <row r="191" spans="1:9" x14ac:dyDescent="0.25">
      <c r="A191" t="s">
        <v>341</v>
      </c>
      <c r="B191" t="s">
        <v>342</v>
      </c>
      <c r="C191" t="s">
        <v>918</v>
      </c>
      <c r="D191" t="s">
        <v>854</v>
      </c>
      <c r="E191" t="s">
        <v>1009</v>
      </c>
      <c r="F191" t="s">
        <v>854</v>
      </c>
      <c r="G191" t="s">
        <v>1008</v>
      </c>
      <c r="H191" t="s">
        <v>856</v>
      </c>
      <c r="I191" t="s">
        <v>1009</v>
      </c>
    </row>
    <row r="192" spans="1:9" x14ac:dyDescent="0.25">
      <c r="A192" t="s">
        <v>343</v>
      </c>
      <c r="B192" t="s">
        <v>344</v>
      </c>
      <c r="C192" t="s">
        <v>856</v>
      </c>
      <c r="D192" t="s">
        <v>856</v>
      </c>
      <c r="E192" t="s">
        <v>1009</v>
      </c>
      <c r="F192" t="s">
        <v>854</v>
      </c>
      <c r="G192" t="s">
        <v>1008</v>
      </c>
      <c r="H192" t="s">
        <v>854</v>
      </c>
      <c r="I192" t="s">
        <v>1008</v>
      </c>
    </row>
    <row r="193" spans="1:9" x14ac:dyDescent="0.25">
      <c r="A193" t="s">
        <v>345</v>
      </c>
      <c r="B193" t="s">
        <v>346</v>
      </c>
      <c r="C193" t="s">
        <v>856</v>
      </c>
      <c r="D193" t="s">
        <v>854</v>
      </c>
      <c r="E193" t="s">
        <v>1009</v>
      </c>
      <c r="F193" t="s">
        <v>854</v>
      </c>
      <c r="G193" t="s">
        <v>1008</v>
      </c>
      <c r="H193" t="s">
        <v>854</v>
      </c>
      <c r="I193" t="s">
        <v>1009</v>
      </c>
    </row>
    <row r="194" spans="1:9" x14ac:dyDescent="0.25">
      <c r="A194" t="s">
        <v>347</v>
      </c>
      <c r="B194" t="s">
        <v>348</v>
      </c>
      <c r="C194" t="s">
        <v>854</v>
      </c>
      <c r="D194" t="s">
        <v>856</v>
      </c>
      <c r="E194" t="s">
        <v>1009</v>
      </c>
      <c r="F194" t="s">
        <v>854</v>
      </c>
      <c r="G194" t="s">
        <v>1008</v>
      </c>
      <c r="H194" t="s">
        <v>856</v>
      </c>
      <c r="I194" t="s">
        <v>1009</v>
      </c>
    </row>
    <row r="195" spans="1:9" x14ac:dyDescent="0.25">
      <c r="A195" t="s">
        <v>349</v>
      </c>
      <c r="B195" t="s">
        <v>350</v>
      </c>
      <c r="C195" t="s">
        <v>854</v>
      </c>
      <c r="D195" t="s">
        <v>854</v>
      </c>
      <c r="E195" t="s">
        <v>1009</v>
      </c>
      <c r="F195" t="s">
        <v>856</v>
      </c>
      <c r="G195" t="s">
        <v>1009</v>
      </c>
      <c r="H195" t="s">
        <v>856</v>
      </c>
      <c r="I195" t="s">
        <v>1009</v>
      </c>
    </row>
    <row r="196" spans="1:9" x14ac:dyDescent="0.25">
      <c r="A196" t="s">
        <v>351</v>
      </c>
      <c r="B196" t="s">
        <v>352</v>
      </c>
      <c r="C196" t="s">
        <v>854</v>
      </c>
      <c r="D196" t="s">
        <v>854</v>
      </c>
      <c r="E196" t="s">
        <v>1009</v>
      </c>
      <c r="F196" t="s">
        <v>856</v>
      </c>
      <c r="G196" t="s">
        <v>1009</v>
      </c>
      <c r="H196" t="s">
        <v>856</v>
      </c>
      <c r="I196" t="s">
        <v>1009</v>
      </c>
    </row>
    <row r="197" spans="1:9" x14ac:dyDescent="0.25">
      <c r="A197" t="s">
        <v>353</v>
      </c>
      <c r="B197" t="s">
        <v>354</v>
      </c>
      <c r="C197" t="s">
        <v>854</v>
      </c>
      <c r="D197" t="s">
        <v>854</v>
      </c>
      <c r="E197" t="s">
        <v>1009</v>
      </c>
      <c r="F197" t="s">
        <v>854</v>
      </c>
      <c r="G197" t="s">
        <v>1008</v>
      </c>
      <c r="H197" t="s">
        <v>856</v>
      </c>
      <c r="I197" t="s">
        <v>1009</v>
      </c>
    </row>
    <row r="198" spans="1:9" x14ac:dyDescent="0.25">
      <c r="A198" t="s">
        <v>355</v>
      </c>
      <c r="B198" t="s">
        <v>356</v>
      </c>
      <c r="C198" t="s">
        <v>856</v>
      </c>
      <c r="D198" t="s">
        <v>854</v>
      </c>
      <c r="E198" t="s">
        <v>1009</v>
      </c>
      <c r="F198" t="s">
        <v>854</v>
      </c>
      <c r="G198" t="s">
        <v>1008</v>
      </c>
      <c r="H198" t="s">
        <v>856</v>
      </c>
      <c r="I198" t="s">
        <v>1009</v>
      </c>
    </row>
    <row r="199" spans="1:9" x14ac:dyDescent="0.25">
      <c r="A199" t="s">
        <v>357</v>
      </c>
      <c r="B199" t="s">
        <v>358</v>
      </c>
      <c r="C199" t="s">
        <v>854</v>
      </c>
      <c r="D199" t="s">
        <v>854</v>
      </c>
      <c r="E199" t="s">
        <v>1009</v>
      </c>
      <c r="F199" t="s">
        <v>854</v>
      </c>
      <c r="G199" t="s">
        <v>1008</v>
      </c>
      <c r="H199" t="s">
        <v>854</v>
      </c>
      <c r="I199" t="s">
        <v>1009</v>
      </c>
    </row>
    <row r="200" spans="1:9" x14ac:dyDescent="0.25">
      <c r="A200" t="s">
        <v>359</v>
      </c>
      <c r="B200" t="s">
        <v>360</v>
      </c>
      <c r="C200" t="s">
        <v>854</v>
      </c>
      <c r="D200" t="s">
        <v>854</v>
      </c>
      <c r="E200" t="s">
        <v>1009</v>
      </c>
      <c r="F200" t="s">
        <v>854</v>
      </c>
      <c r="G200" t="s">
        <v>1008</v>
      </c>
      <c r="H200" t="s">
        <v>854</v>
      </c>
      <c r="I200" t="s">
        <v>1009</v>
      </c>
    </row>
    <row r="201" spans="1:9" x14ac:dyDescent="0.25">
      <c r="A201" t="s">
        <v>361</v>
      </c>
      <c r="B201" t="s">
        <v>362</v>
      </c>
      <c r="C201" t="s">
        <v>918</v>
      </c>
      <c r="D201" t="s">
        <v>854</v>
      </c>
      <c r="E201" t="s">
        <v>1009</v>
      </c>
      <c r="F201" t="s">
        <v>856</v>
      </c>
      <c r="G201" t="s">
        <v>1009</v>
      </c>
      <c r="H201" t="s">
        <v>856</v>
      </c>
      <c r="I201" t="s">
        <v>1009</v>
      </c>
    </row>
    <row r="202" spans="1:9" x14ac:dyDescent="0.25">
      <c r="A202" t="s">
        <v>363</v>
      </c>
      <c r="B202" t="s">
        <v>364</v>
      </c>
      <c r="C202" t="s">
        <v>2247</v>
      </c>
      <c r="D202" t="s">
        <v>856</v>
      </c>
      <c r="E202" t="s">
        <v>1009</v>
      </c>
      <c r="F202" t="s">
        <v>854</v>
      </c>
      <c r="G202" t="s">
        <v>1008</v>
      </c>
      <c r="H202" t="s">
        <v>2247</v>
      </c>
      <c r="I202" t="s">
        <v>1009</v>
      </c>
    </row>
    <row r="203" spans="1:9" x14ac:dyDescent="0.25">
      <c r="A203" t="s">
        <v>365</v>
      </c>
      <c r="B203" t="s">
        <v>366</v>
      </c>
      <c r="C203" t="s">
        <v>854</v>
      </c>
      <c r="D203" t="s">
        <v>856</v>
      </c>
      <c r="E203" t="s">
        <v>1009</v>
      </c>
      <c r="F203" t="s">
        <v>854</v>
      </c>
      <c r="G203" t="s">
        <v>1008</v>
      </c>
      <c r="H203" t="s">
        <v>856</v>
      </c>
      <c r="I203" t="s">
        <v>1009</v>
      </c>
    </row>
    <row r="204" spans="1:9" x14ac:dyDescent="0.25">
      <c r="A204" t="s">
        <v>367</v>
      </c>
      <c r="B204" t="s">
        <v>368</v>
      </c>
      <c r="C204" t="s">
        <v>2247</v>
      </c>
      <c r="D204" t="s">
        <v>856</v>
      </c>
      <c r="E204" t="s">
        <v>1009</v>
      </c>
      <c r="F204" t="s">
        <v>854</v>
      </c>
      <c r="G204" t="s">
        <v>1008</v>
      </c>
      <c r="H204" t="s">
        <v>2247</v>
      </c>
      <c r="I204" t="s">
        <v>1009</v>
      </c>
    </row>
    <row r="205" spans="1:9" x14ac:dyDescent="0.25">
      <c r="A205" t="s">
        <v>369</v>
      </c>
      <c r="B205" t="s">
        <v>370</v>
      </c>
      <c r="C205" t="s">
        <v>854</v>
      </c>
      <c r="D205" t="s">
        <v>854</v>
      </c>
      <c r="E205" t="s">
        <v>1009</v>
      </c>
      <c r="F205" t="s">
        <v>854</v>
      </c>
      <c r="G205" t="s">
        <v>1008</v>
      </c>
      <c r="H205" t="s">
        <v>856</v>
      </c>
      <c r="I205" t="s">
        <v>1009</v>
      </c>
    </row>
    <row r="206" spans="1:9" x14ac:dyDescent="0.25">
      <c r="A206" t="s">
        <v>371</v>
      </c>
      <c r="B206" t="s">
        <v>372</v>
      </c>
      <c r="C206" t="s">
        <v>2247</v>
      </c>
      <c r="D206" t="s">
        <v>856</v>
      </c>
      <c r="E206" t="s">
        <v>1009</v>
      </c>
      <c r="F206" t="s">
        <v>854</v>
      </c>
      <c r="G206" t="s">
        <v>1008</v>
      </c>
      <c r="H206" t="s">
        <v>2247</v>
      </c>
      <c r="I206" t="s">
        <v>1009</v>
      </c>
    </row>
    <row r="207" spans="1:9" x14ac:dyDescent="0.25">
      <c r="A207" t="s">
        <v>373</v>
      </c>
      <c r="B207" t="s">
        <v>374</v>
      </c>
      <c r="C207" t="s">
        <v>854</v>
      </c>
      <c r="D207" t="s">
        <v>854</v>
      </c>
      <c r="E207" t="s">
        <v>1008</v>
      </c>
      <c r="F207" t="s">
        <v>854</v>
      </c>
      <c r="G207" t="s">
        <v>1008</v>
      </c>
      <c r="H207" t="s">
        <v>854</v>
      </c>
      <c r="I207" t="s">
        <v>1008</v>
      </c>
    </row>
    <row r="208" spans="1:9" x14ac:dyDescent="0.25">
      <c r="A208" t="s">
        <v>375</v>
      </c>
      <c r="B208" t="s">
        <v>376</v>
      </c>
      <c r="C208" t="s">
        <v>854</v>
      </c>
      <c r="D208" t="s">
        <v>856</v>
      </c>
      <c r="E208" t="s">
        <v>1009</v>
      </c>
      <c r="F208" t="s">
        <v>854</v>
      </c>
      <c r="G208" t="s">
        <v>1008</v>
      </c>
      <c r="H208" t="s">
        <v>856</v>
      </c>
      <c r="I208" t="s">
        <v>1009</v>
      </c>
    </row>
    <row r="209" spans="1:9" x14ac:dyDescent="0.25">
      <c r="A209" t="s">
        <v>377</v>
      </c>
      <c r="B209" t="s">
        <v>378</v>
      </c>
      <c r="C209" t="s">
        <v>854</v>
      </c>
      <c r="D209" t="s">
        <v>854</v>
      </c>
      <c r="E209" t="s">
        <v>1009</v>
      </c>
      <c r="F209" t="s">
        <v>856</v>
      </c>
      <c r="G209" t="s">
        <v>1009</v>
      </c>
      <c r="H209" t="s">
        <v>856</v>
      </c>
      <c r="I209" t="s">
        <v>1009</v>
      </c>
    </row>
    <row r="210" spans="1:9" x14ac:dyDescent="0.25">
      <c r="A210" t="s">
        <v>379</v>
      </c>
      <c r="B210" t="s">
        <v>380</v>
      </c>
      <c r="C210" t="s">
        <v>854</v>
      </c>
      <c r="D210" t="s">
        <v>854</v>
      </c>
      <c r="E210" t="s">
        <v>1008</v>
      </c>
      <c r="F210" t="s">
        <v>854</v>
      </c>
      <c r="G210" t="s">
        <v>1008</v>
      </c>
      <c r="H210" t="s">
        <v>854</v>
      </c>
      <c r="I210" t="s">
        <v>1008</v>
      </c>
    </row>
    <row r="211" spans="1:9" x14ac:dyDescent="0.25">
      <c r="A211" t="s">
        <v>381</v>
      </c>
      <c r="B211" t="s">
        <v>382</v>
      </c>
      <c r="C211" t="s">
        <v>854</v>
      </c>
      <c r="D211" t="s">
        <v>854</v>
      </c>
      <c r="E211" t="s">
        <v>1009</v>
      </c>
      <c r="F211" t="s">
        <v>856</v>
      </c>
      <c r="G211" t="s">
        <v>1009</v>
      </c>
      <c r="H211" t="s">
        <v>856</v>
      </c>
      <c r="I211" t="s">
        <v>1009</v>
      </c>
    </row>
    <row r="212" spans="1:9" x14ac:dyDescent="0.25">
      <c r="A212" t="s">
        <v>383</v>
      </c>
      <c r="B212" t="s">
        <v>384</v>
      </c>
      <c r="C212" t="s">
        <v>854</v>
      </c>
      <c r="D212" t="s">
        <v>856</v>
      </c>
      <c r="E212" t="s">
        <v>1009</v>
      </c>
      <c r="F212" t="s">
        <v>856</v>
      </c>
      <c r="G212" t="s">
        <v>1009</v>
      </c>
      <c r="H212" t="s">
        <v>856</v>
      </c>
      <c r="I212" t="s">
        <v>1009</v>
      </c>
    </row>
    <row r="213" spans="1:9" x14ac:dyDescent="0.25">
      <c r="A213" t="s">
        <v>385</v>
      </c>
      <c r="B213" t="s">
        <v>386</v>
      </c>
      <c r="C213" t="s">
        <v>918</v>
      </c>
      <c r="D213" t="s">
        <v>854</v>
      </c>
      <c r="E213" t="s">
        <v>1008</v>
      </c>
      <c r="F213" t="s">
        <v>854</v>
      </c>
      <c r="G213" t="s">
        <v>1008</v>
      </c>
      <c r="H213" t="s">
        <v>854</v>
      </c>
      <c r="I213" t="s">
        <v>1008</v>
      </c>
    </row>
    <row r="214" spans="1:9" x14ac:dyDescent="0.25">
      <c r="A214" t="s">
        <v>387</v>
      </c>
      <c r="B214" t="s">
        <v>388</v>
      </c>
      <c r="C214" t="s">
        <v>856</v>
      </c>
      <c r="D214" t="s">
        <v>856</v>
      </c>
      <c r="E214" t="s">
        <v>1009</v>
      </c>
      <c r="F214" t="s">
        <v>854</v>
      </c>
      <c r="G214" t="s">
        <v>1008</v>
      </c>
      <c r="H214" t="s">
        <v>856</v>
      </c>
      <c r="I214" t="s">
        <v>1009</v>
      </c>
    </row>
    <row r="215" spans="1:9" x14ac:dyDescent="0.25">
      <c r="A215" t="s">
        <v>389</v>
      </c>
      <c r="B215" t="s">
        <v>390</v>
      </c>
      <c r="C215" t="s">
        <v>2247</v>
      </c>
      <c r="D215" t="s">
        <v>856</v>
      </c>
      <c r="E215" t="s">
        <v>1009</v>
      </c>
      <c r="F215" t="s">
        <v>854</v>
      </c>
      <c r="G215" t="s">
        <v>1008</v>
      </c>
      <c r="H215" t="s">
        <v>2247</v>
      </c>
      <c r="I215" t="s">
        <v>1009</v>
      </c>
    </row>
    <row r="216" spans="1:9" x14ac:dyDescent="0.25">
      <c r="A216" t="s">
        <v>391</v>
      </c>
      <c r="B216" t="s">
        <v>392</v>
      </c>
      <c r="C216" t="s">
        <v>854</v>
      </c>
      <c r="D216" t="s">
        <v>854</v>
      </c>
      <c r="E216" t="s">
        <v>1009</v>
      </c>
      <c r="F216" t="s">
        <v>856</v>
      </c>
      <c r="G216" t="s">
        <v>1009</v>
      </c>
      <c r="H216" t="s">
        <v>856</v>
      </c>
      <c r="I216" t="s">
        <v>1009</v>
      </c>
    </row>
    <row r="217" spans="1:9" x14ac:dyDescent="0.25">
      <c r="A217" t="s">
        <v>393</v>
      </c>
      <c r="B217" t="s">
        <v>394</v>
      </c>
      <c r="C217" t="s">
        <v>2247</v>
      </c>
      <c r="D217" t="s">
        <v>856</v>
      </c>
      <c r="E217" t="s">
        <v>1009</v>
      </c>
      <c r="F217" t="s">
        <v>854</v>
      </c>
      <c r="G217" t="s">
        <v>1008</v>
      </c>
      <c r="H217" t="s">
        <v>2247</v>
      </c>
      <c r="I217" t="s">
        <v>1009</v>
      </c>
    </row>
    <row r="218" spans="1:9" x14ac:dyDescent="0.25">
      <c r="A218" t="s">
        <v>395</v>
      </c>
      <c r="B218" t="s">
        <v>396</v>
      </c>
      <c r="C218" t="s">
        <v>854</v>
      </c>
      <c r="D218" t="s">
        <v>854</v>
      </c>
      <c r="E218" t="s">
        <v>1009</v>
      </c>
      <c r="F218" t="s">
        <v>856</v>
      </c>
      <c r="G218" t="s">
        <v>1009</v>
      </c>
      <c r="H218" t="s">
        <v>856</v>
      </c>
      <c r="I218" t="s">
        <v>1009</v>
      </c>
    </row>
    <row r="219" spans="1:9" x14ac:dyDescent="0.25">
      <c r="A219" t="s">
        <v>397</v>
      </c>
      <c r="B219" t="s">
        <v>398</v>
      </c>
      <c r="C219" t="s">
        <v>854</v>
      </c>
      <c r="D219" t="s">
        <v>854</v>
      </c>
      <c r="E219" t="s">
        <v>1009</v>
      </c>
      <c r="F219" t="s">
        <v>856</v>
      </c>
      <c r="G219" t="s">
        <v>1009</v>
      </c>
      <c r="H219" t="s">
        <v>856</v>
      </c>
      <c r="I219" t="s">
        <v>1009</v>
      </c>
    </row>
    <row r="220" spans="1:9" x14ac:dyDescent="0.25">
      <c r="A220" t="s">
        <v>399</v>
      </c>
      <c r="B220" t="s">
        <v>400</v>
      </c>
      <c r="C220" t="s">
        <v>2247</v>
      </c>
      <c r="D220" t="s">
        <v>856</v>
      </c>
      <c r="E220" t="s">
        <v>1009</v>
      </c>
      <c r="F220" t="s">
        <v>854</v>
      </c>
      <c r="G220" t="s">
        <v>1008</v>
      </c>
      <c r="H220" t="s">
        <v>2247</v>
      </c>
      <c r="I220" t="s">
        <v>1009</v>
      </c>
    </row>
    <row r="221" spans="1:9" x14ac:dyDescent="0.25">
      <c r="A221" t="s">
        <v>401</v>
      </c>
      <c r="B221" t="s">
        <v>402</v>
      </c>
      <c r="C221" t="s">
        <v>854</v>
      </c>
      <c r="D221" t="s">
        <v>854</v>
      </c>
      <c r="E221" t="s">
        <v>1009</v>
      </c>
      <c r="F221" t="s">
        <v>854</v>
      </c>
      <c r="G221" t="s">
        <v>1008</v>
      </c>
      <c r="H221" t="s">
        <v>856</v>
      </c>
      <c r="I221" t="s">
        <v>1009</v>
      </c>
    </row>
    <row r="222" spans="1:9" x14ac:dyDescent="0.25">
      <c r="A222" t="s">
        <v>403</v>
      </c>
      <c r="B222" t="s">
        <v>404</v>
      </c>
      <c r="C222" t="s">
        <v>854</v>
      </c>
      <c r="D222" t="s">
        <v>854</v>
      </c>
      <c r="E222" t="s">
        <v>1009</v>
      </c>
      <c r="F222" t="s">
        <v>854</v>
      </c>
      <c r="G222" t="s">
        <v>1008</v>
      </c>
      <c r="H222" t="s">
        <v>856</v>
      </c>
      <c r="I222" t="s">
        <v>1009</v>
      </c>
    </row>
    <row r="223" spans="1:9" x14ac:dyDescent="0.25">
      <c r="A223" t="s">
        <v>405</v>
      </c>
      <c r="B223" t="s">
        <v>406</v>
      </c>
      <c r="C223" t="s">
        <v>2247</v>
      </c>
      <c r="D223" t="s">
        <v>856</v>
      </c>
      <c r="E223" t="s">
        <v>1009</v>
      </c>
      <c r="F223" t="s">
        <v>854</v>
      </c>
      <c r="G223" t="s">
        <v>1008</v>
      </c>
      <c r="H223" t="s">
        <v>2247</v>
      </c>
      <c r="I223" t="s">
        <v>1009</v>
      </c>
    </row>
    <row r="224" spans="1:9" x14ac:dyDescent="0.25">
      <c r="A224" t="s">
        <v>407</v>
      </c>
      <c r="B224" t="s">
        <v>408</v>
      </c>
      <c r="C224" t="s">
        <v>2247</v>
      </c>
      <c r="D224" t="s">
        <v>856</v>
      </c>
      <c r="E224" t="s">
        <v>1009</v>
      </c>
      <c r="F224" t="s">
        <v>854</v>
      </c>
      <c r="G224" t="s">
        <v>1008</v>
      </c>
      <c r="H224" t="s">
        <v>2247</v>
      </c>
      <c r="I224" t="s">
        <v>1009</v>
      </c>
    </row>
    <row r="225" spans="1:9" x14ac:dyDescent="0.25">
      <c r="A225" t="s">
        <v>409</v>
      </c>
      <c r="B225" t="s">
        <v>1314</v>
      </c>
      <c r="C225" t="s">
        <v>2247</v>
      </c>
      <c r="D225" t="s">
        <v>856</v>
      </c>
      <c r="E225" t="s">
        <v>1009</v>
      </c>
      <c r="F225" t="s">
        <v>854</v>
      </c>
      <c r="G225" t="s">
        <v>1008</v>
      </c>
      <c r="H225" t="s">
        <v>2247</v>
      </c>
      <c r="I225" t="s">
        <v>1009</v>
      </c>
    </row>
    <row r="226" spans="1:9" x14ac:dyDescent="0.25">
      <c r="A226" t="s">
        <v>930</v>
      </c>
      <c r="B226" t="s">
        <v>955</v>
      </c>
      <c r="C226" t="s">
        <v>854</v>
      </c>
      <c r="D226" t="s">
        <v>854</v>
      </c>
      <c r="E226" t="s">
        <v>1008</v>
      </c>
      <c r="F226" t="s">
        <v>854</v>
      </c>
      <c r="G226" t="s">
        <v>1008</v>
      </c>
      <c r="H226" t="s">
        <v>854</v>
      </c>
      <c r="I226" t="s">
        <v>1008</v>
      </c>
    </row>
    <row r="227" spans="1:9" x14ac:dyDescent="0.25">
      <c r="A227" t="s">
        <v>931</v>
      </c>
      <c r="B227" t="s">
        <v>956</v>
      </c>
      <c r="C227" t="s">
        <v>854</v>
      </c>
      <c r="D227" t="s">
        <v>856</v>
      </c>
      <c r="E227" t="s">
        <v>1009</v>
      </c>
      <c r="F227" t="s">
        <v>854</v>
      </c>
      <c r="G227" t="s">
        <v>1008</v>
      </c>
      <c r="H227" t="s">
        <v>856</v>
      </c>
      <c r="I227" t="s">
        <v>1009</v>
      </c>
    </row>
    <row r="228" spans="1:9" x14ac:dyDescent="0.25">
      <c r="A228" t="s">
        <v>410</v>
      </c>
      <c r="B228" t="s">
        <v>411</v>
      </c>
      <c r="C228" t="s">
        <v>2247</v>
      </c>
      <c r="D228" t="s">
        <v>856</v>
      </c>
      <c r="E228" t="s">
        <v>1009</v>
      </c>
      <c r="F228" t="s">
        <v>854</v>
      </c>
      <c r="G228" t="s">
        <v>1008</v>
      </c>
      <c r="H228" t="s">
        <v>2247</v>
      </c>
      <c r="I228" t="s">
        <v>1009</v>
      </c>
    </row>
    <row r="229" spans="1:9" x14ac:dyDescent="0.25">
      <c r="A229" t="s">
        <v>412</v>
      </c>
      <c r="B229" t="s">
        <v>413</v>
      </c>
      <c r="C229" t="s">
        <v>856</v>
      </c>
      <c r="D229" t="s">
        <v>854</v>
      </c>
      <c r="E229" t="s">
        <v>1009</v>
      </c>
      <c r="F229" t="s">
        <v>854</v>
      </c>
      <c r="G229" t="s">
        <v>1008</v>
      </c>
      <c r="H229" t="s">
        <v>854</v>
      </c>
      <c r="I229" t="s">
        <v>1009</v>
      </c>
    </row>
    <row r="230" spans="1:9" x14ac:dyDescent="0.25">
      <c r="A230" t="s">
        <v>414</v>
      </c>
      <c r="B230" t="s">
        <v>415</v>
      </c>
      <c r="C230" t="s">
        <v>856</v>
      </c>
      <c r="D230" t="s">
        <v>854</v>
      </c>
      <c r="E230" t="s">
        <v>1009</v>
      </c>
      <c r="F230" t="s">
        <v>854</v>
      </c>
      <c r="G230" t="s">
        <v>1008</v>
      </c>
      <c r="H230" t="s">
        <v>856</v>
      </c>
      <c r="I230" t="s">
        <v>1009</v>
      </c>
    </row>
    <row r="231" spans="1:9" x14ac:dyDescent="0.25">
      <c r="A231" t="s">
        <v>416</v>
      </c>
      <c r="B231" t="s">
        <v>417</v>
      </c>
      <c r="C231" t="s">
        <v>854</v>
      </c>
      <c r="D231" t="s">
        <v>856</v>
      </c>
      <c r="E231" t="s">
        <v>1009</v>
      </c>
      <c r="F231" t="s">
        <v>854</v>
      </c>
      <c r="G231" t="s">
        <v>1008</v>
      </c>
      <c r="H231" t="s">
        <v>856</v>
      </c>
      <c r="I231" t="s">
        <v>1009</v>
      </c>
    </row>
    <row r="232" spans="1:9" x14ac:dyDescent="0.25">
      <c r="A232" t="s">
        <v>418</v>
      </c>
      <c r="B232" t="s">
        <v>419</v>
      </c>
      <c r="C232" t="s">
        <v>854</v>
      </c>
      <c r="D232" t="s">
        <v>856</v>
      </c>
      <c r="E232" t="s">
        <v>1009</v>
      </c>
      <c r="F232" t="s">
        <v>856</v>
      </c>
      <c r="G232" t="s">
        <v>1009</v>
      </c>
      <c r="H232" t="s">
        <v>856</v>
      </c>
      <c r="I232" t="s">
        <v>1009</v>
      </c>
    </row>
    <row r="233" spans="1:9" x14ac:dyDescent="0.25">
      <c r="A233" t="s">
        <v>420</v>
      </c>
      <c r="B233" t="s">
        <v>421</v>
      </c>
      <c r="C233" t="s">
        <v>854</v>
      </c>
      <c r="D233" t="s">
        <v>854</v>
      </c>
      <c r="E233" t="s">
        <v>1009</v>
      </c>
      <c r="F233" t="s">
        <v>854</v>
      </c>
      <c r="G233" t="s">
        <v>1008</v>
      </c>
      <c r="H233" t="s">
        <v>856</v>
      </c>
      <c r="I233" t="s">
        <v>1009</v>
      </c>
    </row>
    <row r="234" spans="1:9" x14ac:dyDescent="0.25">
      <c r="A234" t="s">
        <v>422</v>
      </c>
      <c r="B234" t="s">
        <v>423</v>
      </c>
      <c r="C234" t="s">
        <v>854</v>
      </c>
      <c r="D234" t="s">
        <v>854</v>
      </c>
      <c r="E234" t="s">
        <v>1008</v>
      </c>
      <c r="F234" t="s">
        <v>854</v>
      </c>
      <c r="G234" t="s">
        <v>1008</v>
      </c>
      <c r="H234" t="s">
        <v>854</v>
      </c>
      <c r="I234" t="s">
        <v>1009</v>
      </c>
    </row>
    <row r="235" spans="1:9" x14ac:dyDescent="0.25">
      <c r="A235" t="s">
        <v>424</v>
      </c>
      <c r="B235" t="s">
        <v>425</v>
      </c>
      <c r="C235" t="s">
        <v>2247</v>
      </c>
      <c r="D235" t="s">
        <v>856</v>
      </c>
      <c r="E235" t="s">
        <v>1009</v>
      </c>
      <c r="F235" t="s">
        <v>854</v>
      </c>
      <c r="G235" t="s">
        <v>1008</v>
      </c>
      <c r="H235" t="s">
        <v>2247</v>
      </c>
      <c r="I235" t="s">
        <v>1009</v>
      </c>
    </row>
    <row r="236" spans="1:9" x14ac:dyDescent="0.25">
      <c r="A236" t="s">
        <v>426</v>
      </c>
      <c r="B236" t="s">
        <v>427</v>
      </c>
      <c r="C236" t="s">
        <v>854</v>
      </c>
      <c r="D236" t="s">
        <v>854</v>
      </c>
      <c r="E236" t="s">
        <v>1009</v>
      </c>
      <c r="F236" t="s">
        <v>856</v>
      </c>
      <c r="G236" t="s">
        <v>1009</v>
      </c>
      <c r="H236" t="s">
        <v>856</v>
      </c>
      <c r="I236" t="s">
        <v>1009</v>
      </c>
    </row>
    <row r="237" spans="1:9" x14ac:dyDescent="0.25">
      <c r="A237" t="s">
        <v>428</v>
      </c>
      <c r="B237" t="s">
        <v>429</v>
      </c>
      <c r="C237" t="s">
        <v>854</v>
      </c>
      <c r="D237" t="s">
        <v>856</v>
      </c>
      <c r="E237" t="s">
        <v>1009</v>
      </c>
      <c r="F237" t="s">
        <v>856</v>
      </c>
      <c r="G237" t="s">
        <v>1009</v>
      </c>
      <c r="H237" t="s">
        <v>856</v>
      </c>
      <c r="I237" t="s">
        <v>1009</v>
      </c>
    </row>
    <row r="238" spans="1:9" x14ac:dyDescent="0.25">
      <c r="A238" t="s">
        <v>430</v>
      </c>
      <c r="B238" t="s">
        <v>431</v>
      </c>
      <c r="C238" t="s">
        <v>856</v>
      </c>
      <c r="D238" t="s">
        <v>856</v>
      </c>
      <c r="E238" t="s">
        <v>1009</v>
      </c>
      <c r="F238" t="s">
        <v>854</v>
      </c>
      <c r="G238" t="s">
        <v>1008</v>
      </c>
      <c r="H238" t="s">
        <v>856</v>
      </c>
      <c r="I238" t="s">
        <v>1009</v>
      </c>
    </row>
    <row r="239" spans="1:9" x14ac:dyDescent="0.25">
      <c r="A239" t="s">
        <v>432</v>
      </c>
      <c r="B239" t="s">
        <v>433</v>
      </c>
      <c r="C239" t="s">
        <v>2247</v>
      </c>
      <c r="D239" t="s">
        <v>856</v>
      </c>
      <c r="E239" t="s">
        <v>1009</v>
      </c>
      <c r="F239" t="s">
        <v>854</v>
      </c>
      <c r="G239" t="s">
        <v>1008</v>
      </c>
      <c r="H239" t="s">
        <v>2247</v>
      </c>
      <c r="I239" t="s">
        <v>1009</v>
      </c>
    </row>
    <row r="240" spans="1:9" x14ac:dyDescent="0.25">
      <c r="A240" t="s">
        <v>434</v>
      </c>
      <c r="B240" t="s">
        <v>1066</v>
      </c>
      <c r="C240" t="s">
        <v>854</v>
      </c>
      <c r="D240" t="s">
        <v>854</v>
      </c>
      <c r="E240" t="s">
        <v>1008</v>
      </c>
      <c r="F240" t="s">
        <v>854</v>
      </c>
      <c r="G240" t="s">
        <v>1008</v>
      </c>
      <c r="H240" t="s">
        <v>854</v>
      </c>
      <c r="I240" t="s">
        <v>1009</v>
      </c>
    </row>
    <row r="241" spans="1:9" x14ac:dyDescent="0.25">
      <c r="A241" t="s">
        <v>435</v>
      </c>
      <c r="B241" t="s">
        <v>436</v>
      </c>
      <c r="C241" t="s">
        <v>854</v>
      </c>
      <c r="D241" t="s">
        <v>854</v>
      </c>
      <c r="E241" t="s">
        <v>1009</v>
      </c>
      <c r="F241" t="s">
        <v>854</v>
      </c>
      <c r="G241" t="s">
        <v>1008</v>
      </c>
      <c r="H241" t="s">
        <v>856</v>
      </c>
      <c r="I241" t="s">
        <v>1009</v>
      </c>
    </row>
    <row r="242" spans="1:9" x14ac:dyDescent="0.25">
      <c r="A242" t="s">
        <v>437</v>
      </c>
      <c r="B242" t="s">
        <v>438</v>
      </c>
      <c r="C242" t="s">
        <v>856</v>
      </c>
      <c r="D242" t="s">
        <v>856</v>
      </c>
      <c r="E242" t="s">
        <v>1009</v>
      </c>
      <c r="F242" t="s">
        <v>854</v>
      </c>
      <c r="G242" t="s">
        <v>1008</v>
      </c>
      <c r="H242" t="s">
        <v>856</v>
      </c>
      <c r="I242" t="s">
        <v>1009</v>
      </c>
    </row>
    <row r="243" spans="1:9" x14ac:dyDescent="0.25">
      <c r="A243" t="s">
        <v>439</v>
      </c>
      <c r="B243" t="s">
        <v>440</v>
      </c>
      <c r="C243" t="s">
        <v>854</v>
      </c>
      <c r="D243" t="s">
        <v>854</v>
      </c>
      <c r="E243" t="s">
        <v>1009</v>
      </c>
      <c r="F243" t="s">
        <v>854</v>
      </c>
      <c r="G243" t="s">
        <v>1008</v>
      </c>
      <c r="H243" t="s">
        <v>856</v>
      </c>
      <c r="I243" t="s">
        <v>1009</v>
      </c>
    </row>
    <row r="244" spans="1:9" x14ac:dyDescent="0.25">
      <c r="A244" t="s">
        <v>441</v>
      </c>
      <c r="B244" t="s">
        <v>442</v>
      </c>
      <c r="C244" t="s">
        <v>854</v>
      </c>
      <c r="D244" t="s">
        <v>854</v>
      </c>
      <c r="E244" t="s">
        <v>1009</v>
      </c>
      <c r="F244" t="s">
        <v>854</v>
      </c>
      <c r="G244" t="s">
        <v>1008</v>
      </c>
      <c r="H244" t="s">
        <v>854</v>
      </c>
      <c r="I244" t="s">
        <v>1009</v>
      </c>
    </row>
    <row r="245" spans="1:9" x14ac:dyDescent="0.25">
      <c r="A245" t="s">
        <v>443</v>
      </c>
      <c r="B245" t="s">
        <v>444</v>
      </c>
      <c r="C245" t="s">
        <v>854</v>
      </c>
      <c r="D245" t="s">
        <v>854</v>
      </c>
      <c r="E245" t="s">
        <v>1009</v>
      </c>
      <c r="F245" t="s">
        <v>854</v>
      </c>
      <c r="G245" t="s">
        <v>1008</v>
      </c>
      <c r="H245" t="s">
        <v>856</v>
      </c>
      <c r="I245" t="s">
        <v>1009</v>
      </c>
    </row>
    <row r="246" spans="1:9" x14ac:dyDescent="0.25">
      <c r="A246" t="s">
        <v>445</v>
      </c>
      <c r="B246" t="s">
        <v>446</v>
      </c>
      <c r="C246" t="s">
        <v>856</v>
      </c>
      <c r="D246" t="s">
        <v>856</v>
      </c>
      <c r="E246" t="s">
        <v>1009</v>
      </c>
      <c r="F246" t="s">
        <v>854</v>
      </c>
      <c r="G246" t="s">
        <v>1008</v>
      </c>
      <c r="H246" t="s">
        <v>856</v>
      </c>
      <c r="I246" t="s">
        <v>1009</v>
      </c>
    </row>
    <row r="247" spans="1:9" x14ac:dyDescent="0.25">
      <c r="A247" t="s">
        <v>447</v>
      </c>
      <c r="B247" t="s">
        <v>448</v>
      </c>
      <c r="C247" t="s">
        <v>2247</v>
      </c>
      <c r="D247" t="s">
        <v>856</v>
      </c>
      <c r="E247" t="s">
        <v>1009</v>
      </c>
      <c r="F247" t="s">
        <v>854</v>
      </c>
      <c r="G247" t="s">
        <v>1008</v>
      </c>
      <c r="H247" t="s">
        <v>2247</v>
      </c>
      <c r="I247" t="s">
        <v>1009</v>
      </c>
    </row>
    <row r="248" spans="1:9" x14ac:dyDescent="0.25">
      <c r="A248" t="s">
        <v>449</v>
      </c>
      <c r="B248" t="s">
        <v>450</v>
      </c>
      <c r="C248" t="s">
        <v>856</v>
      </c>
      <c r="D248" t="s">
        <v>856</v>
      </c>
      <c r="E248" t="s">
        <v>1009</v>
      </c>
      <c r="F248" t="s">
        <v>854</v>
      </c>
      <c r="G248" t="s">
        <v>1008</v>
      </c>
      <c r="H248" t="s">
        <v>856</v>
      </c>
      <c r="I248" t="s">
        <v>1009</v>
      </c>
    </row>
    <row r="249" spans="1:9" x14ac:dyDescent="0.25">
      <c r="A249" t="s">
        <v>451</v>
      </c>
      <c r="B249" t="s">
        <v>452</v>
      </c>
      <c r="C249" t="s">
        <v>854</v>
      </c>
      <c r="D249" t="s">
        <v>856</v>
      </c>
      <c r="E249" t="s">
        <v>1009</v>
      </c>
      <c r="F249" t="s">
        <v>856</v>
      </c>
      <c r="G249" t="s">
        <v>1009</v>
      </c>
      <c r="H249" t="s">
        <v>856</v>
      </c>
      <c r="I249" t="s">
        <v>1009</v>
      </c>
    </row>
    <row r="250" spans="1:9" x14ac:dyDescent="0.25">
      <c r="A250" t="s">
        <v>453</v>
      </c>
      <c r="B250" t="s">
        <v>454</v>
      </c>
      <c r="C250" t="s">
        <v>854</v>
      </c>
      <c r="D250" t="s">
        <v>854</v>
      </c>
      <c r="E250" t="s">
        <v>1009</v>
      </c>
      <c r="F250" t="s">
        <v>856</v>
      </c>
      <c r="G250" t="s">
        <v>1009</v>
      </c>
      <c r="H250" t="s">
        <v>856</v>
      </c>
      <c r="I250" t="s">
        <v>1009</v>
      </c>
    </row>
    <row r="251" spans="1:9" x14ac:dyDescent="0.25">
      <c r="A251" t="s">
        <v>455</v>
      </c>
      <c r="B251" t="s">
        <v>1342</v>
      </c>
      <c r="C251" t="s">
        <v>856</v>
      </c>
      <c r="D251" t="s">
        <v>854</v>
      </c>
      <c r="E251" t="s">
        <v>1008</v>
      </c>
      <c r="F251" t="s">
        <v>854</v>
      </c>
      <c r="G251" t="s">
        <v>1008</v>
      </c>
      <c r="H251" t="s">
        <v>854</v>
      </c>
      <c r="I251" t="s">
        <v>1009</v>
      </c>
    </row>
    <row r="252" spans="1:9" x14ac:dyDescent="0.25">
      <c r="A252" t="s">
        <v>456</v>
      </c>
      <c r="B252" t="s">
        <v>457</v>
      </c>
      <c r="C252" t="s">
        <v>854</v>
      </c>
      <c r="D252" t="s">
        <v>854</v>
      </c>
      <c r="E252" t="s">
        <v>1009</v>
      </c>
      <c r="F252" t="s">
        <v>854</v>
      </c>
      <c r="G252" t="s">
        <v>1008</v>
      </c>
      <c r="H252" t="s">
        <v>856</v>
      </c>
      <c r="I252" t="s">
        <v>1009</v>
      </c>
    </row>
    <row r="253" spans="1:9" x14ac:dyDescent="0.25">
      <c r="A253" t="s">
        <v>458</v>
      </c>
      <c r="B253" t="s">
        <v>459</v>
      </c>
      <c r="C253" t="s">
        <v>2247</v>
      </c>
      <c r="D253" t="s">
        <v>856</v>
      </c>
      <c r="E253" t="s">
        <v>1009</v>
      </c>
      <c r="F253" t="s">
        <v>854</v>
      </c>
      <c r="G253" t="s">
        <v>1008</v>
      </c>
      <c r="H253" t="s">
        <v>2247</v>
      </c>
      <c r="I253" t="s">
        <v>1009</v>
      </c>
    </row>
    <row r="254" spans="1:9" x14ac:dyDescent="0.25">
      <c r="A254" t="s">
        <v>460</v>
      </c>
      <c r="B254" t="s">
        <v>461</v>
      </c>
      <c r="C254" t="s">
        <v>2247</v>
      </c>
      <c r="D254" t="s">
        <v>856</v>
      </c>
      <c r="E254" t="s">
        <v>1009</v>
      </c>
      <c r="F254" t="s">
        <v>854</v>
      </c>
      <c r="G254" t="s">
        <v>1008</v>
      </c>
      <c r="H254" t="s">
        <v>2247</v>
      </c>
      <c r="I254" t="s">
        <v>1009</v>
      </c>
    </row>
    <row r="255" spans="1:9" x14ac:dyDescent="0.25">
      <c r="A255" t="s">
        <v>462</v>
      </c>
      <c r="B255" t="s">
        <v>463</v>
      </c>
      <c r="C255" t="s">
        <v>856</v>
      </c>
      <c r="D255" t="s">
        <v>854</v>
      </c>
      <c r="E255" t="s">
        <v>1009</v>
      </c>
      <c r="F255" t="s">
        <v>854</v>
      </c>
      <c r="G255" t="s">
        <v>1008</v>
      </c>
      <c r="H255" t="s">
        <v>854</v>
      </c>
      <c r="I255" t="s">
        <v>1009</v>
      </c>
    </row>
    <row r="256" spans="1:9" x14ac:dyDescent="0.25">
      <c r="A256" t="s">
        <v>464</v>
      </c>
      <c r="B256" t="s">
        <v>465</v>
      </c>
      <c r="C256" t="s">
        <v>2247</v>
      </c>
      <c r="D256" t="s">
        <v>856</v>
      </c>
      <c r="E256" t="s">
        <v>1009</v>
      </c>
      <c r="F256" t="s">
        <v>854</v>
      </c>
      <c r="G256" t="s">
        <v>1008</v>
      </c>
      <c r="H256" t="s">
        <v>2247</v>
      </c>
      <c r="I256" t="s">
        <v>1009</v>
      </c>
    </row>
    <row r="257" spans="1:9" x14ac:dyDescent="0.25">
      <c r="A257" t="s">
        <v>466</v>
      </c>
      <c r="B257" t="s">
        <v>467</v>
      </c>
      <c r="C257" t="s">
        <v>854</v>
      </c>
      <c r="D257" t="s">
        <v>854</v>
      </c>
      <c r="E257" t="s">
        <v>1008</v>
      </c>
      <c r="F257" t="s">
        <v>854</v>
      </c>
      <c r="G257" t="s">
        <v>1008</v>
      </c>
      <c r="H257" t="s">
        <v>856</v>
      </c>
      <c r="I257" t="s">
        <v>1009</v>
      </c>
    </row>
    <row r="258" spans="1:9" x14ac:dyDescent="0.25">
      <c r="A258" t="s">
        <v>468</v>
      </c>
      <c r="B258" t="s">
        <v>469</v>
      </c>
      <c r="C258" t="s">
        <v>856</v>
      </c>
      <c r="D258" t="s">
        <v>856</v>
      </c>
      <c r="E258" t="s">
        <v>1009</v>
      </c>
      <c r="F258" t="s">
        <v>854</v>
      </c>
      <c r="G258" t="s">
        <v>1008</v>
      </c>
      <c r="H258" t="s">
        <v>856</v>
      </c>
      <c r="I258" t="s">
        <v>1009</v>
      </c>
    </row>
    <row r="259" spans="1:9" x14ac:dyDescent="0.25">
      <c r="A259" t="s">
        <v>470</v>
      </c>
      <c r="B259" t="s">
        <v>471</v>
      </c>
      <c r="C259" t="s">
        <v>2247</v>
      </c>
      <c r="D259" t="s">
        <v>856</v>
      </c>
      <c r="E259" t="s">
        <v>1009</v>
      </c>
      <c r="F259" t="s">
        <v>854</v>
      </c>
      <c r="G259" t="s">
        <v>1008</v>
      </c>
      <c r="H259" t="s">
        <v>2247</v>
      </c>
      <c r="I259" t="s">
        <v>1009</v>
      </c>
    </row>
    <row r="260" spans="1:9" x14ac:dyDescent="0.25">
      <c r="A260" t="s">
        <v>472</v>
      </c>
      <c r="B260" t="s">
        <v>473</v>
      </c>
      <c r="C260" t="s">
        <v>2247</v>
      </c>
      <c r="D260" t="s">
        <v>856</v>
      </c>
      <c r="E260" t="s">
        <v>1009</v>
      </c>
      <c r="F260" t="s">
        <v>854</v>
      </c>
      <c r="G260" t="s">
        <v>1008</v>
      </c>
      <c r="H260" t="s">
        <v>2247</v>
      </c>
      <c r="I260" t="s">
        <v>1009</v>
      </c>
    </row>
    <row r="261" spans="1:9" x14ac:dyDescent="0.25">
      <c r="A261" t="s">
        <v>474</v>
      </c>
      <c r="B261" t="s">
        <v>475</v>
      </c>
      <c r="C261" t="s">
        <v>856</v>
      </c>
      <c r="D261" t="s">
        <v>856</v>
      </c>
      <c r="E261" t="s">
        <v>1009</v>
      </c>
      <c r="F261" t="s">
        <v>854</v>
      </c>
      <c r="G261" t="s">
        <v>1008</v>
      </c>
      <c r="H261" t="s">
        <v>856</v>
      </c>
      <c r="I261" t="s">
        <v>1009</v>
      </c>
    </row>
    <row r="262" spans="1:9" x14ac:dyDescent="0.25">
      <c r="A262" t="s">
        <v>476</v>
      </c>
      <c r="B262" t="s">
        <v>477</v>
      </c>
      <c r="C262" t="s">
        <v>2247</v>
      </c>
      <c r="D262" t="s">
        <v>856</v>
      </c>
      <c r="E262" t="s">
        <v>1009</v>
      </c>
      <c r="F262" t="s">
        <v>854</v>
      </c>
      <c r="G262" t="s">
        <v>1008</v>
      </c>
      <c r="H262" t="s">
        <v>2247</v>
      </c>
      <c r="I262" t="s">
        <v>1009</v>
      </c>
    </row>
    <row r="263" spans="1:9" x14ac:dyDescent="0.25">
      <c r="A263" t="s">
        <v>478</v>
      </c>
      <c r="B263" t="s">
        <v>479</v>
      </c>
      <c r="C263" t="s">
        <v>856</v>
      </c>
      <c r="D263" t="s">
        <v>854</v>
      </c>
      <c r="E263" t="s">
        <v>1008</v>
      </c>
      <c r="F263" t="s">
        <v>854</v>
      </c>
      <c r="G263" t="s">
        <v>1008</v>
      </c>
      <c r="H263" t="s">
        <v>856</v>
      </c>
      <c r="I263" t="s">
        <v>1009</v>
      </c>
    </row>
    <row r="264" spans="1:9" x14ac:dyDescent="0.25">
      <c r="A264" t="s">
        <v>480</v>
      </c>
      <c r="B264" t="s">
        <v>481</v>
      </c>
      <c r="C264" t="s">
        <v>856</v>
      </c>
      <c r="D264" t="s">
        <v>854</v>
      </c>
      <c r="E264" t="s">
        <v>1009</v>
      </c>
      <c r="F264" t="s">
        <v>854</v>
      </c>
      <c r="G264" t="s">
        <v>1008</v>
      </c>
      <c r="H264" t="s">
        <v>854</v>
      </c>
      <c r="I264" t="s">
        <v>1009</v>
      </c>
    </row>
    <row r="265" spans="1:9" x14ac:dyDescent="0.25">
      <c r="A265" t="s">
        <v>482</v>
      </c>
      <c r="B265" t="s">
        <v>483</v>
      </c>
      <c r="C265" t="s">
        <v>856</v>
      </c>
      <c r="D265" t="s">
        <v>854</v>
      </c>
      <c r="E265" t="s">
        <v>1009</v>
      </c>
      <c r="F265" t="s">
        <v>854</v>
      </c>
      <c r="G265" t="s">
        <v>1008</v>
      </c>
      <c r="H265" t="s">
        <v>856</v>
      </c>
      <c r="I265" t="s">
        <v>1009</v>
      </c>
    </row>
    <row r="266" spans="1:9" x14ac:dyDescent="0.25">
      <c r="A266" t="s">
        <v>484</v>
      </c>
      <c r="B266" t="s">
        <v>485</v>
      </c>
      <c r="C266" t="s">
        <v>854</v>
      </c>
      <c r="D266" t="s">
        <v>854</v>
      </c>
      <c r="E266" t="s">
        <v>1009</v>
      </c>
      <c r="F266" t="s">
        <v>854</v>
      </c>
      <c r="G266" t="s">
        <v>1008</v>
      </c>
      <c r="H266" t="s">
        <v>854</v>
      </c>
      <c r="I266" t="s">
        <v>1008</v>
      </c>
    </row>
    <row r="267" spans="1:9" x14ac:dyDescent="0.25">
      <c r="A267" t="s">
        <v>486</v>
      </c>
      <c r="B267" t="s">
        <v>487</v>
      </c>
      <c r="C267" t="s">
        <v>856</v>
      </c>
      <c r="D267" t="s">
        <v>854</v>
      </c>
      <c r="E267" t="s">
        <v>1008</v>
      </c>
      <c r="F267" t="s">
        <v>854</v>
      </c>
      <c r="G267" t="s">
        <v>1008</v>
      </c>
      <c r="H267" t="s">
        <v>856</v>
      </c>
      <c r="I267" t="s">
        <v>1009</v>
      </c>
    </row>
    <row r="268" spans="1:9" x14ac:dyDescent="0.25">
      <c r="A268" t="s">
        <v>488</v>
      </c>
      <c r="B268" t="s">
        <v>489</v>
      </c>
      <c r="C268" t="s">
        <v>856</v>
      </c>
      <c r="D268" t="s">
        <v>854</v>
      </c>
      <c r="E268" t="s">
        <v>1008</v>
      </c>
      <c r="F268" t="s">
        <v>854</v>
      </c>
      <c r="G268" t="s">
        <v>1008</v>
      </c>
      <c r="H268" t="s">
        <v>854</v>
      </c>
      <c r="I268" t="s">
        <v>1009</v>
      </c>
    </row>
    <row r="269" spans="1:9" x14ac:dyDescent="0.25">
      <c r="A269" t="s">
        <v>490</v>
      </c>
      <c r="B269" t="s">
        <v>491</v>
      </c>
      <c r="C269" t="s">
        <v>856</v>
      </c>
      <c r="D269" t="s">
        <v>854</v>
      </c>
      <c r="E269" t="s">
        <v>1008</v>
      </c>
      <c r="F269" t="s">
        <v>856</v>
      </c>
      <c r="G269" t="s">
        <v>1009</v>
      </c>
      <c r="H269" t="s">
        <v>856</v>
      </c>
      <c r="I269" t="s">
        <v>1009</v>
      </c>
    </row>
    <row r="270" spans="1:9" x14ac:dyDescent="0.25">
      <c r="A270" t="s">
        <v>492</v>
      </c>
      <c r="B270" t="s">
        <v>493</v>
      </c>
      <c r="C270" t="s">
        <v>854</v>
      </c>
      <c r="D270" t="s">
        <v>854</v>
      </c>
      <c r="E270" t="s">
        <v>1009</v>
      </c>
      <c r="F270" t="s">
        <v>854</v>
      </c>
      <c r="G270" t="s">
        <v>1008</v>
      </c>
      <c r="H270" t="s">
        <v>856</v>
      </c>
      <c r="I270" t="s">
        <v>1009</v>
      </c>
    </row>
    <row r="271" spans="1:9" x14ac:dyDescent="0.25">
      <c r="A271" t="s">
        <v>932</v>
      </c>
      <c r="B271" t="s">
        <v>957</v>
      </c>
      <c r="C271" t="s">
        <v>856</v>
      </c>
      <c r="D271" t="s">
        <v>854</v>
      </c>
      <c r="E271" t="s">
        <v>1009</v>
      </c>
      <c r="F271" t="s">
        <v>856</v>
      </c>
      <c r="G271" t="s">
        <v>1009</v>
      </c>
      <c r="H271" t="s">
        <v>856</v>
      </c>
      <c r="I271" t="s">
        <v>1009</v>
      </c>
    </row>
    <row r="272" spans="1:9" x14ac:dyDescent="0.25">
      <c r="A272" t="s">
        <v>933</v>
      </c>
      <c r="B272" t="s">
        <v>958</v>
      </c>
      <c r="C272" t="s">
        <v>854</v>
      </c>
      <c r="D272" t="s">
        <v>854</v>
      </c>
      <c r="E272" t="s">
        <v>1009</v>
      </c>
      <c r="F272" t="s">
        <v>854</v>
      </c>
      <c r="G272" t="s">
        <v>1008</v>
      </c>
      <c r="H272" t="s">
        <v>854</v>
      </c>
      <c r="I272" t="s">
        <v>1009</v>
      </c>
    </row>
    <row r="273" spans="1:9" x14ac:dyDescent="0.25">
      <c r="A273" t="s">
        <v>934</v>
      </c>
      <c r="B273" t="s">
        <v>959</v>
      </c>
      <c r="C273" t="s">
        <v>854</v>
      </c>
      <c r="D273" t="s">
        <v>854</v>
      </c>
      <c r="E273" t="s">
        <v>1009</v>
      </c>
      <c r="F273" t="s">
        <v>854</v>
      </c>
      <c r="G273" t="s">
        <v>1008</v>
      </c>
      <c r="H273" t="s">
        <v>854</v>
      </c>
      <c r="I273" t="s">
        <v>1009</v>
      </c>
    </row>
    <row r="274" spans="1:9" x14ac:dyDescent="0.25">
      <c r="A274" t="s">
        <v>935</v>
      </c>
      <c r="B274" t="s">
        <v>960</v>
      </c>
      <c r="C274" t="s">
        <v>856</v>
      </c>
      <c r="D274" t="s">
        <v>854</v>
      </c>
      <c r="E274" t="s">
        <v>1009</v>
      </c>
      <c r="F274" t="s">
        <v>854</v>
      </c>
      <c r="G274" t="s">
        <v>1008</v>
      </c>
      <c r="H274" t="s">
        <v>854</v>
      </c>
      <c r="I274" t="s">
        <v>1008</v>
      </c>
    </row>
    <row r="275" spans="1:9" x14ac:dyDescent="0.25">
      <c r="A275" t="s">
        <v>936</v>
      </c>
      <c r="B275" t="s">
        <v>994</v>
      </c>
      <c r="C275" t="s">
        <v>856</v>
      </c>
      <c r="D275" t="s">
        <v>854</v>
      </c>
      <c r="E275" t="s">
        <v>1008</v>
      </c>
      <c r="F275" t="s">
        <v>854</v>
      </c>
      <c r="G275" t="s">
        <v>1008</v>
      </c>
      <c r="H275" t="s">
        <v>854</v>
      </c>
      <c r="I275" t="s">
        <v>1008</v>
      </c>
    </row>
    <row r="276" spans="1:9" x14ac:dyDescent="0.25">
      <c r="A276" t="s">
        <v>980</v>
      </c>
      <c r="B276" t="s">
        <v>983</v>
      </c>
      <c r="C276" t="s">
        <v>856</v>
      </c>
      <c r="D276" t="s">
        <v>856</v>
      </c>
      <c r="E276" t="s">
        <v>1009</v>
      </c>
      <c r="F276" t="s">
        <v>856</v>
      </c>
      <c r="G276" t="s">
        <v>1009</v>
      </c>
      <c r="H276" t="s">
        <v>856</v>
      </c>
      <c r="I276" t="s">
        <v>1009</v>
      </c>
    </row>
    <row r="277" spans="1:9" x14ac:dyDescent="0.25">
      <c r="A277" t="s">
        <v>981</v>
      </c>
      <c r="B277" t="s">
        <v>984</v>
      </c>
      <c r="C277" t="s">
        <v>856</v>
      </c>
      <c r="D277" t="s">
        <v>856</v>
      </c>
      <c r="E277" t="s">
        <v>1009</v>
      </c>
      <c r="F277" t="s">
        <v>854</v>
      </c>
      <c r="G277" t="s">
        <v>1008</v>
      </c>
      <c r="H277" t="s">
        <v>856</v>
      </c>
      <c r="I277" t="s">
        <v>1009</v>
      </c>
    </row>
    <row r="278" spans="1:9" x14ac:dyDescent="0.25">
      <c r="A278" t="s">
        <v>982</v>
      </c>
      <c r="B278" t="s">
        <v>985</v>
      </c>
      <c r="C278" t="s">
        <v>856</v>
      </c>
      <c r="D278" t="s">
        <v>856</v>
      </c>
      <c r="E278" t="s">
        <v>1009</v>
      </c>
      <c r="F278" t="s">
        <v>854</v>
      </c>
      <c r="G278" t="s">
        <v>1008</v>
      </c>
      <c r="H278" t="s">
        <v>856</v>
      </c>
      <c r="I278" t="s">
        <v>1009</v>
      </c>
    </row>
    <row r="279" spans="1:9" x14ac:dyDescent="0.25">
      <c r="A279" t="s">
        <v>494</v>
      </c>
      <c r="B279" t="s">
        <v>2345</v>
      </c>
      <c r="C279" t="s">
        <v>856</v>
      </c>
      <c r="D279" t="s">
        <v>856</v>
      </c>
      <c r="E279" t="s">
        <v>1009</v>
      </c>
      <c r="F279" t="s">
        <v>856</v>
      </c>
      <c r="G279" t="s">
        <v>1009</v>
      </c>
      <c r="H279" t="s">
        <v>856</v>
      </c>
      <c r="I279" t="s">
        <v>1009</v>
      </c>
    </row>
    <row r="280" spans="1:9" x14ac:dyDescent="0.25">
      <c r="A280" t="s">
        <v>495</v>
      </c>
      <c r="B280" t="s">
        <v>2346</v>
      </c>
      <c r="C280" t="s">
        <v>856</v>
      </c>
      <c r="D280" t="s">
        <v>856</v>
      </c>
      <c r="E280" t="s">
        <v>1009</v>
      </c>
      <c r="F280" t="s">
        <v>856</v>
      </c>
      <c r="G280" t="s">
        <v>1009</v>
      </c>
      <c r="H280" t="s">
        <v>856</v>
      </c>
      <c r="I280" t="s">
        <v>1009</v>
      </c>
    </row>
    <row r="281" spans="1:9" x14ac:dyDescent="0.25">
      <c r="A281" t="s">
        <v>496</v>
      </c>
      <c r="B281" t="s">
        <v>2347</v>
      </c>
      <c r="C281" t="s">
        <v>856</v>
      </c>
      <c r="D281" t="s">
        <v>856</v>
      </c>
      <c r="E281" t="s">
        <v>1009</v>
      </c>
      <c r="F281" t="s">
        <v>856</v>
      </c>
      <c r="G281" t="s">
        <v>1009</v>
      </c>
      <c r="H281" t="s">
        <v>856</v>
      </c>
      <c r="I281" t="s">
        <v>1009</v>
      </c>
    </row>
    <row r="282" spans="1:9" x14ac:dyDescent="0.25">
      <c r="A282" t="s">
        <v>497</v>
      </c>
      <c r="B282" t="s">
        <v>498</v>
      </c>
      <c r="C282" t="s">
        <v>854</v>
      </c>
      <c r="D282" t="s">
        <v>856</v>
      </c>
      <c r="E282" t="s">
        <v>1009</v>
      </c>
      <c r="F282" t="s">
        <v>856</v>
      </c>
      <c r="G282" t="s">
        <v>1009</v>
      </c>
      <c r="H282" t="s">
        <v>856</v>
      </c>
      <c r="I282" t="s">
        <v>1009</v>
      </c>
    </row>
    <row r="283" spans="1:9" x14ac:dyDescent="0.25">
      <c r="A283" t="s">
        <v>499</v>
      </c>
      <c r="B283" t="s">
        <v>500</v>
      </c>
      <c r="C283" t="s">
        <v>854</v>
      </c>
      <c r="D283" t="s">
        <v>854</v>
      </c>
      <c r="E283" t="s">
        <v>1009</v>
      </c>
      <c r="F283" t="s">
        <v>856</v>
      </c>
      <c r="G283" t="s">
        <v>1009</v>
      </c>
      <c r="H283" t="s">
        <v>856</v>
      </c>
      <c r="I283" t="s">
        <v>1009</v>
      </c>
    </row>
    <row r="284" spans="1:9" x14ac:dyDescent="0.25">
      <c r="A284" t="s">
        <v>501</v>
      </c>
      <c r="B284" t="s">
        <v>502</v>
      </c>
      <c r="C284" t="s">
        <v>856</v>
      </c>
      <c r="D284" t="s">
        <v>856</v>
      </c>
      <c r="E284" t="s">
        <v>1009</v>
      </c>
      <c r="F284" t="s">
        <v>854</v>
      </c>
      <c r="G284" t="s">
        <v>1008</v>
      </c>
      <c r="H284" t="s">
        <v>856</v>
      </c>
      <c r="I284" t="s">
        <v>1009</v>
      </c>
    </row>
    <row r="285" spans="1:9" x14ac:dyDescent="0.25">
      <c r="A285" t="s">
        <v>503</v>
      </c>
      <c r="B285" t="s">
        <v>2348</v>
      </c>
      <c r="C285" t="s">
        <v>856</v>
      </c>
      <c r="D285" t="s">
        <v>856</v>
      </c>
      <c r="E285" t="s">
        <v>1009</v>
      </c>
      <c r="F285" t="s">
        <v>856</v>
      </c>
      <c r="G285" t="s">
        <v>1009</v>
      </c>
      <c r="H285" t="s">
        <v>856</v>
      </c>
      <c r="I285" t="s">
        <v>1009</v>
      </c>
    </row>
    <row r="286" spans="1:9" x14ac:dyDescent="0.25">
      <c r="A286" t="s">
        <v>504</v>
      </c>
      <c r="B286" t="s">
        <v>505</v>
      </c>
      <c r="C286" t="s">
        <v>854</v>
      </c>
      <c r="D286" t="s">
        <v>856</v>
      </c>
      <c r="E286" t="s">
        <v>1009</v>
      </c>
      <c r="F286" t="s">
        <v>856</v>
      </c>
      <c r="G286" t="s">
        <v>1009</v>
      </c>
      <c r="H286" t="s">
        <v>856</v>
      </c>
      <c r="I286" t="s">
        <v>1009</v>
      </c>
    </row>
    <row r="287" spans="1:9" x14ac:dyDescent="0.25">
      <c r="A287" t="s">
        <v>506</v>
      </c>
      <c r="B287" t="s">
        <v>507</v>
      </c>
      <c r="C287" t="s">
        <v>854</v>
      </c>
      <c r="D287" t="s">
        <v>856</v>
      </c>
      <c r="E287" t="s">
        <v>1009</v>
      </c>
      <c r="F287" t="s">
        <v>856</v>
      </c>
      <c r="G287" t="s">
        <v>1009</v>
      </c>
      <c r="H287" t="s">
        <v>856</v>
      </c>
      <c r="I287" t="s">
        <v>1009</v>
      </c>
    </row>
    <row r="288" spans="1:9" x14ac:dyDescent="0.25">
      <c r="A288" t="s">
        <v>508</v>
      </c>
      <c r="B288" t="s">
        <v>509</v>
      </c>
      <c r="C288" t="s">
        <v>854</v>
      </c>
      <c r="D288" t="s">
        <v>854</v>
      </c>
      <c r="E288" t="s">
        <v>1009</v>
      </c>
      <c r="F288" t="s">
        <v>856</v>
      </c>
      <c r="G288" t="s">
        <v>1009</v>
      </c>
      <c r="H288" t="s">
        <v>856</v>
      </c>
      <c r="I288" t="s">
        <v>1009</v>
      </c>
    </row>
    <row r="289" spans="1:9" x14ac:dyDescent="0.25">
      <c r="A289" t="s">
        <v>510</v>
      </c>
      <c r="B289" t="s">
        <v>2349</v>
      </c>
      <c r="C289" t="s">
        <v>856</v>
      </c>
      <c r="D289" t="s">
        <v>856</v>
      </c>
      <c r="E289" t="s">
        <v>1009</v>
      </c>
      <c r="F289" t="s">
        <v>856</v>
      </c>
      <c r="G289" t="s">
        <v>1009</v>
      </c>
      <c r="H289" t="s">
        <v>856</v>
      </c>
      <c r="I289" t="s">
        <v>1009</v>
      </c>
    </row>
    <row r="290" spans="1:9" x14ac:dyDescent="0.25">
      <c r="A290" t="s">
        <v>511</v>
      </c>
      <c r="B290" t="s">
        <v>512</v>
      </c>
      <c r="C290" t="s">
        <v>854</v>
      </c>
      <c r="D290" t="s">
        <v>856</v>
      </c>
      <c r="E290" t="s">
        <v>1009</v>
      </c>
      <c r="F290" t="s">
        <v>856</v>
      </c>
      <c r="G290" t="s">
        <v>1009</v>
      </c>
      <c r="H290" t="s">
        <v>856</v>
      </c>
      <c r="I290" t="s">
        <v>1009</v>
      </c>
    </row>
    <row r="291" spans="1:9" x14ac:dyDescent="0.25">
      <c r="A291" t="s">
        <v>513</v>
      </c>
      <c r="B291" t="s">
        <v>2350</v>
      </c>
      <c r="C291" t="s">
        <v>856</v>
      </c>
      <c r="D291" t="s">
        <v>856</v>
      </c>
      <c r="E291" t="s">
        <v>1009</v>
      </c>
      <c r="F291" t="s">
        <v>856</v>
      </c>
      <c r="G291" t="s">
        <v>1009</v>
      </c>
      <c r="H291" t="s">
        <v>856</v>
      </c>
      <c r="I291" t="s">
        <v>1009</v>
      </c>
    </row>
    <row r="292" spans="1:9" x14ac:dyDescent="0.25">
      <c r="A292" t="s">
        <v>514</v>
      </c>
      <c r="B292" t="s">
        <v>515</v>
      </c>
      <c r="C292" t="s">
        <v>856</v>
      </c>
      <c r="D292" t="s">
        <v>856</v>
      </c>
      <c r="E292" t="s">
        <v>1009</v>
      </c>
      <c r="F292" t="s">
        <v>856</v>
      </c>
      <c r="G292" t="s">
        <v>1009</v>
      </c>
      <c r="H292" t="s">
        <v>856</v>
      </c>
      <c r="I292" t="s">
        <v>1009</v>
      </c>
    </row>
    <row r="293" spans="1:9" x14ac:dyDescent="0.25">
      <c r="A293" t="s">
        <v>516</v>
      </c>
      <c r="B293" t="s">
        <v>1051</v>
      </c>
      <c r="C293" t="s">
        <v>856</v>
      </c>
      <c r="D293" t="s">
        <v>854</v>
      </c>
      <c r="E293" t="s">
        <v>1008</v>
      </c>
      <c r="F293" t="s">
        <v>854</v>
      </c>
      <c r="G293" t="s">
        <v>1008</v>
      </c>
      <c r="H293" t="s">
        <v>854</v>
      </c>
      <c r="I293" t="s">
        <v>1008</v>
      </c>
    </row>
    <row r="294" spans="1:9" x14ac:dyDescent="0.25">
      <c r="A294" t="s">
        <v>517</v>
      </c>
      <c r="B294" t="s">
        <v>2351</v>
      </c>
      <c r="C294" t="s">
        <v>856</v>
      </c>
      <c r="D294" t="s">
        <v>856</v>
      </c>
      <c r="E294" t="s">
        <v>1009</v>
      </c>
      <c r="F294" t="s">
        <v>856</v>
      </c>
      <c r="G294" t="s">
        <v>1009</v>
      </c>
      <c r="H294" t="s">
        <v>856</v>
      </c>
      <c r="I294" t="s">
        <v>1009</v>
      </c>
    </row>
    <row r="295" spans="1:9" x14ac:dyDescent="0.25">
      <c r="A295" t="s">
        <v>518</v>
      </c>
      <c r="B295" t="s">
        <v>519</v>
      </c>
      <c r="C295" t="s">
        <v>856</v>
      </c>
      <c r="D295" t="s">
        <v>856</v>
      </c>
      <c r="E295" t="s">
        <v>1009</v>
      </c>
      <c r="F295" t="s">
        <v>854</v>
      </c>
      <c r="G295" t="s">
        <v>1008</v>
      </c>
      <c r="H295" t="s">
        <v>856</v>
      </c>
      <c r="I295" t="s">
        <v>1009</v>
      </c>
    </row>
    <row r="296" spans="1:9" x14ac:dyDescent="0.25">
      <c r="A296" t="s">
        <v>520</v>
      </c>
      <c r="B296" t="s">
        <v>521</v>
      </c>
      <c r="C296" t="s">
        <v>854</v>
      </c>
      <c r="D296" t="s">
        <v>854</v>
      </c>
      <c r="E296" t="s">
        <v>1009</v>
      </c>
      <c r="F296" t="s">
        <v>854</v>
      </c>
      <c r="G296" t="s">
        <v>1008</v>
      </c>
      <c r="H296" t="s">
        <v>856</v>
      </c>
      <c r="I296" t="s">
        <v>1009</v>
      </c>
    </row>
    <row r="297" spans="1:9" x14ac:dyDescent="0.25">
      <c r="A297" t="s">
        <v>522</v>
      </c>
      <c r="B297" t="s">
        <v>523</v>
      </c>
      <c r="C297" t="s">
        <v>856</v>
      </c>
      <c r="D297" t="s">
        <v>856</v>
      </c>
      <c r="E297" t="s">
        <v>1009</v>
      </c>
      <c r="F297" t="s">
        <v>856</v>
      </c>
      <c r="G297" t="s">
        <v>1009</v>
      </c>
      <c r="H297" t="s">
        <v>856</v>
      </c>
      <c r="I297" t="s">
        <v>1009</v>
      </c>
    </row>
    <row r="298" spans="1:9" x14ac:dyDescent="0.25">
      <c r="A298" t="s">
        <v>524</v>
      </c>
      <c r="B298" t="s">
        <v>525</v>
      </c>
      <c r="C298" t="s">
        <v>854</v>
      </c>
      <c r="D298" t="s">
        <v>854</v>
      </c>
      <c r="E298" t="s">
        <v>1009</v>
      </c>
      <c r="F298" t="s">
        <v>856</v>
      </c>
      <c r="G298" t="s">
        <v>1009</v>
      </c>
      <c r="H298" t="s">
        <v>856</v>
      </c>
      <c r="I298" t="s">
        <v>1009</v>
      </c>
    </row>
    <row r="299" spans="1:9" x14ac:dyDescent="0.25">
      <c r="A299" t="s">
        <v>526</v>
      </c>
      <c r="B299" t="s">
        <v>527</v>
      </c>
      <c r="C299" t="s">
        <v>856</v>
      </c>
      <c r="D299" t="s">
        <v>856</v>
      </c>
      <c r="E299" t="s">
        <v>1009</v>
      </c>
      <c r="F299" t="s">
        <v>856</v>
      </c>
      <c r="G299" t="s">
        <v>1009</v>
      </c>
      <c r="H299" t="s">
        <v>856</v>
      </c>
      <c r="I299" t="s">
        <v>1009</v>
      </c>
    </row>
    <row r="300" spans="1:9" x14ac:dyDescent="0.25">
      <c r="A300" t="s">
        <v>528</v>
      </c>
      <c r="B300" t="s">
        <v>529</v>
      </c>
      <c r="C300" t="s">
        <v>854</v>
      </c>
      <c r="D300" t="s">
        <v>854</v>
      </c>
      <c r="E300" t="s">
        <v>1008</v>
      </c>
      <c r="F300" t="s">
        <v>854</v>
      </c>
      <c r="G300" t="s">
        <v>1008</v>
      </c>
      <c r="H300" t="s">
        <v>854</v>
      </c>
      <c r="I300" t="s">
        <v>1008</v>
      </c>
    </row>
    <row r="301" spans="1:9" x14ac:dyDescent="0.25">
      <c r="A301" t="s">
        <v>530</v>
      </c>
      <c r="B301" t="s">
        <v>531</v>
      </c>
      <c r="C301" t="s">
        <v>854</v>
      </c>
      <c r="D301" t="s">
        <v>854</v>
      </c>
      <c r="E301" t="s">
        <v>1009</v>
      </c>
      <c r="F301" t="s">
        <v>854</v>
      </c>
      <c r="G301" t="s">
        <v>1008</v>
      </c>
      <c r="H301" t="s">
        <v>856</v>
      </c>
      <c r="I301" t="s">
        <v>1009</v>
      </c>
    </row>
    <row r="302" spans="1:9" x14ac:dyDescent="0.25">
      <c r="A302" t="s">
        <v>532</v>
      </c>
      <c r="B302" t="s">
        <v>533</v>
      </c>
      <c r="C302" t="s">
        <v>854</v>
      </c>
      <c r="D302" t="s">
        <v>854</v>
      </c>
      <c r="E302" t="s">
        <v>1009</v>
      </c>
      <c r="F302" t="s">
        <v>854</v>
      </c>
      <c r="G302" t="s">
        <v>1008</v>
      </c>
      <c r="H302" t="s">
        <v>856</v>
      </c>
      <c r="I302" t="s">
        <v>1009</v>
      </c>
    </row>
    <row r="303" spans="1:9" x14ac:dyDescent="0.25">
      <c r="A303" t="s">
        <v>534</v>
      </c>
      <c r="B303" t="s">
        <v>2352</v>
      </c>
      <c r="C303" t="s">
        <v>856</v>
      </c>
      <c r="D303" t="s">
        <v>856</v>
      </c>
      <c r="E303" t="s">
        <v>1009</v>
      </c>
      <c r="F303" t="s">
        <v>856</v>
      </c>
      <c r="G303" t="s">
        <v>1009</v>
      </c>
      <c r="H303" t="s">
        <v>856</v>
      </c>
      <c r="I303" t="s">
        <v>1009</v>
      </c>
    </row>
    <row r="304" spans="1:9" x14ac:dyDescent="0.25">
      <c r="A304" t="s">
        <v>535</v>
      </c>
      <c r="B304" t="s">
        <v>536</v>
      </c>
      <c r="C304" t="s">
        <v>856</v>
      </c>
      <c r="D304" t="s">
        <v>856</v>
      </c>
      <c r="E304" t="s">
        <v>1009</v>
      </c>
      <c r="F304" t="s">
        <v>854</v>
      </c>
      <c r="G304" t="s">
        <v>1008</v>
      </c>
      <c r="H304" t="s">
        <v>856</v>
      </c>
      <c r="I304" t="s">
        <v>1009</v>
      </c>
    </row>
    <row r="305" spans="1:9" x14ac:dyDescent="0.25">
      <c r="A305" t="s">
        <v>537</v>
      </c>
      <c r="B305" t="s">
        <v>538</v>
      </c>
      <c r="C305" t="s">
        <v>854</v>
      </c>
      <c r="D305" t="s">
        <v>854</v>
      </c>
      <c r="E305" t="s">
        <v>1009</v>
      </c>
      <c r="F305" t="s">
        <v>854</v>
      </c>
      <c r="G305" t="s">
        <v>1008</v>
      </c>
      <c r="H305" t="s">
        <v>856</v>
      </c>
      <c r="I305" t="s">
        <v>1009</v>
      </c>
    </row>
    <row r="306" spans="1:9" x14ac:dyDescent="0.25">
      <c r="A306" t="s">
        <v>539</v>
      </c>
      <c r="B306" t="s">
        <v>540</v>
      </c>
      <c r="C306" t="s">
        <v>856</v>
      </c>
      <c r="D306" t="s">
        <v>856</v>
      </c>
      <c r="E306" t="s">
        <v>1009</v>
      </c>
      <c r="F306" t="s">
        <v>854</v>
      </c>
      <c r="G306" t="s">
        <v>1008</v>
      </c>
      <c r="H306" t="s">
        <v>856</v>
      </c>
      <c r="I306" t="s">
        <v>1009</v>
      </c>
    </row>
    <row r="307" spans="1:9" x14ac:dyDescent="0.25">
      <c r="A307" t="s">
        <v>541</v>
      </c>
      <c r="B307" t="s">
        <v>2353</v>
      </c>
      <c r="C307" t="s">
        <v>856</v>
      </c>
      <c r="D307" t="s">
        <v>856</v>
      </c>
      <c r="E307" t="s">
        <v>1009</v>
      </c>
      <c r="F307" t="s">
        <v>854</v>
      </c>
      <c r="G307" t="s">
        <v>1008</v>
      </c>
      <c r="H307" t="s">
        <v>856</v>
      </c>
      <c r="I307" t="s">
        <v>1009</v>
      </c>
    </row>
    <row r="308" spans="1:9" x14ac:dyDescent="0.25">
      <c r="A308" t="s">
        <v>542</v>
      </c>
      <c r="B308" t="s">
        <v>543</v>
      </c>
      <c r="C308" t="s">
        <v>854</v>
      </c>
      <c r="D308" t="s">
        <v>854</v>
      </c>
      <c r="E308" t="s">
        <v>1009</v>
      </c>
      <c r="F308" t="s">
        <v>856</v>
      </c>
      <c r="G308" t="s">
        <v>1009</v>
      </c>
      <c r="H308" t="s">
        <v>856</v>
      </c>
      <c r="I308" t="s">
        <v>1009</v>
      </c>
    </row>
    <row r="309" spans="1:9" x14ac:dyDescent="0.25">
      <c r="A309" t="s">
        <v>544</v>
      </c>
      <c r="B309" t="s">
        <v>2308</v>
      </c>
      <c r="C309" t="s">
        <v>856</v>
      </c>
      <c r="D309" t="s">
        <v>854</v>
      </c>
      <c r="E309" t="s">
        <v>1009</v>
      </c>
      <c r="F309" t="s">
        <v>854</v>
      </c>
      <c r="G309" t="s">
        <v>1008</v>
      </c>
      <c r="H309" t="s">
        <v>854</v>
      </c>
      <c r="I309" t="s">
        <v>1008</v>
      </c>
    </row>
    <row r="310" spans="1:9" x14ac:dyDescent="0.25">
      <c r="A310" t="s">
        <v>545</v>
      </c>
      <c r="B310" t="s">
        <v>546</v>
      </c>
      <c r="C310" t="s">
        <v>854</v>
      </c>
      <c r="D310" t="s">
        <v>854</v>
      </c>
      <c r="E310" t="s">
        <v>1009</v>
      </c>
      <c r="F310" t="s">
        <v>856</v>
      </c>
      <c r="G310" t="s">
        <v>1009</v>
      </c>
      <c r="H310" t="s">
        <v>856</v>
      </c>
      <c r="I310" t="s">
        <v>1009</v>
      </c>
    </row>
    <row r="311" spans="1:9" x14ac:dyDescent="0.25">
      <c r="A311" t="s">
        <v>547</v>
      </c>
      <c r="B311" t="s">
        <v>548</v>
      </c>
      <c r="C311" t="s">
        <v>854</v>
      </c>
      <c r="D311" t="s">
        <v>854</v>
      </c>
      <c r="E311" t="s">
        <v>1009</v>
      </c>
      <c r="F311" t="s">
        <v>856</v>
      </c>
      <c r="G311" t="s">
        <v>1009</v>
      </c>
      <c r="H311" t="s">
        <v>856</v>
      </c>
      <c r="I311" t="s">
        <v>1009</v>
      </c>
    </row>
    <row r="312" spans="1:9" x14ac:dyDescent="0.25">
      <c r="A312" t="s">
        <v>549</v>
      </c>
      <c r="B312" t="s">
        <v>550</v>
      </c>
      <c r="C312" t="s">
        <v>854</v>
      </c>
      <c r="D312" t="s">
        <v>854</v>
      </c>
      <c r="E312" t="s">
        <v>1009</v>
      </c>
      <c r="F312" t="s">
        <v>856</v>
      </c>
      <c r="G312" t="s">
        <v>1009</v>
      </c>
      <c r="H312" t="s">
        <v>856</v>
      </c>
      <c r="I312" t="s">
        <v>1009</v>
      </c>
    </row>
    <row r="313" spans="1:9" x14ac:dyDescent="0.25">
      <c r="A313" t="s">
        <v>551</v>
      </c>
      <c r="B313" t="s">
        <v>552</v>
      </c>
      <c r="C313" t="s">
        <v>854</v>
      </c>
      <c r="D313" t="s">
        <v>854</v>
      </c>
      <c r="E313" t="s">
        <v>1009</v>
      </c>
      <c r="F313" t="s">
        <v>854</v>
      </c>
      <c r="G313" t="s">
        <v>1008</v>
      </c>
      <c r="H313" t="s">
        <v>856</v>
      </c>
      <c r="I313" t="s">
        <v>1009</v>
      </c>
    </row>
    <row r="314" spans="1:9" x14ac:dyDescent="0.25">
      <c r="A314" t="s">
        <v>553</v>
      </c>
      <c r="B314" t="s">
        <v>554</v>
      </c>
      <c r="C314" t="s">
        <v>854</v>
      </c>
      <c r="D314" t="s">
        <v>854</v>
      </c>
      <c r="E314" t="s">
        <v>1008</v>
      </c>
      <c r="F314" t="s">
        <v>854</v>
      </c>
      <c r="G314" t="s">
        <v>1008</v>
      </c>
      <c r="H314" t="s">
        <v>854</v>
      </c>
      <c r="I314" t="s">
        <v>1008</v>
      </c>
    </row>
    <row r="315" spans="1:9" x14ac:dyDescent="0.25">
      <c r="A315" t="s">
        <v>555</v>
      </c>
      <c r="B315" t="s">
        <v>556</v>
      </c>
      <c r="C315" t="s">
        <v>856</v>
      </c>
      <c r="D315" t="s">
        <v>856</v>
      </c>
      <c r="E315" t="s">
        <v>1009</v>
      </c>
      <c r="F315" t="s">
        <v>854</v>
      </c>
      <c r="G315" t="s">
        <v>1008</v>
      </c>
      <c r="H315" t="s">
        <v>856</v>
      </c>
      <c r="I315" t="s">
        <v>1009</v>
      </c>
    </row>
    <row r="316" spans="1:9" x14ac:dyDescent="0.25">
      <c r="A316" t="s">
        <v>557</v>
      </c>
      <c r="B316" t="s">
        <v>558</v>
      </c>
      <c r="C316" t="s">
        <v>856</v>
      </c>
      <c r="D316" t="s">
        <v>856</v>
      </c>
      <c r="E316" t="s">
        <v>1009</v>
      </c>
      <c r="F316" t="s">
        <v>854</v>
      </c>
      <c r="G316" t="s">
        <v>1008</v>
      </c>
      <c r="H316" t="s">
        <v>856</v>
      </c>
      <c r="I316" t="s">
        <v>1009</v>
      </c>
    </row>
    <row r="317" spans="1:9" x14ac:dyDescent="0.25">
      <c r="A317" t="s">
        <v>559</v>
      </c>
      <c r="B317" t="s">
        <v>2354</v>
      </c>
      <c r="C317" t="s">
        <v>856</v>
      </c>
      <c r="D317" t="s">
        <v>856</v>
      </c>
      <c r="E317" t="s">
        <v>1009</v>
      </c>
      <c r="F317" t="s">
        <v>854</v>
      </c>
      <c r="G317" t="s">
        <v>1008</v>
      </c>
      <c r="H317" t="s">
        <v>856</v>
      </c>
      <c r="I317" t="s">
        <v>1009</v>
      </c>
    </row>
    <row r="318" spans="1:9" x14ac:dyDescent="0.25">
      <c r="A318" t="s">
        <v>560</v>
      </c>
      <c r="B318" t="s">
        <v>561</v>
      </c>
      <c r="C318" t="s">
        <v>854</v>
      </c>
      <c r="D318" t="s">
        <v>854</v>
      </c>
      <c r="E318" t="s">
        <v>1008</v>
      </c>
      <c r="F318" t="s">
        <v>856</v>
      </c>
      <c r="G318" t="s">
        <v>1009</v>
      </c>
      <c r="H318" t="s">
        <v>856</v>
      </c>
      <c r="I318" t="s">
        <v>1009</v>
      </c>
    </row>
    <row r="319" spans="1:9" x14ac:dyDescent="0.25">
      <c r="A319" t="s">
        <v>562</v>
      </c>
      <c r="B319" t="s">
        <v>563</v>
      </c>
      <c r="C319" t="s">
        <v>854</v>
      </c>
      <c r="D319" t="s">
        <v>854</v>
      </c>
      <c r="E319" t="s">
        <v>1009</v>
      </c>
      <c r="F319" t="s">
        <v>854</v>
      </c>
      <c r="G319" t="s">
        <v>1008</v>
      </c>
      <c r="H319" t="s">
        <v>856</v>
      </c>
      <c r="I319" t="s">
        <v>1009</v>
      </c>
    </row>
    <row r="320" spans="1:9" x14ac:dyDescent="0.25">
      <c r="A320" t="s">
        <v>564</v>
      </c>
      <c r="B320" t="s">
        <v>565</v>
      </c>
      <c r="C320" t="s">
        <v>856</v>
      </c>
      <c r="D320" t="s">
        <v>856</v>
      </c>
      <c r="E320" t="s">
        <v>1009</v>
      </c>
      <c r="F320" t="s">
        <v>856</v>
      </c>
      <c r="G320" t="s">
        <v>1009</v>
      </c>
      <c r="H320" t="s">
        <v>856</v>
      </c>
      <c r="I320" t="s">
        <v>1009</v>
      </c>
    </row>
    <row r="321" spans="1:9" x14ac:dyDescent="0.25">
      <c r="A321" t="s">
        <v>566</v>
      </c>
      <c r="B321" t="s">
        <v>567</v>
      </c>
      <c r="C321" t="s">
        <v>856</v>
      </c>
      <c r="D321" t="s">
        <v>856</v>
      </c>
      <c r="E321" t="s">
        <v>1009</v>
      </c>
      <c r="F321" t="s">
        <v>854</v>
      </c>
      <c r="G321" t="s">
        <v>1008</v>
      </c>
      <c r="H321" t="s">
        <v>856</v>
      </c>
      <c r="I321" t="s">
        <v>1009</v>
      </c>
    </row>
    <row r="322" spans="1:9" x14ac:dyDescent="0.25">
      <c r="A322" t="s">
        <v>568</v>
      </c>
      <c r="B322" t="s">
        <v>569</v>
      </c>
      <c r="C322" t="s">
        <v>854</v>
      </c>
      <c r="D322" t="s">
        <v>854</v>
      </c>
      <c r="E322" t="s">
        <v>1009</v>
      </c>
      <c r="F322" t="s">
        <v>856</v>
      </c>
      <c r="G322" t="s">
        <v>1009</v>
      </c>
      <c r="H322" t="s">
        <v>856</v>
      </c>
      <c r="I322" t="s">
        <v>1009</v>
      </c>
    </row>
    <row r="323" spans="1:9" x14ac:dyDescent="0.25">
      <c r="A323" t="s">
        <v>570</v>
      </c>
      <c r="B323" t="s">
        <v>571</v>
      </c>
      <c r="C323" t="s">
        <v>854</v>
      </c>
      <c r="D323" t="s">
        <v>854</v>
      </c>
      <c r="E323" t="s">
        <v>1009</v>
      </c>
      <c r="F323" t="s">
        <v>854</v>
      </c>
      <c r="G323" t="s">
        <v>1008</v>
      </c>
      <c r="H323" t="s">
        <v>856</v>
      </c>
      <c r="I323" t="s">
        <v>1009</v>
      </c>
    </row>
    <row r="324" spans="1:9" x14ac:dyDescent="0.25">
      <c r="A324" t="s">
        <v>572</v>
      </c>
      <c r="B324" t="s">
        <v>573</v>
      </c>
      <c r="C324" t="s">
        <v>854</v>
      </c>
      <c r="D324" t="s">
        <v>854</v>
      </c>
      <c r="E324" t="s">
        <v>1009</v>
      </c>
      <c r="F324" t="s">
        <v>854</v>
      </c>
      <c r="G324" t="s">
        <v>1008</v>
      </c>
      <c r="H324" t="s">
        <v>856</v>
      </c>
      <c r="I324" t="s">
        <v>1009</v>
      </c>
    </row>
    <row r="325" spans="1:9" x14ac:dyDescent="0.25">
      <c r="A325" t="s">
        <v>574</v>
      </c>
      <c r="B325" t="s">
        <v>575</v>
      </c>
      <c r="C325" t="s">
        <v>856</v>
      </c>
      <c r="D325" t="s">
        <v>856</v>
      </c>
      <c r="E325" t="s">
        <v>1009</v>
      </c>
      <c r="F325" t="s">
        <v>856</v>
      </c>
      <c r="G325" t="s">
        <v>1009</v>
      </c>
      <c r="H325" t="s">
        <v>856</v>
      </c>
      <c r="I325" t="s">
        <v>1009</v>
      </c>
    </row>
    <row r="326" spans="1:9" x14ac:dyDescent="0.25">
      <c r="A326" t="s">
        <v>576</v>
      </c>
      <c r="B326" t="s">
        <v>577</v>
      </c>
      <c r="C326" t="s">
        <v>856</v>
      </c>
      <c r="D326" t="s">
        <v>856</v>
      </c>
      <c r="E326" t="s">
        <v>1009</v>
      </c>
      <c r="F326" t="s">
        <v>854</v>
      </c>
      <c r="G326" t="s">
        <v>1008</v>
      </c>
      <c r="H326" t="s">
        <v>856</v>
      </c>
      <c r="I326" t="s">
        <v>1009</v>
      </c>
    </row>
    <row r="327" spans="1:9" x14ac:dyDescent="0.25">
      <c r="A327" t="s">
        <v>578</v>
      </c>
      <c r="B327" t="s">
        <v>579</v>
      </c>
      <c r="C327" t="s">
        <v>854</v>
      </c>
      <c r="D327" t="s">
        <v>856</v>
      </c>
      <c r="E327" t="s">
        <v>1009</v>
      </c>
      <c r="F327" t="s">
        <v>856</v>
      </c>
      <c r="G327" t="s">
        <v>1009</v>
      </c>
      <c r="H327" t="s">
        <v>854</v>
      </c>
      <c r="I327" t="s">
        <v>1009</v>
      </c>
    </row>
    <row r="328" spans="1:9" x14ac:dyDescent="0.25">
      <c r="A328" t="s">
        <v>580</v>
      </c>
      <c r="B328" t="s">
        <v>581</v>
      </c>
      <c r="C328" t="s">
        <v>854</v>
      </c>
      <c r="D328" t="s">
        <v>854</v>
      </c>
      <c r="E328" t="s">
        <v>1008</v>
      </c>
      <c r="F328" t="s">
        <v>854</v>
      </c>
      <c r="G328" t="s">
        <v>1008</v>
      </c>
      <c r="H328" t="s">
        <v>856</v>
      </c>
      <c r="I328" t="s">
        <v>1009</v>
      </c>
    </row>
    <row r="329" spans="1:9" x14ac:dyDescent="0.25">
      <c r="A329" t="s">
        <v>582</v>
      </c>
      <c r="B329" t="s">
        <v>583</v>
      </c>
      <c r="C329" t="s">
        <v>854</v>
      </c>
      <c r="D329" t="s">
        <v>854</v>
      </c>
      <c r="E329" t="s">
        <v>1009</v>
      </c>
      <c r="F329" t="s">
        <v>854</v>
      </c>
      <c r="G329" t="s">
        <v>1008</v>
      </c>
      <c r="H329" t="s">
        <v>854</v>
      </c>
      <c r="I329" t="s">
        <v>1009</v>
      </c>
    </row>
    <row r="330" spans="1:9" x14ac:dyDescent="0.25">
      <c r="A330" t="s">
        <v>584</v>
      </c>
      <c r="B330" t="s">
        <v>585</v>
      </c>
      <c r="C330" t="s">
        <v>854</v>
      </c>
      <c r="D330" t="s">
        <v>854</v>
      </c>
      <c r="E330" t="s">
        <v>1008</v>
      </c>
      <c r="F330" t="s">
        <v>856</v>
      </c>
      <c r="G330" t="s">
        <v>1009</v>
      </c>
      <c r="H330" t="s">
        <v>856</v>
      </c>
      <c r="I330" t="s">
        <v>1009</v>
      </c>
    </row>
    <row r="331" spans="1:9" x14ac:dyDescent="0.25">
      <c r="A331" t="s">
        <v>586</v>
      </c>
      <c r="B331" t="s">
        <v>587</v>
      </c>
      <c r="C331" t="s">
        <v>856</v>
      </c>
      <c r="D331" t="s">
        <v>856</v>
      </c>
      <c r="E331" t="s">
        <v>1009</v>
      </c>
      <c r="F331" t="s">
        <v>854</v>
      </c>
      <c r="G331" t="s">
        <v>1008</v>
      </c>
      <c r="H331" t="s">
        <v>856</v>
      </c>
      <c r="I331" t="s">
        <v>1009</v>
      </c>
    </row>
    <row r="332" spans="1:9" x14ac:dyDescent="0.25">
      <c r="A332" t="s">
        <v>588</v>
      </c>
      <c r="B332" t="s">
        <v>589</v>
      </c>
      <c r="C332" t="s">
        <v>856</v>
      </c>
      <c r="D332" t="s">
        <v>854</v>
      </c>
      <c r="E332" t="s">
        <v>1008</v>
      </c>
      <c r="F332" t="s">
        <v>854</v>
      </c>
      <c r="G332" t="s">
        <v>1008</v>
      </c>
      <c r="H332" t="s">
        <v>854</v>
      </c>
      <c r="I332" t="s">
        <v>1009</v>
      </c>
    </row>
    <row r="333" spans="1:9" x14ac:dyDescent="0.25">
      <c r="A333" t="s">
        <v>590</v>
      </c>
      <c r="B333" t="s">
        <v>591</v>
      </c>
      <c r="C333" t="s">
        <v>856</v>
      </c>
      <c r="D333" t="s">
        <v>854</v>
      </c>
      <c r="E333" t="s">
        <v>1009</v>
      </c>
      <c r="F333" t="s">
        <v>854</v>
      </c>
      <c r="G333" t="s">
        <v>1008</v>
      </c>
      <c r="H333" t="s">
        <v>856</v>
      </c>
      <c r="I333" t="s">
        <v>1009</v>
      </c>
    </row>
    <row r="334" spans="1:9" x14ac:dyDescent="0.25">
      <c r="A334" t="s">
        <v>592</v>
      </c>
      <c r="B334" t="s">
        <v>2355</v>
      </c>
      <c r="C334" t="s">
        <v>856</v>
      </c>
      <c r="D334" t="s">
        <v>856</v>
      </c>
      <c r="E334" t="s">
        <v>1009</v>
      </c>
      <c r="F334" t="s">
        <v>854</v>
      </c>
      <c r="G334" t="s">
        <v>1008</v>
      </c>
      <c r="H334" t="s">
        <v>856</v>
      </c>
      <c r="I334" t="s">
        <v>1009</v>
      </c>
    </row>
    <row r="335" spans="1:9" x14ac:dyDescent="0.25">
      <c r="A335" t="s">
        <v>593</v>
      </c>
      <c r="B335" t="s">
        <v>594</v>
      </c>
      <c r="C335" t="s">
        <v>2247</v>
      </c>
      <c r="D335" t="s">
        <v>856</v>
      </c>
      <c r="E335" t="s">
        <v>1009</v>
      </c>
      <c r="F335" t="s">
        <v>854</v>
      </c>
      <c r="G335" t="s">
        <v>1008</v>
      </c>
      <c r="H335" t="s">
        <v>2247</v>
      </c>
      <c r="I335" t="s">
        <v>1009</v>
      </c>
    </row>
    <row r="336" spans="1:9" x14ac:dyDescent="0.25">
      <c r="A336" t="s">
        <v>596</v>
      </c>
      <c r="B336" t="s">
        <v>597</v>
      </c>
      <c r="C336" t="s">
        <v>918</v>
      </c>
      <c r="D336" t="s">
        <v>854</v>
      </c>
      <c r="E336" t="s">
        <v>1009</v>
      </c>
      <c r="F336" t="s">
        <v>854</v>
      </c>
      <c r="G336" t="s">
        <v>1008</v>
      </c>
      <c r="H336" t="s">
        <v>856</v>
      </c>
      <c r="I336" t="s">
        <v>1009</v>
      </c>
    </row>
    <row r="337" spans="1:9" x14ac:dyDescent="0.25">
      <c r="A337" t="s">
        <v>598</v>
      </c>
      <c r="B337" t="s">
        <v>599</v>
      </c>
      <c r="C337" t="s">
        <v>2247</v>
      </c>
      <c r="D337" t="s">
        <v>856</v>
      </c>
      <c r="E337" t="s">
        <v>1009</v>
      </c>
      <c r="F337" t="s">
        <v>854</v>
      </c>
      <c r="G337" t="s">
        <v>1008</v>
      </c>
      <c r="H337" t="s">
        <v>2247</v>
      </c>
      <c r="I337" t="s">
        <v>1009</v>
      </c>
    </row>
    <row r="338" spans="1:9" x14ac:dyDescent="0.25">
      <c r="A338" t="s">
        <v>600</v>
      </c>
      <c r="B338" t="s">
        <v>601</v>
      </c>
      <c r="C338" t="s">
        <v>2247</v>
      </c>
      <c r="D338" t="s">
        <v>856</v>
      </c>
      <c r="E338" t="s">
        <v>1009</v>
      </c>
      <c r="F338" t="s">
        <v>856</v>
      </c>
      <c r="G338" t="s">
        <v>1009</v>
      </c>
      <c r="H338" t="s">
        <v>2247</v>
      </c>
      <c r="I338" t="s">
        <v>1009</v>
      </c>
    </row>
    <row r="339" spans="1:9" x14ac:dyDescent="0.25">
      <c r="A339" t="s">
        <v>602</v>
      </c>
      <c r="B339" t="s">
        <v>603</v>
      </c>
      <c r="C339" t="s">
        <v>918</v>
      </c>
      <c r="D339" t="s">
        <v>854</v>
      </c>
      <c r="E339" t="s">
        <v>1009</v>
      </c>
      <c r="F339" t="s">
        <v>854</v>
      </c>
      <c r="G339" t="s">
        <v>1008</v>
      </c>
      <c r="H339" t="s">
        <v>856</v>
      </c>
      <c r="I339" t="s">
        <v>1009</v>
      </c>
    </row>
    <row r="340" spans="1:9" x14ac:dyDescent="0.25">
      <c r="A340" t="s">
        <v>604</v>
      </c>
      <c r="B340" t="s">
        <v>1104</v>
      </c>
      <c r="C340" t="s">
        <v>856</v>
      </c>
      <c r="D340" t="s">
        <v>854</v>
      </c>
      <c r="E340" t="s">
        <v>1009</v>
      </c>
      <c r="F340" t="s">
        <v>854</v>
      </c>
      <c r="G340" t="s">
        <v>1008</v>
      </c>
      <c r="H340" t="s">
        <v>856</v>
      </c>
      <c r="I340" t="s">
        <v>1009</v>
      </c>
    </row>
    <row r="341" spans="1:9" x14ac:dyDescent="0.25">
      <c r="A341" t="s">
        <v>605</v>
      </c>
      <c r="B341" t="s">
        <v>606</v>
      </c>
      <c r="C341" t="s">
        <v>918</v>
      </c>
      <c r="D341" t="s">
        <v>854</v>
      </c>
      <c r="E341" t="s">
        <v>1009</v>
      </c>
      <c r="F341" t="s">
        <v>854</v>
      </c>
      <c r="G341" t="s">
        <v>1008</v>
      </c>
      <c r="H341" t="s">
        <v>856</v>
      </c>
      <c r="I341" t="s">
        <v>1009</v>
      </c>
    </row>
    <row r="342" spans="1:9" x14ac:dyDescent="0.25">
      <c r="A342" t="s">
        <v>607</v>
      </c>
      <c r="B342" t="s">
        <v>608</v>
      </c>
      <c r="C342" t="s">
        <v>854</v>
      </c>
      <c r="D342" t="s">
        <v>854</v>
      </c>
      <c r="E342" t="s">
        <v>1009</v>
      </c>
      <c r="F342" t="s">
        <v>854</v>
      </c>
      <c r="G342" t="s">
        <v>1008</v>
      </c>
      <c r="H342" t="s">
        <v>854</v>
      </c>
      <c r="I342" t="s">
        <v>1009</v>
      </c>
    </row>
    <row r="343" spans="1:9" x14ac:dyDescent="0.25">
      <c r="A343" t="s">
        <v>609</v>
      </c>
      <c r="B343" t="s">
        <v>610</v>
      </c>
      <c r="C343" t="s">
        <v>918</v>
      </c>
      <c r="D343" t="s">
        <v>854</v>
      </c>
      <c r="E343" t="s">
        <v>1008</v>
      </c>
      <c r="F343" t="s">
        <v>856</v>
      </c>
      <c r="G343" t="s">
        <v>1009</v>
      </c>
      <c r="H343" t="s">
        <v>856</v>
      </c>
      <c r="I343" t="s">
        <v>1009</v>
      </c>
    </row>
    <row r="344" spans="1:9" x14ac:dyDescent="0.25">
      <c r="A344" t="s">
        <v>611</v>
      </c>
      <c r="B344" t="s">
        <v>612</v>
      </c>
      <c r="C344" t="s">
        <v>918</v>
      </c>
      <c r="D344" t="s">
        <v>856</v>
      </c>
      <c r="E344" t="s">
        <v>1009</v>
      </c>
      <c r="F344" t="s">
        <v>854</v>
      </c>
      <c r="G344" t="s">
        <v>1008</v>
      </c>
      <c r="H344" t="s">
        <v>856</v>
      </c>
      <c r="I344" t="s">
        <v>1009</v>
      </c>
    </row>
    <row r="345" spans="1:9" x14ac:dyDescent="0.25">
      <c r="A345" t="s">
        <v>613</v>
      </c>
      <c r="B345" t="s">
        <v>614</v>
      </c>
      <c r="C345" t="s">
        <v>854</v>
      </c>
      <c r="D345" t="s">
        <v>854</v>
      </c>
      <c r="E345" t="s">
        <v>1009</v>
      </c>
      <c r="F345" t="s">
        <v>854</v>
      </c>
      <c r="G345" t="s">
        <v>1008</v>
      </c>
      <c r="H345" t="s">
        <v>854</v>
      </c>
      <c r="I345" t="s">
        <v>1009</v>
      </c>
    </row>
    <row r="346" spans="1:9" x14ac:dyDescent="0.25">
      <c r="A346" t="s">
        <v>615</v>
      </c>
      <c r="B346" t="s">
        <v>616</v>
      </c>
      <c r="C346" t="s">
        <v>2247</v>
      </c>
      <c r="D346" t="s">
        <v>856</v>
      </c>
      <c r="E346" t="s">
        <v>1009</v>
      </c>
      <c r="F346" t="s">
        <v>854</v>
      </c>
      <c r="G346" t="s">
        <v>1008</v>
      </c>
      <c r="H346" t="s">
        <v>2247</v>
      </c>
      <c r="I346" t="s">
        <v>1009</v>
      </c>
    </row>
    <row r="347" spans="1:9" x14ac:dyDescent="0.25">
      <c r="A347" t="s">
        <v>617</v>
      </c>
      <c r="B347" t="s">
        <v>618</v>
      </c>
      <c r="C347" t="s">
        <v>2247</v>
      </c>
      <c r="D347" t="s">
        <v>856</v>
      </c>
      <c r="E347" t="s">
        <v>1009</v>
      </c>
      <c r="F347" t="s">
        <v>854</v>
      </c>
      <c r="G347" t="s">
        <v>1008</v>
      </c>
      <c r="H347" t="s">
        <v>2247</v>
      </c>
      <c r="I347" t="s">
        <v>1009</v>
      </c>
    </row>
    <row r="348" spans="1:9" x14ac:dyDescent="0.25">
      <c r="A348" t="s">
        <v>619</v>
      </c>
      <c r="B348" t="s">
        <v>620</v>
      </c>
      <c r="C348" t="s">
        <v>2247</v>
      </c>
      <c r="D348" t="s">
        <v>856</v>
      </c>
      <c r="E348" t="s">
        <v>1009</v>
      </c>
      <c r="F348" t="s">
        <v>854</v>
      </c>
      <c r="G348" t="s">
        <v>1008</v>
      </c>
      <c r="H348" t="s">
        <v>2247</v>
      </c>
      <c r="I348" t="s">
        <v>1009</v>
      </c>
    </row>
    <row r="349" spans="1:9" x14ac:dyDescent="0.25">
      <c r="A349" t="s">
        <v>621</v>
      </c>
      <c r="B349" t="s">
        <v>622</v>
      </c>
      <c r="C349" t="s">
        <v>856</v>
      </c>
      <c r="D349" t="s">
        <v>854</v>
      </c>
      <c r="E349" t="s">
        <v>1009</v>
      </c>
      <c r="F349" t="s">
        <v>854</v>
      </c>
      <c r="G349" t="s">
        <v>1008</v>
      </c>
      <c r="H349" t="s">
        <v>854</v>
      </c>
      <c r="I349" t="s">
        <v>1009</v>
      </c>
    </row>
    <row r="350" spans="1:9" x14ac:dyDescent="0.25">
      <c r="A350" t="s">
        <v>623</v>
      </c>
      <c r="B350" t="s">
        <v>624</v>
      </c>
      <c r="C350" t="s">
        <v>2247</v>
      </c>
      <c r="D350" t="s">
        <v>856</v>
      </c>
      <c r="E350" t="s">
        <v>1009</v>
      </c>
      <c r="F350" t="s">
        <v>854</v>
      </c>
      <c r="G350" t="s">
        <v>1008</v>
      </c>
      <c r="H350" t="s">
        <v>2247</v>
      </c>
      <c r="I350" t="s">
        <v>1009</v>
      </c>
    </row>
    <row r="351" spans="1:9" x14ac:dyDescent="0.25">
      <c r="A351" t="s">
        <v>625</v>
      </c>
      <c r="B351" t="s">
        <v>626</v>
      </c>
      <c r="C351" t="s">
        <v>2247</v>
      </c>
      <c r="D351" t="s">
        <v>856</v>
      </c>
      <c r="E351" t="s">
        <v>1009</v>
      </c>
      <c r="F351" t="s">
        <v>854</v>
      </c>
      <c r="G351" t="s">
        <v>1008</v>
      </c>
      <c r="H351" t="s">
        <v>2247</v>
      </c>
      <c r="I351" t="s">
        <v>1009</v>
      </c>
    </row>
    <row r="352" spans="1:9" x14ac:dyDescent="0.25">
      <c r="A352" t="s">
        <v>627</v>
      </c>
      <c r="B352" t="s">
        <v>628</v>
      </c>
      <c r="C352" t="s">
        <v>856</v>
      </c>
      <c r="D352" t="s">
        <v>854</v>
      </c>
      <c r="E352" t="s">
        <v>1009</v>
      </c>
      <c r="F352" t="s">
        <v>854</v>
      </c>
      <c r="G352" t="s">
        <v>1008</v>
      </c>
      <c r="H352" t="s">
        <v>856</v>
      </c>
      <c r="I352" t="s">
        <v>1009</v>
      </c>
    </row>
    <row r="353" spans="1:9" x14ac:dyDescent="0.25">
      <c r="A353" t="s">
        <v>629</v>
      </c>
      <c r="B353" t="s">
        <v>1064</v>
      </c>
      <c r="C353" t="s">
        <v>856</v>
      </c>
      <c r="D353" t="s">
        <v>854</v>
      </c>
      <c r="E353" t="s">
        <v>1008</v>
      </c>
      <c r="F353" t="s">
        <v>854</v>
      </c>
      <c r="G353" t="s">
        <v>1008</v>
      </c>
      <c r="H353" t="s">
        <v>854</v>
      </c>
      <c r="I353" t="s">
        <v>1009</v>
      </c>
    </row>
    <row r="354" spans="1:9" x14ac:dyDescent="0.25">
      <c r="A354" t="s">
        <v>630</v>
      </c>
      <c r="B354" t="s">
        <v>631</v>
      </c>
      <c r="C354" t="s">
        <v>2247</v>
      </c>
      <c r="D354" t="s">
        <v>856</v>
      </c>
      <c r="E354" t="s">
        <v>1009</v>
      </c>
      <c r="F354" t="s">
        <v>854</v>
      </c>
      <c r="G354" t="s">
        <v>1008</v>
      </c>
      <c r="H354" t="s">
        <v>2247</v>
      </c>
      <c r="I354" t="s">
        <v>1009</v>
      </c>
    </row>
    <row r="355" spans="1:9" x14ac:dyDescent="0.25">
      <c r="A355" t="s">
        <v>632</v>
      </c>
      <c r="B355" t="s">
        <v>633</v>
      </c>
      <c r="C355" t="s">
        <v>918</v>
      </c>
      <c r="D355" t="s">
        <v>854</v>
      </c>
      <c r="E355" t="s">
        <v>1009</v>
      </c>
      <c r="F355" t="s">
        <v>854</v>
      </c>
      <c r="G355" t="s">
        <v>1008</v>
      </c>
      <c r="H355" t="s">
        <v>856</v>
      </c>
      <c r="I355" t="s">
        <v>1009</v>
      </c>
    </row>
    <row r="356" spans="1:9" x14ac:dyDescent="0.25">
      <c r="A356" t="s">
        <v>634</v>
      </c>
      <c r="B356" t="s">
        <v>635</v>
      </c>
      <c r="C356" t="s">
        <v>856</v>
      </c>
      <c r="D356" t="s">
        <v>854</v>
      </c>
      <c r="E356" t="s">
        <v>1009</v>
      </c>
      <c r="F356" t="s">
        <v>854</v>
      </c>
      <c r="G356" t="s">
        <v>1008</v>
      </c>
      <c r="H356" t="s">
        <v>854</v>
      </c>
      <c r="I356" t="s">
        <v>1008</v>
      </c>
    </row>
    <row r="357" spans="1:9" x14ac:dyDescent="0.25">
      <c r="A357" t="s">
        <v>636</v>
      </c>
      <c r="B357" t="s">
        <v>637</v>
      </c>
      <c r="C357" t="s">
        <v>2247</v>
      </c>
      <c r="D357" t="s">
        <v>856</v>
      </c>
      <c r="E357" t="s">
        <v>1009</v>
      </c>
      <c r="F357" t="s">
        <v>854</v>
      </c>
      <c r="G357" t="s">
        <v>1008</v>
      </c>
      <c r="H357" t="s">
        <v>2247</v>
      </c>
      <c r="I357" t="s">
        <v>1009</v>
      </c>
    </row>
    <row r="358" spans="1:9" x14ac:dyDescent="0.25">
      <c r="A358" t="s">
        <v>638</v>
      </c>
      <c r="B358" t="s">
        <v>639</v>
      </c>
      <c r="C358" t="s">
        <v>918</v>
      </c>
      <c r="D358" t="s">
        <v>854</v>
      </c>
      <c r="E358" t="s">
        <v>1008</v>
      </c>
      <c r="F358" t="s">
        <v>856</v>
      </c>
      <c r="G358" t="s">
        <v>1009</v>
      </c>
      <c r="H358" t="s">
        <v>856</v>
      </c>
      <c r="I358" t="s">
        <v>1009</v>
      </c>
    </row>
    <row r="359" spans="1:9" x14ac:dyDescent="0.25">
      <c r="A359" t="s">
        <v>640</v>
      </c>
      <c r="B359" t="s">
        <v>641</v>
      </c>
      <c r="C359" t="s">
        <v>2247</v>
      </c>
      <c r="D359" t="s">
        <v>856</v>
      </c>
      <c r="E359" t="s">
        <v>1009</v>
      </c>
      <c r="F359" t="s">
        <v>854</v>
      </c>
      <c r="G359" t="s">
        <v>1008</v>
      </c>
      <c r="H359" t="s">
        <v>2247</v>
      </c>
      <c r="I359" t="s">
        <v>1009</v>
      </c>
    </row>
    <row r="360" spans="1:9" x14ac:dyDescent="0.25">
      <c r="A360" t="s">
        <v>642</v>
      </c>
      <c r="B360" t="s">
        <v>643</v>
      </c>
      <c r="C360" t="s">
        <v>2247</v>
      </c>
      <c r="D360" t="s">
        <v>856</v>
      </c>
      <c r="E360" t="s">
        <v>1009</v>
      </c>
      <c r="F360" t="s">
        <v>854</v>
      </c>
      <c r="G360" t="s">
        <v>1008</v>
      </c>
      <c r="H360" t="s">
        <v>2247</v>
      </c>
      <c r="I360" t="s">
        <v>1009</v>
      </c>
    </row>
    <row r="361" spans="1:9" x14ac:dyDescent="0.25">
      <c r="A361" t="s">
        <v>644</v>
      </c>
      <c r="B361" t="s">
        <v>645</v>
      </c>
      <c r="C361" t="s">
        <v>918</v>
      </c>
      <c r="D361" t="s">
        <v>854</v>
      </c>
      <c r="E361" t="s">
        <v>1009</v>
      </c>
      <c r="F361" t="s">
        <v>854</v>
      </c>
      <c r="G361" t="s">
        <v>1008</v>
      </c>
      <c r="H361" t="s">
        <v>856</v>
      </c>
      <c r="I361" t="s">
        <v>1009</v>
      </c>
    </row>
    <row r="362" spans="1:9" x14ac:dyDescent="0.25">
      <c r="A362" t="s">
        <v>646</v>
      </c>
      <c r="B362" t="s">
        <v>647</v>
      </c>
      <c r="C362" t="s">
        <v>918</v>
      </c>
      <c r="D362" t="s">
        <v>854</v>
      </c>
      <c r="E362" t="s">
        <v>1009</v>
      </c>
      <c r="F362" t="s">
        <v>854</v>
      </c>
      <c r="G362" t="s">
        <v>1008</v>
      </c>
      <c r="H362" t="s">
        <v>856</v>
      </c>
      <c r="I362" t="s">
        <v>1009</v>
      </c>
    </row>
    <row r="363" spans="1:9" x14ac:dyDescent="0.25">
      <c r="A363" t="s">
        <v>648</v>
      </c>
      <c r="B363" t="s">
        <v>649</v>
      </c>
      <c r="C363" t="s">
        <v>918</v>
      </c>
      <c r="D363" t="s">
        <v>854</v>
      </c>
      <c r="E363" t="s">
        <v>1008</v>
      </c>
      <c r="F363" t="s">
        <v>854</v>
      </c>
      <c r="G363" t="s">
        <v>1008</v>
      </c>
      <c r="H363" t="s">
        <v>856</v>
      </c>
      <c r="I363" t="s">
        <v>1009</v>
      </c>
    </row>
    <row r="364" spans="1:9" x14ac:dyDescent="0.25">
      <c r="A364" t="s">
        <v>650</v>
      </c>
      <c r="B364" t="s">
        <v>651</v>
      </c>
      <c r="C364" t="s">
        <v>2247</v>
      </c>
      <c r="D364" t="s">
        <v>856</v>
      </c>
      <c r="E364" t="s">
        <v>1009</v>
      </c>
      <c r="F364" t="s">
        <v>854</v>
      </c>
      <c r="G364" t="s">
        <v>1008</v>
      </c>
      <c r="H364" t="s">
        <v>2247</v>
      </c>
      <c r="I364" t="s">
        <v>1009</v>
      </c>
    </row>
    <row r="365" spans="1:9" x14ac:dyDescent="0.25">
      <c r="A365" t="s">
        <v>652</v>
      </c>
      <c r="B365" t="s">
        <v>653</v>
      </c>
      <c r="C365" t="s">
        <v>2247</v>
      </c>
      <c r="D365" t="s">
        <v>856</v>
      </c>
      <c r="E365" t="s">
        <v>1009</v>
      </c>
      <c r="F365" t="s">
        <v>854</v>
      </c>
      <c r="G365" t="s">
        <v>1008</v>
      </c>
      <c r="H365" t="s">
        <v>2247</v>
      </c>
      <c r="I365" t="s">
        <v>1009</v>
      </c>
    </row>
    <row r="366" spans="1:9" x14ac:dyDescent="0.25">
      <c r="A366" t="s">
        <v>654</v>
      </c>
      <c r="B366" t="s">
        <v>655</v>
      </c>
      <c r="C366" t="s">
        <v>2247</v>
      </c>
      <c r="D366" t="s">
        <v>856</v>
      </c>
      <c r="E366" t="s">
        <v>1009</v>
      </c>
      <c r="F366" t="s">
        <v>854</v>
      </c>
      <c r="G366" t="s">
        <v>1008</v>
      </c>
      <c r="H366" t="s">
        <v>2247</v>
      </c>
      <c r="I366" t="s">
        <v>1009</v>
      </c>
    </row>
    <row r="367" spans="1:9" x14ac:dyDescent="0.25">
      <c r="A367" t="s">
        <v>656</v>
      </c>
      <c r="B367" t="s">
        <v>2256</v>
      </c>
      <c r="C367" t="s">
        <v>856</v>
      </c>
      <c r="D367" t="s">
        <v>854</v>
      </c>
      <c r="E367" t="s">
        <v>1008</v>
      </c>
      <c r="F367" t="s">
        <v>854</v>
      </c>
      <c r="G367" t="s">
        <v>1008</v>
      </c>
      <c r="H367" t="s">
        <v>856</v>
      </c>
      <c r="I367" t="s">
        <v>1009</v>
      </c>
    </row>
    <row r="368" spans="1:9" x14ac:dyDescent="0.25">
      <c r="A368" t="s">
        <v>657</v>
      </c>
      <c r="B368" t="s">
        <v>658</v>
      </c>
      <c r="C368" t="s">
        <v>2247</v>
      </c>
      <c r="D368" t="s">
        <v>856</v>
      </c>
      <c r="E368" t="s">
        <v>1009</v>
      </c>
      <c r="F368" t="s">
        <v>854</v>
      </c>
      <c r="G368" t="s">
        <v>1008</v>
      </c>
      <c r="H368" t="s">
        <v>2247</v>
      </c>
      <c r="I368" t="s">
        <v>1009</v>
      </c>
    </row>
    <row r="369" spans="1:9" x14ac:dyDescent="0.25">
      <c r="A369" t="s">
        <v>659</v>
      </c>
      <c r="B369" t="s">
        <v>660</v>
      </c>
      <c r="C369" t="s">
        <v>856</v>
      </c>
      <c r="D369" t="s">
        <v>856</v>
      </c>
      <c r="E369" t="s">
        <v>1009</v>
      </c>
      <c r="F369" t="s">
        <v>856</v>
      </c>
      <c r="G369" t="s">
        <v>1009</v>
      </c>
      <c r="H369" t="s">
        <v>856</v>
      </c>
      <c r="I369" t="s">
        <v>1009</v>
      </c>
    </row>
    <row r="370" spans="1:9" x14ac:dyDescent="0.25">
      <c r="A370" t="s">
        <v>661</v>
      </c>
      <c r="B370" t="s">
        <v>662</v>
      </c>
      <c r="C370" t="s">
        <v>2247</v>
      </c>
      <c r="D370" t="s">
        <v>856</v>
      </c>
      <c r="E370" t="s">
        <v>1009</v>
      </c>
      <c r="F370" t="s">
        <v>854</v>
      </c>
      <c r="G370" t="s">
        <v>1008</v>
      </c>
      <c r="H370" t="s">
        <v>2247</v>
      </c>
      <c r="I370" t="s">
        <v>1009</v>
      </c>
    </row>
    <row r="371" spans="1:9" x14ac:dyDescent="0.25">
      <c r="A371" t="s">
        <v>663</v>
      </c>
      <c r="B371" t="s">
        <v>664</v>
      </c>
      <c r="C371" t="s">
        <v>2247</v>
      </c>
      <c r="D371" t="s">
        <v>856</v>
      </c>
      <c r="E371" t="s">
        <v>1009</v>
      </c>
      <c r="F371" t="s">
        <v>854</v>
      </c>
      <c r="G371" t="s">
        <v>1008</v>
      </c>
      <c r="H371" t="s">
        <v>2247</v>
      </c>
      <c r="I371" t="s">
        <v>1009</v>
      </c>
    </row>
    <row r="372" spans="1:9" x14ac:dyDescent="0.25">
      <c r="A372" t="s">
        <v>665</v>
      </c>
      <c r="B372" t="s">
        <v>666</v>
      </c>
      <c r="C372" t="s">
        <v>856</v>
      </c>
      <c r="D372" t="s">
        <v>854</v>
      </c>
      <c r="E372" t="s">
        <v>1009</v>
      </c>
      <c r="F372" t="s">
        <v>854</v>
      </c>
      <c r="G372" t="s">
        <v>1008</v>
      </c>
      <c r="H372" t="s">
        <v>854</v>
      </c>
      <c r="I372" t="s">
        <v>1008</v>
      </c>
    </row>
    <row r="373" spans="1:9" x14ac:dyDescent="0.25">
      <c r="A373" t="s">
        <v>667</v>
      </c>
      <c r="B373" t="s">
        <v>668</v>
      </c>
      <c r="C373" t="s">
        <v>918</v>
      </c>
      <c r="D373" t="s">
        <v>854</v>
      </c>
      <c r="E373" t="s">
        <v>1009</v>
      </c>
      <c r="F373" t="s">
        <v>854</v>
      </c>
      <c r="G373" t="s">
        <v>1008</v>
      </c>
      <c r="H373" t="s">
        <v>856</v>
      </c>
      <c r="I373" t="s">
        <v>1009</v>
      </c>
    </row>
    <row r="374" spans="1:9" x14ac:dyDescent="0.25">
      <c r="A374" t="s">
        <v>669</v>
      </c>
      <c r="B374" t="s">
        <v>670</v>
      </c>
      <c r="C374" t="s">
        <v>2247</v>
      </c>
      <c r="D374" t="s">
        <v>856</v>
      </c>
      <c r="E374" t="s">
        <v>1009</v>
      </c>
      <c r="F374" t="s">
        <v>854</v>
      </c>
      <c r="G374" t="s">
        <v>1008</v>
      </c>
      <c r="H374" t="s">
        <v>2247</v>
      </c>
      <c r="I374" t="s">
        <v>1009</v>
      </c>
    </row>
    <row r="375" spans="1:9" x14ac:dyDescent="0.25">
      <c r="A375" t="s">
        <v>671</v>
      </c>
      <c r="B375" t="s">
        <v>672</v>
      </c>
      <c r="C375" t="s">
        <v>2247</v>
      </c>
      <c r="D375" t="s">
        <v>856</v>
      </c>
      <c r="E375" t="s">
        <v>1009</v>
      </c>
      <c r="F375" t="s">
        <v>854</v>
      </c>
      <c r="G375" t="s">
        <v>1008</v>
      </c>
      <c r="H375" t="s">
        <v>2247</v>
      </c>
      <c r="I375" t="s">
        <v>1009</v>
      </c>
    </row>
    <row r="376" spans="1:9" x14ac:dyDescent="0.25">
      <c r="A376" t="s">
        <v>673</v>
      </c>
      <c r="B376" t="s">
        <v>674</v>
      </c>
      <c r="C376" t="s">
        <v>2247</v>
      </c>
      <c r="D376" t="s">
        <v>856</v>
      </c>
      <c r="E376" t="s">
        <v>1009</v>
      </c>
      <c r="F376" t="s">
        <v>854</v>
      </c>
      <c r="G376" t="s">
        <v>1008</v>
      </c>
      <c r="H376" t="s">
        <v>2247</v>
      </c>
      <c r="I376" t="s">
        <v>1009</v>
      </c>
    </row>
    <row r="377" spans="1:9" x14ac:dyDescent="0.25">
      <c r="A377" t="s">
        <v>675</v>
      </c>
      <c r="B377" t="s">
        <v>676</v>
      </c>
      <c r="C377" t="s">
        <v>2247</v>
      </c>
      <c r="D377" t="s">
        <v>856</v>
      </c>
      <c r="E377" t="s">
        <v>1009</v>
      </c>
      <c r="F377" t="s">
        <v>854</v>
      </c>
      <c r="G377" t="s">
        <v>1008</v>
      </c>
      <c r="H377" t="s">
        <v>2247</v>
      </c>
      <c r="I377" t="s">
        <v>1009</v>
      </c>
    </row>
    <row r="378" spans="1:9" x14ac:dyDescent="0.25">
      <c r="A378" t="s">
        <v>677</v>
      </c>
      <c r="B378" t="s">
        <v>678</v>
      </c>
      <c r="C378" t="s">
        <v>2247</v>
      </c>
      <c r="D378" t="s">
        <v>856</v>
      </c>
      <c r="E378" t="s">
        <v>1009</v>
      </c>
      <c r="F378" t="s">
        <v>854</v>
      </c>
      <c r="G378" t="s">
        <v>1008</v>
      </c>
      <c r="H378" t="s">
        <v>2247</v>
      </c>
      <c r="I378" t="s">
        <v>1009</v>
      </c>
    </row>
    <row r="379" spans="1:9" x14ac:dyDescent="0.25">
      <c r="A379" t="s">
        <v>679</v>
      </c>
      <c r="B379" t="s">
        <v>680</v>
      </c>
      <c r="C379" t="s">
        <v>854</v>
      </c>
      <c r="D379" t="s">
        <v>854</v>
      </c>
      <c r="E379" t="s">
        <v>1009</v>
      </c>
      <c r="F379" t="s">
        <v>854</v>
      </c>
      <c r="G379" t="s">
        <v>1008</v>
      </c>
      <c r="H379" t="s">
        <v>856</v>
      </c>
      <c r="I379" t="s">
        <v>1009</v>
      </c>
    </row>
    <row r="380" spans="1:9" x14ac:dyDescent="0.25">
      <c r="A380" t="s">
        <v>681</v>
      </c>
      <c r="B380" t="s">
        <v>682</v>
      </c>
      <c r="C380" t="s">
        <v>856</v>
      </c>
      <c r="D380" t="s">
        <v>856</v>
      </c>
      <c r="E380" t="s">
        <v>1009</v>
      </c>
      <c r="F380" t="s">
        <v>854</v>
      </c>
      <c r="G380" t="s">
        <v>1008</v>
      </c>
      <c r="H380" t="s">
        <v>856</v>
      </c>
      <c r="I380" t="s">
        <v>1009</v>
      </c>
    </row>
    <row r="381" spans="1:9" x14ac:dyDescent="0.25">
      <c r="A381" t="s">
        <v>683</v>
      </c>
      <c r="B381" t="s">
        <v>684</v>
      </c>
      <c r="C381" t="s">
        <v>2247</v>
      </c>
      <c r="D381" t="s">
        <v>856</v>
      </c>
      <c r="E381" t="s">
        <v>1009</v>
      </c>
      <c r="F381" t="s">
        <v>854</v>
      </c>
      <c r="G381" t="s">
        <v>1008</v>
      </c>
      <c r="H381" t="s">
        <v>2247</v>
      </c>
      <c r="I381" t="s">
        <v>1009</v>
      </c>
    </row>
    <row r="382" spans="1:9" x14ac:dyDescent="0.25">
      <c r="A382" t="s">
        <v>685</v>
      </c>
      <c r="B382" t="s">
        <v>686</v>
      </c>
      <c r="C382" t="s">
        <v>856</v>
      </c>
      <c r="D382" t="s">
        <v>854</v>
      </c>
      <c r="E382" t="s">
        <v>1008</v>
      </c>
      <c r="F382" t="s">
        <v>854</v>
      </c>
      <c r="G382" t="s">
        <v>1008</v>
      </c>
      <c r="H382" t="s">
        <v>856</v>
      </c>
      <c r="I382" t="s">
        <v>1009</v>
      </c>
    </row>
    <row r="383" spans="1:9" x14ac:dyDescent="0.25">
      <c r="A383" t="s">
        <v>687</v>
      </c>
      <c r="B383" t="s">
        <v>688</v>
      </c>
      <c r="C383" t="s">
        <v>856</v>
      </c>
      <c r="D383" t="s">
        <v>854</v>
      </c>
      <c r="E383" t="s">
        <v>1009</v>
      </c>
      <c r="F383" t="s">
        <v>854</v>
      </c>
      <c r="G383" t="s">
        <v>1008</v>
      </c>
      <c r="H383" t="s">
        <v>856</v>
      </c>
      <c r="I383" t="s">
        <v>1009</v>
      </c>
    </row>
    <row r="384" spans="1:9" x14ac:dyDescent="0.25">
      <c r="A384" t="s">
        <v>689</v>
      </c>
      <c r="B384" t="s">
        <v>690</v>
      </c>
      <c r="C384" t="s">
        <v>856</v>
      </c>
      <c r="D384" t="s">
        <v>854</v>
      </c>
      <c r="E384" t="s">
        <v>1009</v>
      </c>
      <c r="F384" t="s">
        <v>854</v>
      </c>
      <c r="G384" t="s">
        <v>1008</v>
      </c>
      <c r="H384" t="s">
        <v>856</v>
      </c>
      <c r="I384" t="s">
        <v>1009</v>
      </c>
    </row>
    <row r="385" spans="1:9" x14ac:dyDescent="0.25">
      <c r="A385" t="s">
        <v>691</v>
      </c>
      <c r="B385" t="s">
        <v>692</v>
      </c>
      <c r="C385" t="s">
        <v>854</v>
      </c>
      <c r="D385" t="s">
        <v>854</v>
      </c>
      <c r="E385" t="s">
        <v>1009</v>
      </c>
      <c r="F385" t="s">
        <v>854</v>
      </c>
      <c r="G385" t="s">
        <v>1008</v>
      </c>
      <c r="H385" t="s">
        <v>856</v>
      </c>
      <c r="I385" t="s">
        <v>1009</v>
      </c>
    </row>
    <row r="386" spans="1:9" x14ac:dyDescent="0.25">
      <c r="A386" t="s">
        <v>693</v>
      </c>
      <c r="B386" t="s">
        <v>694</v>
      </c>
      <c r="C386" t="s">
        <v>856</v>
      </c>
      <c r="D386" t="s">
        <v>854</v>
      </c>
      <c r="E386" t="s">
        <v>1009</v>
      </c>
      <c r="F386" t="s">
        <v>854</v>
      </c>
      <c r="G386" t="s">
        <v>1008</v>
      </c>
      <c r="H386" t="s">
        <v>856</v>
      </c>
      <c r="I386" t="s">
        <v>1009</v>
      </c>
    </row>
    <row r="387" spans="1:9" x14ac:dyDescent="0.25">
      <c r="A387" t="s">
        <v>695</v>
      </c>
      <c r="B387" t="s">
        <v>696</v>
      </c>
      <c r="C387" t="s">
        <v>856</v>
      </c>
      <c r="D387" t="s">
        <v>854</v>
      </c>
      <c r="E387" t="s">
        <v>1009</v>
      </c>
      <c r="F387" t="s">
        <v>854</v>
      </c>
      <c r="G387" t="s">
        <v>1008</v>
      </c>
      <c r="H387" t="s">
        <v>856</v>
      </c>
      <c r="I387" t="s">
        <v>1009</v>
      </c>
    </row>
    <row r="388" spans="1:9" x14ac:dyDescent="0.25">
      <c r="A388" t="s">
        <v>697</v>
      </c>
      <c r="B388" t="s">
        <v>698</v>
      </c>
      <c r="C388" t="s">
        <v>856</v>
      </c>
      <c r="D388" t="s">
        <v>854</v>
      </c>
      <c r="E388" t="s">
        <v>1008</v>
      </c>
      <c r="F388" t="s">
        <v>854</v>
      </c>
      <c r="G388" t="s">
        <v>1008</v>
      </c>
      <c r="H388" t="s">
        <v>856</v>
      </c>
      <c r="I388" t="s">
        <v>1009</v>
      </c>
    </row>
    <row r="389" spans="1:9" x14ac:dyDescent="0.25">
      <c r="A389" t="s">
        <v>699</v>
      </c>
      <c r="B389" t="s">
        <v>700</v>
      </c>
      <c r="C389" t="s">
        <v>856</v>
      </c>
      <c r="D389" t="s">
        <v>856</v>
      </c>
      <c r="E389" t="s">
        <v>1009</v>
      </c>
      <c r="F389" t="s">
        <v>854</v>
      </c>
      <c r="G389" t="s">
        <v>1008</v>
      </c>
      <c r="H389" t="s">
        <v>854</v>
      </c>
      <c r="I389" t="s">
        <v>1009</v>
      </c>
    </row>
    <row r="390" spans="1:9" x14ac:dyDescent="0.25">
      <c r="A390" t="s">
        <v>701</v>
      </c>
      <c r="B390" t="s">
        <v>1410</v>
      </c>
      <c r="C390" t="s">
        <v>856</v>
      </c>
      <c r="D390" t="s">
        <v>854</v>
      </c>
      <c r="E390" t="s">
        <v>1009</v>
      </c>
      <c r="F390" t="s">
        <v>854</v>
      </c>
      <c r="G390" t="s">
        <v>1008</v>
      </c>
      <c r="H390" t="s">
        <v>856</v>
      </c>
      <c r="I390" t="s">
        <v>1009</v>
      </c>
    </row>
    <row r="391" spans="1:9" x14ac:dyDescent="0.25">
      <c r="A391" t="s">
        <v>702</v>
      </c>
      <c r="B391" t="s">
        <v>703</v>
      </c>
      <c r="C391" t="s">
        <v>854</v>
      </c>
      <c r="D391" t="s">
        <v>854</v>
      </c>
      <c r="E391" t="s">
        <v>1009</v>
      </c>
      <c r="F391" t="s">
        <v>854</v>
      </c>
      <c r="G391" t="s">
        <v>1008</v>
      </c>
      <c r="H391" t="s">
        <v>854</v>
      </c>
      <c r="I391" t="s">
        <v>1009</v>
      </c>
    </row>
    <row r="392" spans="1:9" x14ac:dyDescent="0.25">
      <c r="A392" t="s">
        <v>704</v>
      </c>
      <c r="B392" t="s">
        <v>2358</v>
      </c>
      <c r="C392" t="s">
        <v>856</v>
      </c>
      <c r="D392" t="s">
        <v>856</v>
      </c>
      <c r="E392" t="s">
        <v>1009</v>
      </c>
      <c r="F392" t="s">
        <v>854</v>
      </c>
      <c r="G392" t="s">
        <v>1008</v>
      </c>
      <c r="H392" t="s">
        <v>856</v>
      </c>
      <c r="I392" t="s">
        <v>1009</v>
      </c>
    </row>
    <row r="393" spans="1:9" x14ac:dyDescent="0.25">
      <c r="A393" t="s">
        <v>705</v>
      </c>
      <c r="B393" t="s">
        <v>706</v>
      </c>
      <c r="C393" t="s">
        <v>856</v>
      </c>
      <c r="D393" t="s">
        <v>856</v>
      </c>
      <c r="E393" t="s">
        <v>1009</v>
      </c>
      <c r="F393" t="s">
        <v>854</v>
      </c>
      <c r="G393" t="s">
        <v>1008</v>
      </c>
      <c r="H393" t="s">
        <v>856</v>
      </c>
      <c r="I393" t="s">
        <v>1009</v>
      </c>
    </row>
    <row r="394" spans="1:9" x14ac:dyDescent="0.25">
      <c r="A394" t="s">
        <v>707</v>
      </c>
      <c r="B394" t="s">
        <v>2258</v>
      </c>
      <c r="C394" t="s">
        <v>856</v>
      </c>
      <c r="D394" t="s">
        <v>854</v>
      </c>
      <c r="E394" t="s">
        <v>1009</v>
      </c>
      <c r="F394" t="s">
        <v>854</v>
      </c>
      <c r="G394" t="s">
        <v>1008</v>
      </c>
      <c r="H394" t="s">
        <v>856</v>
      </c>
      <c r="I394" t="s">
        <v>1009</v>
      </c>
    </row>
    <row r="395" spans="1:9" x14ac:dyDescent="0.25">
      <c r="A395" t="s">
        <v>708</v>
      </c>
      <c r="B395" t="s">
        <v>709</v>
      </c>
      <c r="C395" t="s">
        <v>856</v>
      </c>
      <c r="D395" t="s">
        <v>854</v>
      </c>
      <c r="E395" t="s">
        <v>1009</v>
      </c>
      <c r="F395" t="s">
        <v>854</v>
      </c>
      <c r="G395" t="s">
        <v>1008</v>
      </c>
      <c r="H395" t="s">
        <v>856</v>
      </c>
      <c r="I395" t="s">
        <v>1009</v>
      </c>
    </row>
    <row r="396" spans="1:9" x14ac:dyDescent="0.25">
      <c r="A396" t="s">
        <v>710</v>
      </c>
      <c r="B396" t="s">
        <v>711</v>
      </c>
      <c r="C396" t="s">
        <v>856</v>
      </c>
      <c r="D396" t="s">
        <v>854</v>
      </c>
      <c r="E396" t="s">
        <v>1008</v>
      </c>
      <c r="F396" t="s">
        <v>854</v>
      </c>
      <c r="G396" t="s">
        <v>1008</v>
      </c>
      <c r="H396" t="s">
        <v>856</v>
      </c>
      <c r="I396" t="s">
        <v>1009</v>
      </c>
    </row>
    <row r="397" spans="1:9" x14ac:dyDescent="0.25">
      <c r="A397" t="s">
        <v>712</v>
      </c>
      <c r="B397" t="s">
        <v>713</v>
      </c>
      <c r="C397" t="s">
        <v>856</v>
      </c>
      <c r="D397" t="s">
        <v>854</v>
      </c>
      <c r="E397" t="s">
        <v>1009</v>
      </c>
      <c r="F397" t="s">
        <v>854</v>
      </c>
      <c r="G397" t="s">
        <v>1008</v>
      </c>
      <c r="H397" t="s">
        <v>856</v>
      </c>
      <c r="I397" t="s">
        <v>1009</v>
      </c>
    </row>
    <row r="398" spans="1:9" x14ac:dyDescent="0.25">
      <c r="A398" t="s">
        <v>714</v>
      </c>
      <c r="B398" t="s">
        <v>715</v>
      </c>
      <c r="C398" t="s">
        <v>856</v>
      </c>
      <c r="D398" t="s">
        <v>856</v>
      </c>
      <c r="E398" t="s">
        <v>1009</v>
      </c>
      <c r="F398" t="s">
        <v>854</v>
      </c>
      <c r="G398" t="s">
        <v>1008</v>
      </c>
      <c r="H398" t="s">
        <v>854</v>
      </c>
      <c r="I398" t="s">
        <v>1009</v>
      </c>
    </row>
    <row r="399" spans="1:9" x14ac:dyDescent="0.25">
      <c r="A399" t="s">
        <v>716</v>
      </c>
      <c r="B399" t="s">
        <v>717</v>
      </c>
      <c r="C399" t="s">
        <v>856</v>
      </c>
      <c r="D399" t="s">
        <v>854</v>
      </c>
      <c r="E399" t="s">
        <v>1008</v>
      </c>
      <c r="F399" t="s">
        <v>854</v>
      </c>
      <c r="G399" t="s">
        <v>1008</v>
      </c>
      <c r="H399" t="s">
        <v>854</v>
      </c>
      <c r="I399" t="s">
        <v>1008</v>
      </c>
    </row>
    <row r="400" spans="1:9" x14ac:dyDescent="0.25">
      <c r="A400" t="s">
        <v>718</v>
      </c>
      <c r="B400" t="s">
        <v>719</v>
      </c>
      <c r="C400" t="s">
        <v>856</v>
      </c>
      <c r="D400" t="s">
        <v>854</v>
      </c>
      <c r="E400" t="s">
        <v>1009</v>
      </c>
      <c r="F400" t="s">
        <v>854</v>
      </c>
      <c r="G400" t="s">
        <v>1008</v>
      </c>
      <c r="H400" t="s">
        <v>856</v>
      </c>
      <c r="I400" t="s">
        <v>1009</v>
      </c>
    </row>
    <row r="401" spans="1:9" x14ac:dyDescent="0.25">
      <c r="A401" t="s">
        <v>720</v>
      </c>
      <c r="B401" t="s">
        <v>721</v>
      </c>
      <c r="C401" t="s">
        <v>856</v>
      </c>
      <c r="D401" t="s">
        <v>854</v>
      </c>
      <c r="E401" t="s">
        <v>1009</v>
      </c>
      <c r="F401" t="s">
        <v>854</v>
      </c>
      <c r="G401" t="s">
        <v>1008</v>
      </c>
      <c r="H401" t="s">
        <v>856</v>
      </c>
      <c r="I401" t="s">
        <v>1009</v>
      </c>
    </row>
    <row r="402" spans="1:9" x14ac:dyDescent="0.25">
      <c r="A402" t="s">
        <v>722</v>
      </c>
      <c r="B402" t="s">
        <v>723</v>
      </c>
      <c r="C402" t="s">
        <v>918</v>
      </c>
      <c r="D402" t="s">
        <v>854</v>
      </c>
      <c r="E402" t="s">
        <v>1009</v>
      </c>
      <c r="F402" t="s">
        <v>854</v>
      </c>
      <c r="G402" t="s">
        <v>1008</v>
      </c>
      <c r="H402" t="s">
        <v>854</v>
      </c>
      <c r="I402" t="s">
        <v>1009</v>
      </c>
    </row>
    <row r="403" spans="1:9" x14ac:dyDescent="0.25">
      <c r="A403" t="s">
        <v>724</v>
      </c>
      <c r="B403" t="s">
        <v>725</v>
      </c>
      <c r="C403" t="s">
        <v>856</v>
      </c>
      <c r="D403" t="s">
        <v>854</v>
      </c>
      <c r="E403" t="s">
        <v>1009</v>
      </c>
      <c r="F403" t="s">
        <v>854</v>
      </c>
      <c r="G403" t="s">
        <v>1008</v>
      </c>
      <c r="H403" t="s">
        <v>856</v>
      </c>
      <c r="I403" t="s">
        <v>1009</v>
      </c>
    </row>
    <row r="404" spans="1:9" x14ac:dyDescent="0.25">
      <c r="A404" t="s">
        <v>726</v>
      </c>
      <c r="B404" t="s">
        <v>727</v>
      </c>
      <c r="C404" t="s">
        <v>856</v>
      </c>
      <c r="D404" t="s">
        <v>854</v>
      </c>
      <c r="E404" t="s">
        <v>1008</v>
      </c>
      <c r="F404" t="s">
        <v>854</v>
      </c>
      <c r="G404" t="s">
        <v>1008</v>
      </c>
      <c r="H404" t="s">
        <v>856</v>
      </c>
      <c r="I404" t="s">
        <v>1009</v>
      </c>
    </row>
    <row r="405" spans="1:9" x14ac:dyDescent="0.25">
      <c r="A405" t="s">
        <v>728</v>
      </c>
      <c r="B405" t="s">
        <v>729</v>
      </c>
      <c r="C405" t="s">
        <v>918</v>
      </c>
      <c r="D405" t="s">
        <v>854</v>
      </c>
      <c r="E405" t="s">
        <v>1009</v>
      </c>
      <c r="F405" t="s">
        <v>854</v>
      </c>
      <c r="G405" t="s">
        <v>1008</v>
      </c>
      <c r="H405" t="s">
        <v>856</v>
      </c>
      <c r="I405" t="s">
        <v>1009</v>
      </c>
    </row>
    <row r="406" spans="1:9" x14ac:dyDescent="0.25">
      <c r="A406" t="s">
        <v>730</v>
      </c>
      <c r="B406" t="s">
        <v>731</v>
      </c>
      <c r="C406" t="s">
        <v>856</v>
      </c>
      <c r="D406" t="s">
        <v>854</v>
      </c>
      <c r="E406" t="s">
        <v>1009</v>
      </c>
      <c r="F406" t="s">
        <v>854</v>
      </c>
      <c r="G406" t="s">
        <v>1008</v>
      </c>
      <c r="H406" t="s">
        <v>854</v>
      </c>
      <c r="I406" t="s">
        <v>1009</v>
      </c>
    </row>
    <row r="407" spans="1:9" x14ac:dyDescent="0.25">
      <c r="A407" t="s">
        <v>732</v>
      </c>
      <c r="B407" t="s">
        <v>733</v>
      </c>
      <c r="C407" t="s">
        <v>856</v>
      </c>
      <c r="D407" t="s">
        <v>854</v>
      </c>
      <c r="E407" t="s">
        <v>1008</v>
      </c>
      <c r="F407" t="s">
        <v>854</v>
      </c>
      <c r="G407" t="s">
        <v>1008</v>
      </c>
      <c r="H407" t="s">
        <v>856</v>
      </c>
      <c r="I407" t="s">
        <v>1009</v>
      </c>
    </row>
    <row r="408" spans="1:9" x14ac:dyDescent="0.25">
      <c r="A408" t="s">
        <v>734</v>
      </c>
      <c r="B408" t="s">
        <v>735</v>
      </c>
      <c r="C408" t="s">
        <v>856</v>
      </c>
      <c r="D408" t="s">
        <v>854</v>
      </c>
      <c r="E408" t="s">
        <v>1009</v>
      </c>
      <c r="F408" t="s">
        <v>854</v>
      </c>
      <c r="G408" t="s">
        <v>1008</v>
      </c>
      <c r="H408" t="s">
        <v>856</v>
      </c>
      <c r="I408" t="s">
        <v>1009</v>
      </c>
    </row>
    <row r="409" spans="1:9" x14ac:dyDescent="0.25">
      <c r="A409" t="s">
        <v>736</v>
      </c>
      <c r="B409" t="s">
        <v>737</v>
      </c>
      <c r="C409" t="s">
        <v>918</v>
      </c>
      <c r="D409" t="s">
        <v>856</v>
      </c>
      <c r="E409" t="s">
        <v>1009</v>
      </c>
      <c r="F409" t="s">
        <v>854</v>
      </c>
      <c r="G409" t="s">
        <v>1008</v>
      </c>
      <c r="H409" t="s">
        <v>856</v>
      </c>
      <c r="I409" t="s">
        <v>1009</v>
      </c>
    </row>
    <row r="410" spans="1:9" x14ac:dyDescent="0.25">
      <c r="A410" t="s">
        <v>937</v>
      </c>
      <c r="B410" t="s">
        <v>961</v>
      </c>
      <c r="C410" t="s">
        <v>856</v>
      </c>
      <c r="D410" t="s">
        <v>854</v>
      </c>
      <c r="E410" t="s">
        <v>1009</v>
      </c>
      <c r="F410" t="s">
        <v>854</v>
      </c>
      <c r="G410" t="s">
        <v>1008</v>
      </c>
      <c r="H410" t="s">
        <v>856</v>
      </c>
      <c r="I410" t="s">
        <v>1009</v>
      </c>
    </row>
    <row r="411" spans="1:9" x14ac:dyDescent="0.25">
      <c r="A411" t="s">
        <v>938</v>
      </c>
      <c r="B411" t="s">
        <v>962</v>
      </c>
      <c r="C411" t="s">
        <v>856</v>
      </c>
      <c r="D411" t="s">
        <v>854</v>
      </c>
      <c r="E411" t="s">
        <v>1008</v>
      </c>
      <c r="F411" t="s">
        <v>854</v>
      </c>
      <c r="G411" t="s">
        <v>1008</v>
      </c>
      <c r="H411" t="s">
        <v>854</v>
      </c>
      <c r="I411" t="s">
        <v>1008</v>
      </c>
    </row>
    <row r="412" spans="1:9" x14ac:dyDescent="0.25">
      <c r="A412" t="s">
        <v>738</v>
      </c>
      <c r="B412" t="s">
        <v>739</v>
      </c>
      <c r="C412" t="s">
        <v>856</v>
      </c>
      <c r="D412" t="s">
        <v>854</v>
      </c>
      <c r="E412" t="s">
        <v>1009</v>
      </c>
      <c r="F412" t="s">
        <v>854</v>
      </c>
      <c r="G412" t="s">
        <v>1008</v>
      </c>
      <c r="H412" t="s">
        <v>856</v>
      </c>
      <c r="I412" t="s">
        <v>1009</v>
      </c>
    </row>
    <row r="413" spans="1:9" x14ac:dyDescent="0.25">
      <c r="A413" t="s">
        <v>740</v>
      </c>
      <c r="B413" t="s">
        <v>741</v>
      </c>
      <c r="C413" t="s">
        <v>856</v>
      </c>
      <c r="D413" t="s">
        <v>856</v>
      </c>
      <c r="E413" t="s">
        <v>1009</v>
      </c>
      <c r="F413" t="s">
        <v>854</v>
      </c>
      <c r="G413" t="s">
        <v>1008</v>
      </c>
      <c r="H413" t="s">
        <v>854</v>
      </c>
      <c r="I413" t="s">
        <v>1009</v>
      </c>
    </row>
    <row r="414" spans="1:9" x14ac:dyDescent="0.25">
      <c r="A414" t="s">
        <v>742</v>
      </c>
      <c r="B414" t="s">
        <v>743</v>
      </c>
      <c r="C414" t="s">
        <v>856</v>
      </c>
      <c r="D414" t="s">
        <v>854</v>
      </c>
      <c r="E414" t="s">
        <v>1009</v>
      </c>
      <c r="F414" t="s">
        <v>854</v>
      </c>
      <c r="G414" t="s">
        <v>1008</v>
      </c>
      <c r="H414" t="s">
        <v>856</v>
      </c>
      <c r="I414" t="s">
        <v>1009</v>
      </c>
    </row>
    <row r="415" spans="1:9" x14ac:dyDescent="0.25">
      <c r="A415" t="s">
        <v>939</v>
      </c>
      <c r="B415" t="s">
        <v>963</v>
      </c>
      <c r="C415" t="s">
        <v>854</v>
      </c>
      <c r="D415" t="s">
        <v>854</v>
      </c>
      <c r="E415" t="s">
        <v>1008</v>
      </c>
      <c r="F415" t="s">
        <v>854</v>
      </c>
      <c r="G415" t="s">
        <v>1008</v>
      </c>
      <c r="H415" t="s">
        <v>854</v>
      </c>
      <c r="I415" t="s">
        <v>1009</v>
      </c>
    </row>
    <row r="416" spans="1:9" x14ac:dyDescent="0.25">
      <c r="A416" t="s">
        <v>940</v>
      </c>
      <c r="B416" t="s">
        <v>964</v>
      </c>
      <c r="C416" t="s">
        <v>856</v>
      </c>
      <c r="D416" t="s">
        <v>854</v>
      </c>
      <c r="E416" t="s">
        <v>1008</v>
      </c>
      <c r="F416" t="s">
        <v>854</v>
      </c>
      <c r="G416" t="s">
        <v>1008</v>
      </c>
      <c r="H416" t="s">
        <v>854</v>
      </c>
      <c r="I416" t="s">
        <v>1008</v>
      </c>
    </row>
    <row r="417" spans="1:9" x14ac:dyDescent="0.25">
      <c r="A417" t="s">
        <v>852</v>
      </c>
      <c r="B417" t="s">
        <v>853</v>
      </c>
      <c r="C417" t="s">
        <v>854</v>
      </c>
      <c r="D417" t="s">
        <v>854</v>
      </c>
      <c r="E417" t="s">
        <v>1009</v>
      </c>
      <c r="F417" t="s">
        <v>854</v>
      </c>
      <c r="G417" t="s">
        <v>1008</v>
      </c>
      <c r="H417" t="s">
        <v>856</v>
      </c>
      <c r="I417" t="s">
        <v>1009</v>
      </c>
    </row>
    <row r="418" spans="1:9" x14ac:dyDescent="0.25">
      <c r="A418" t="s">
        <v>857</v>
      </c>
      <c r="B418" t="s">
        <v>858</v>
      </c>
      <c r="C418" t="s">
        <v>854</v>
      </c>
      <c r="D418" t="s">
        <v>854</v>
      </c>
      <c r="E418" t="s">
        <v>1008</v>
      </c>
      <c r="F418" t="s">
        <v>854</v>
      </c>
      <c r="G418" t="s">
        <v>1008</v>
      </c>
      <c r="H418" t="s">
        <v>856</v>
      </c>
      <c r="I418" t="s">
        <v>1009</v>
      </c>
    </row>
    <row r="419" spans="1:9" x14ac:dyDescent="0.25">
      <c r="A419" t="s">
        <v>860</v>
      </c>
      <c r="B419" t="s">
        <v>861</v>
      </c>
      <c r="C419" t="s">
        <v>854</v>
      </c>
      <c r="D419" t="s">
        <v>854</v>
      </c>
      <c r="E419" t="s">
        <v>1008</v>
      </c>
      <c r="F419" t="s">
        <v>854</v>
      </c>
      <c r="G419" t="s">
        <v>1008</v>
      </c>
      <c r="H419" t="s">
        <v>854</v>
      </c>
      <c r="I419" t="s">
        <v>1008</v>
      </c>
    </row>
    <row r="420" spans="1:9" x14ac:dyDescent="0.25">
      <c r="A420" t="s">
        <v>862</v>
      </c>
      <c r="B420" t="s">
        <v>863</v>
      </c>
      <c r="C420" t="s">
        <v>854</v>
      </c>
      <c r="D420" t="s">
        <v>854</v>
      </c>
      <c r="E420" t="s">
        <v>1009</v>
      </c>
      <c r="F420" t="s">
        <v>854</v>
      </c>
      <c r="G420" t="s">
        <v>1008</v>
      </c>
      <c r="H420" t="s">
        <v>854</v>
      </c>
      <c r="I420" t="s">
        <v>1008</v>
      </c>
    </row>
    <row r="421" spans="1:9" x14ac:dyDescent="0.25">
      <c r="A421" t="s">
        <v>864</v>
      </c>
      <c r="B421" t="s">
        <v>865</v>
      </c>
      <c r="C421" t="s">
        <v>918</v>
      </c>
      <c r="D421" t="s">
        <v>854</v>
      </c>
      <c r="E421" t="s">
        <v>1009</v>
      </c>
      <c r="F421" t="s">
        <v>854</v>
      </c>
      <c r="G421" t="s">
        <v>1008</v>
      </c>
      <c r="H421" t="s">
        <v>854</v>
      </c>
      <c r="I421" t="s">
        <v>1008</v>
      </c>
    </row>
    <row r="422" spans="1:9" x14ac:dyDescent="0.25">
      <c r="A422" t="s">
        <v>866</v>
      </c>
      <c r="B422" t="s">
        <v>867</v>
      </c>
      <c r="C422" t="s">
        <v>854</v>
      </c>
      <c r="D422" t="s">
        <v>854</v>
      </c>
      <c r="E422" t="s">
        <v>1008</v>
      </c>
      <c r="F422" t="s">
        <v>854</v>
      </c>
      <c r="G422" t="s">
        <v>1008</v>
      </c>
      <c r="H422" t="s">
        <v>854</v>
      </c>
      <c r="I422" t="s">
        <v>1009</v>
      </c>
    </row>
    <row r="423" spans="1:9" x14ac:dyDescent="0.25">
      <c r="A423" t="s">
        <v>868</v>
      </c>
      <c r="B423" t="s">
        <v>869</v>
      </c>
      <c r="C423" t="s">
        <v>856</v>
      </c>
      <c r="D423" t="s">
        <v>854</v>
      </c>
      <c r="E423" t="s">
        <v>1008</v>
      </c>
      <c r="F423" t="s">
        <v>854</v>
      </c>
      <c r="G423" t="s">
        <v>1008</v>
      </c>
      <c r="H423" t="s">
        <v>854</v>
      </c>
      <c r="I423" t="s">
        <v>1008</v>
      </c>
    </row>
    <row r="424" spans="1:9" x14ac:dyDescent="0.25">
      <c r="A424" t="s">
        <v>870</v>
      </c>
      <c r="B424" t="s">
        <v>871</v>
      </c>
      <c r="C424" t="s">
        <v>856</v>
      </c>
      <c r="D424" t="s">
        <v>856</v>
      </c>
      <c r="E424" t="s">
        <v>1009</v>
      </c>
      <c r="F424" t="s">
        <v>854</v>
      </c>
      <c r="G424" t="s">
        <v>1008</v>
      </c>
      <c r="H424" t="s">
        <v>854</v>
      </c>
      <c r="I424" t="s">
        <v>1008</v>
      </c>
    </row>
    <row r="425" spans="1:9" x14ac:dyDescent="0.25">
      <c r="A425" t="s">
        <v>872</v>
      </c>
      <c r="B425" t="s">
        <v>873</v>
      </c>
      <c r="C425" t="s">
        <v>854</v>
      </c>
      <c r="D425" t="s">
        <v>854</v>
      </c>
      <c r="E425" t="s">
        <v>1008</v>
      </c>
      <c r="F425" t="s">
        <v>854</v>
      </c>
      <c r="G425" t="s">
        <v>1008</v>
      </c>
      <c r="H425" t="s">
        <v>854</v>
      </c>
      <c r="I425" t="s">
        <v>1008</v>
      </c>
    </row>
    <row r="426" spans="1:9" x14ac:dyDescent="0.25">
      <c r="A426" t="s">
        <v>874</v>
      </c>
      <c r="B426" t="s">
        <v>875</v>
      </c>
      <c r="C426" t="s">
        <v>856</v>
      </c>
      <c r="D426" t="s">
        <v>854</v>
      </c>
      <c r="E426" t="s">
        <v>1009</v>
      </c>
      <c r="F426" t="s">
        <v>854</v>
      </c>
      <c r="G426" t="s">
        <v>1008</v>
      </c>
      <c r="H426" t="s">
        <v>854</v>
      </c>
      <c r="I426" t="s">
        <v>1008</v>
      </c>
    </row>
    <row r="427" spans="1:9" x14ac:dyDescent="0.25">
      <c r="A427" t="s">
        <v>876</v>
      </c>
      <c r="B427" t="s">
        <v>877</v>
      </c>
      <c r="C427" t="s">
        <v>856</v>
      </c>
      <c r="D427" t="s">
        <v>854</v>
      </c>
      <c r="E427" t="s">
        <v>1009</v>
      </c>
      <c r="F427" t="s">
        <v>854</v>
      </c>
      <c r="G427" t="s">
        <v>1008</v>
      </c>
      <c r="H427" t="s">
        <v>854</v>
      </c>
      <c r="I427" t="s">
        <v>1009</v>
      </c>
    </row>
    <row r="428" spans="1:9" x14ac:dyDescent="0.25">
      <c r="A428" t="s">
        <v>878</v>
      </c>
      <c r="B428" t="s">
        <v>879</v>
      </c>
      <c r="C428" t="s">
        <v>854</v>
      </c>
      <c r="D428" t="s">
        <v>854</v>
      </c>
      <c r="E428" t="s">
        <v>1009</v>
      </c>
      <c r="F428" t="s">
        <v>854</v>
      </c>
      <c r="G428" t="s">
        <v>1008</v>
      </c>
      <c r="H428" t="s">
        <v>854</v>
      </c>
      <c r="I428" t="s">
        <v>1009</v>
      </c>
    </row>
    <row r="429" spans="1:9" x14ac:dyDescent="0.25">
      <c r="A429" t="s">
        <v>941</v>
      </c>
      <c r="B429" t="s">
        <v>965</v>
      </c>
      <c r="C429" t="s">
        <v>854</v>
      </c>
      <c r="D429" t="s">
        <v>854</v>
      </c>
      <c r="E429" t="s">
        <v>1008</v>
      </c>
      <c r="F429" t="s">
        <v>854</v>
      </c>
      <c r="G429" t="s">
        <v>1008</v>
      </c>
      <c r="H429" t="s">
        <v>854</v>
      </c>
      <c r="I429" t="s">
        <v>1009</v>
      </c>
    </row>
    <row r="430" spans="1:9" x14ac:dyDescent="0.25">
      <c r="A430" t="s">
        <v>942</v>
      </c>
      <c r="B430" t="s">
        <v>966</v>
      </c>
      <c r="C430" t="s">
        <v>854</v>
      </c>
      <c r="D430" t="s">
        <v>854</v>
      </c>
      <c r="E430" t="s">
        <v>1009</v>
      </c>
      <c r="F430" t="s">
        <v>854</v>
      </c>
      <c r="G430" t="s">
        <v>1008</v>
      </c>
      <c r="H430" t="s">
        <v>854</v>
      </c>
      <c r="I430" t="s">
        <v>1009</v>
      </c>
    </row>
    <row r="431" spans="1:9" x14ac:dyDescent="0.25">
      <c r="A431" t="s">
        <v>943</v>
      </c>
      <c r="B431" t="s">
        <v>967</v>
      </c>
      <c r="C431" t="s">
        <v>856</v>
      </c>
      <c r="D431" t="s">
        <v>854</v>
      </c>
      <c r="E431" t="s">
        <v>1008</v>
      </c>
      <c r="F431" t="s">
        <v>854</v>
      </c>
      <c r="G431" t="s">
        <v>1008</v>
      </c>
      <c r="H431" t="s">
        <v>856</v>
      </c>
      <c r="I431" t="s">
        <v>1009</v>
      </c>
    </row>
    <row r="432" spans="1:9" x14ac:dyDescent="0.25">
      <c r="A432" t="s">
        <v>944</v>
      </c>
      <c r="B432" t="s">
        <v>968</v>
      </c>
      <c r="C432" t="s">
        <v>854</v>
      </c>
      <c r="D432" t="s">
        <v>854</v>
      </c>
      <c r="E432" t="s">
        <v>1008</v>
      </c>
      <c r="F432" t="s">
        <v>854</v>
      </c>
      <c r="G432" t="s">
        <v>1008</v>
      </c>
      <c r="H432" t="s">
        <v>854</v>
      </c>
      <c r="I432" t="s">
        <v>1009</v>
      </c>
    </row>
    <row r="433" spans="1:9" x14ac:dyDescent="0.25">
      <c r="A433" t="s">
        <v>744</v>
      </c>
      <c r="B433" t="s">
        <v>745</v>
      </c>
      <c r="C433" t="s">
        <v>854</v>
      </c>
      <c r="D433" t="s">
        <v>854</v>
      </c>
      <c r="E433" t="s">
        <v>1008</v>
      </c>
      <c r="F433" t="s">
        <v>854</v>
      </c>
      <c r="G433" t="s">
        <v>1008</v>
      </c>
      <c r="H433" t="s">
        <v>854</v>
      </c>
      <c r="I433" t="s">
        <v>1008</v>
      </c>
    </row>
    <row r="434" spans="1:9" x14ac:dyDescent="0.25">
      <c r="A434" t="s">
        <v>746</v>
      </c>
      <c r="B434" t="s">
        <v>747</v>
      </c>
      <c r="C434" t="s">
        <v>856</v>
      </c>
      <c r="D434" t="s">
        <v>854</v>
      </c>
      <c r="E434" t="s">
        <v>1009</v>
      </c>
      <c r="F434" t="s">
        <v>856</v>
      </c>
      <c r="G434" t="s">
        <v>1009</v>
      </c>
      <c r="H434" t="s">
        <v>856</v>
      </c>
      <c r="I434" t="s">
        <v>1009</v>
      </c>
    </row>
    <row r="435" spans="1:9" x14ac:dyDescent="0.25">
      <c r="A435" t="s">
        <v>748</v>
      </c>
      <c r="B435" t="s">
        <v>749</v>
      </c>
      <c r="C435" t="s">
        <v>856</v>
      </c>
      <c r="D435" t="s">
        <v>856</v>
      </c>
      <c r="E435" t="s">
        <v>1009</v>
      </c>
      <c r="F435" t="s">
        <v>854</v>
      </c>
      <c r="G435" t="s">
        <v>1008</v>
      </c>
      <c r="H435" t="s">
        <v>856</v>
      </c>
      <c r="I435" t="s">
        <v>1009</v>
      </c>
    </row>
    <row r="436" spans="1:9" x14ac:dyDescent="0.25">
      <c r="A436" t="s">
        <v>945</v>
      </c>
      <c r="B436" t="s">
        <v>969</v>
      </c>
      <c r="C436" t="s">
        <v>856</v>
      </c>
      <c r="D436" t="s">
        <v>854</v>
      </c>
      <c r="E436" t="s">
        <v>1008</v>
      </c>
      <c r="F436" t="s">
        <v>854</v>
      </c>
      <c r="G436" t="s">
        <v>1008</v>
      </c>
      <c r="H436" t="s">
        <v>854</v>
      </c>
      <c r="I436" t="s">
        <v>1009</v>
      </c>
    </row>
    <row r="437" spans="1:9" x14ac:dyDescent="0.25">
      <c r="A437" t="s">
        <v>946</v>
      </c>
      <c r="B437" t="s">
        <v>970</v>
      </c>
      <c r="C437" t="s">
        <v>856</v>
      </c>
      <c r="D437" t="s">
        <v>854</v>
      </c>
      <c r="E437" t="s">
        <v>1009</v>
      </c>
      <c r="F437" t="s">
        <v>854</v>
      </c>
      <c r="G437" t="s">
        <v>1008</v>
      </c>
      <c r="H437" t="s">
        <v>854</v>
      </c>
      <c r="I437" t="s">
        <v>1008</v>
      </c>
    </row>
    <row r="438" spans="1:9" x14ac:dyDescent="0.25">
      <c r="A438" t="s">
        <v>750</v>
      </c>
      <c r="B438" t="s">
        <v>751</v>
      </c>
      <c r="C438" t="s">
        <v>856</v>
      </c>
      <c r="D438" t="s">
        <v>854</v>
      </c>
      <c r="E438" t="s">
        <v>1008</v>
      </c>
      <c r="F438" t="s">
        <v>854</v>
      </c>
      <c r="G438" t="s">
        <v>1008</v>
      </c>
      <c r="H438" t="s">
        <v>854</v>
      </c>
      <c r="I438" t="s">
        <v>1009</v>
      </c>
    </row>
    <row r="439" spans="1:9" x14ac:dyDescent="0.25">
      <c r="A439" t="s">
        <v>753</v>
      </c>
      <c r="B439" t="s">
        <v>754</v>
      </c>
      <c r="C439" t="s">
        <v>856</v>
      </c>
      <c r="D439" t="s">
        <v>854</v>
      </c>
      <c r="E439" t="s">
        <v>1009</v>
      </c>
      <c r="F439" t="s">
        <v>854</v>
      </c>
      <c r="G439" t="s">
        <v>1008</v>
      </c>
      <c r="H439" t="s">
        <v>856</v>
      </c>
      <c r="I439" t="s">
        <v>1009</v>
      </c>
    </row>
    <row r="440" spans="1:9" x14ac:dyDescent="0.25">
      <c r="A440" t="s">
        <v>755</v>
      </c>
      <c r="B440" t="s">
        <v>2364</v>
      </c>
      <c r="C440" t="s">
        <v>856</v>
      </c>
      <c r="D440" t="s">
        <v>854</v>
      </c>
      <c r="E440" t="s">
        <v>1009</v>
      </c>
      <c r="F440" t="s">
        <v>854</v>
      </c>
      <c r="G440" t="s">
        <v>1008</v>
      </c>
      <c r="H440" t="s">
        <v>856</v>
      </c>
      <c r="I440" t="s">
        <v>1009</v>
      </c>
    </row>
    <row r="441" spans="1:9" x14ac:dyDescent="0.25">
      <c r="A441" t="s">
        <v>986</v>
      </c>
      <c r="B441" t="s">
        <v>987</v>
      </c>
      <c r="C441" t="s">
        <v>856</v>
      </c>
      <c r="D441" t="s">
        <v>854</v>
      </c>
      <c r="E441" t="s">
        <v>1009</v>
      </c>
      <c r="F441" t="s">
        <v>854</v>
      </c>
      <c r="G441" t="s">
        <v>1008</v>
      </c>
      <c r="H441" t="s">
        <v>856</v>
      </c>
      <c r="I441" t="s">
        <v>1009</v>
      </c>
    </row>
    <row r="442" spans="1:9" x14ac:dyDescent="0.25">
      <c r="A442" t="s">
        <v>756</v>
      </c>
      <c r="B442" t="s">
        <v>757</v>
      </c>
      <c r="C442" t="s">
        <v>856</v>
      </c>
      <c r="D442" t="s">
        <v>856</v>
      </c>
      <c r="E442" t="s">
        <v>1009</v>
      </c>
      <c r="F442" t="s">
        <v>856</v>
      </c>
      <c r="G442" t="s">
        <v>1009</v>
      </c>
      <c r="H442" t="s">
        <v>856</v>
      </c>
      <c r="I442" t="s">
        <v>1009</v>
      </c>
    </row>
    <row r="443" spans="1:9" x14ac:dyDescent="0.25">
      <c r="A443" t="s">
        <v>759</v>
      </c>
      <c r="B443" t="s">
        <v>2366</v>
      </c>
      <c r="C443" t="s">
        <v>2247</v>
      </c>
      <c r="D443" t="s">
        <v>856</v>
      </c>
      <c r="E443" t="s">
        <v>1009</v>
      </c>
      <c r="F443" t="s">
        <v>854</v>
      </c>
      <c r="G443" t="s">
        <v>1008</v>
      </c>
      <c r="H443" t="s">
        <v>2247</v>
      </c>
      <c r="I443" t="s">
        <v>1009</v>
      </c>
    </row>
    <row r="444" spans="1:9" x14ac:dyDescent="0.25">
      <c r="A444" t="s">
        <v>760</v>
      </c>
      <c r="B444" t="s">
        <v>2367</v>
      </c>
      <c r="C444" t="s">
        <v>2247</v>
      </c>
      <c r="D444" t="s">
        <v>856</v>
      </c>
      <c r="E444" t="s">
        <v>1009</v>
      </c>
      <c r="F444" t="s">
        <v>854</v>
      </c>
      <c r="G444" t="s">
        <v>1008</v>
      </c>
      <c r="H444" t="s">
        <v>2247</v>
      </c>
      <c r="I444" t="s">
        <v>1009</v>
      </c>
    </row>
    <row r="445" spans="1:9" x14ac:dyDescent="0.25">
      <c r="A445" t="s">
        <v>761</v>
      </c>
      <c r="B445" t="s">
        <v>762</v>
      </c>
      <c r="C445" t="s">
        <v>854</v>
      </c>
      <c r="D445" t="s">
        <v>854</v>
      </c>
      <c r="E445" t="s">
        <v>1009</v>
      </c>
      <c r="F445" t="s">
        <v>856</v>
      </c>
      <c r="G445" t="s">
        <v>1009</v>
      </c>
      <c r="H445" t="s">
        <v>856</v>
      </c>
      <c r="I445" t="s">
        <v>1009</v>
      </c>
    </row>
    <row r="446" spans="1:9" x14ac:dyDescent="0.25">
      <c r="A446" t="s">
        <v>763</v>
      </c>
      <c r="B446" t="s">
        <v>2368</v>
      </c>
      <c r="C446" t="s">
        <v>2247</v>
      </c>
      <c r="D446" t="s">
        <v>856</v>
      </c>
      <c r="E446" t="s">
        <v>1009</v>
      </c>
      <c r="F446" t="s">
        <v>854</v>
      </c>
      <c r="G446" t="s">
        <v>1008</v>
      </c>
      <c r="H446" t="s">
        <v>2247</v>
      </c>
      <c r="I446" t="s">
        <v>1009</v>
      </c>
    </row>
    <row r="447" spans="1:9" x14ac:dyDescent="0.25">
      <c r="A447" t="s">
        <v>764</v>
      </c>
      <c r="B447" t="s">
        <v>765</v>
      </c>
      <c r="C447" t="s">
        <v>854</v>
      </c>
      <c r="D447" t="s">
        <v>856</v>
      </c>
      <c r="E447" t="s">
        <v>1009</v>
      </c>
      <c r="F447" t="s">
        <v>854</v>
      </c>
      <c r="G447" t="s">
        <v>1008</v>
      </c>
      <c r="H447" t="s">
        <v>856</v>
      </c>
      <c r="I447" t="s">
        <v>1009</v>
      </c>
    </row>
    <row r="448" spans="1:9" x14ac:dyDescent="0.25">
      <c r="A448" t="s">
        <v>766</v>
      </c>
      <c r="B448" t="s">
        <v>2369</v>
      </c>
      <c r="C448" t="s">
        <v>2247</v>
      </c>
      <c r="D448" t="s">
        <v>856</v>
      </c>
      <c r="E448" t="s">
        <v>1009</v>
      </c>
      <c r="F448" t="s">
        <v>854</v>
      </c>
      <c r="G448" t="s">
        <v>1008</v>
      </c>
      <c r="H448" t="s">
        <v>2247</v>
      </c>
      <c r="I448" t="s">
        <v>1009</v>
      </c>
    </row>
    <row r="449" spans="1:9" x14ac:dyDescent="0.25">
      <c r="A449" t="s">
        <v>767</v>
      </c>
      <c r="B449" t="s">
        <v>2370</v>
      </c>
      <c r="C449" t="s">
        <v>2247</v>
      </c>
      <c r="D449" t="s">
        <v>856</v>
      </c>
      <c r="E449" t="s">
        <v>1009</v>
      </c>
      <c r="F449" t="s">
        <v>854</v>
      </c>
      <c r="G449" t="s">
        <v>1008</v>
      </c>
      <c r="H449" t="s">
        <v>2247</v>
      </c>
      <c r="I449" t="s">
        <v>1009</v>
      </c>
    </row>
    <row r="450" spans="1:9" x14ac:dyDescent="0.25">
      <c r="A450" t="s">
        <v>768</v>
      </c>
      <c r="B450" t="s">
        <v>2371</v>
      </c>
      <c r="C450" t="s">
        <v>854</v>
      </c>
      <c r="D450" t="s">
        <v>856</v>
      </c>
      <c r="E450" t="s">
        <v>1009</v>
      </c>
      <c r="F450" t="s">
        <v>856</v>
      </c>
      <c r="G450" t="s">
        <v>1009</v>
      </c>
      <c r="H450" t="s">
        <v>856</v>
      </c>
      <c r="I450" t="s">
        <v>1009</v>
      </c>
    </row>
    <row r="451" spans="1:9" x14ac:dyDescent="0.25">
      <c r="A451" t="s">
        <v>769</v>
      </c>
      <c r="B451" t="s">
        <v>2372</v>
      </c>
      <c r="C451" t="s">
        <v>854</v>
      </c>
      <c r="D451" t="s">
        <v>854</v>
      </c>
      <c r="E451" t="s">
        <v>1009</v>
      </c>
      <c r="F451" t="s">
        <v>856</v>
      </c>
      <c r="G451" t="s">
        <v>1009</v>
      </c>
      <c r="H451" t="s">
        <v>856</v>
      </c>
      <c r="I451" t="s">
        <v>1009</v>
      </c>
    </row>
    <row r="452" spans="1:9" x14ac:dyDescent="0.25">
      <c r="A452" t="s">
        <v>770</v>
      </c>
      <c r="B452" t="s">
        <v>2373</v>
      </c>
      <c r="C452" t="s">
        <v>2247</v>
      </c>
      <c r="D452" t="s">
        <v>856</v>
      </c>
      <c r="E452" t="s">
        <v>1009</v>
      </c>
      <c r="F452" t="s">
        <v>856</v>
      </c>
      <c r="G452" t="s">
        <v>1009</v>
      </c>
      <c r="H452" t="s">
        <v>2247</v>
      </c>
      <c r="I452" t="s">
        <v>1009</v>
      </c>
    </row>
    <row r="453" spans="1:9" x14ac:dyDescent="0.25">
      <c r="A453" t="s">
        <v>771</v>
      </c>
      <c r="B453" t="s">
        <v>2374</v>
      </c>
      <c r="C453" t="s">
        <v>2247</v>
      </c>
      <c r="D453" t="s">
        <v>856</v>
      </c>
      <c r="E453" t="s">
        <v>1009</v>
      </c>
      <c r="F453" t="s">
        <v>856</v>
      </c>
      <c r="G453" t="s">
        <v>1009</v>
      </c>
      <c r="H453" t="s">
        <v>2247</v>
      </c>
      <c r="I453" t="s">
        <v>1009</v>
      </c>
    </row>
    <row r="454" spans="1:9" x14ac:dyDescent="0.25">
      <c r="A454" t="s">
        <v>772</v>
      </c>
      <c r="B454" t="s">
        <v>2375</v>
      </c>
      <c r="C454" t="s">
        <v>2247</v>
      </c>
      <c r="D454" t="s">
        <v>856</v>
      </c>
      <c r="E454" t="s">
        <v>1009</v>
      </c>
      <c r="F454" t="s">
        <v>856</v>
      </c>
      <c r="G454" t="s">
        <v>1009</v>
      </c>
      <c r="H454" t="s">
        <v>2247</v>
      </c>
      <c r="I454" t="s">
        <v>1009</v>
      </c>
    </row>
    <row r="455" spans="1:9" x14ac:dyDescent="0.25">
      <c r="A455" t="s">
        <v>773</v>
      </c>
      <c r="B455" t="s">
        <v>2376</v>
      </c>
      <c r="C455" t="s">
        <v>2247</v>
      </c>
      <c r="D455" t="s">
        <v>856</v>
      </c>
      <c r="E455" t="s">
        <v>1009</v>
      </c>
      <c r="F455" t="s">
        <v>856</v>
      </c>
      <c r="G455" t="s">
        <v>1009</v>
      </c>
      <c r="H455" t="s">
        <v>2247</v>
      </c>
      <c r="I455" t="s">
        <v>1009</v>
      </c>
    </row>
    <row r="456" spans="1:9" x14ac:dyDescent="0.25">
      <c r="A456" t="s">
        <v>774</v>
      </c>
      <c r="B456" t="s">
        <v>2377</v>
      </c>
      <c r="C456" t="s">
        <v>2247</v>
      </c>
      <c r="D456" t="s">
        <v>856</v>
      </c>
      <c r="E456" t="s">
        <v>1009</v>
      </c>
      <c r="F456" t="s">
        <v>854</v>
      </c>
      <c r="G456" t="s">
        <v>1008</v>
      </c>
      <c r="H456" t="s">
        <v>2247</v>
      </c>
      <c r="I456" t="s">
        <v>1009</v>
      </c>
    </row>
    <row r="457" spans="1:9" x14ac:dyDescent="0.25">
      <c r="A457" t="s">
        <v>775</v>
      </c>
      <c r="B457" t="s">
        <v>776</v>
      </c>
      <c r="C457" t="s">
        <v>856</v>
      </c>
      <c r="D457" t="s">
        <v>854</v>
      </c>
      <c r="E457" t="s">
        <v>1008</v>
      </c>
      <c r="F457" t="s">
        <v>854</v>
      </c>
      <c r="G457" t="s">
        <v>1008</v>
      </c>
      <c r="H457" t="s">
        <v>854</v>
      </c>
      <c r="I457" t="s">
        <v>1008</v>
      </c>
    </row>
    <row r="458" spans="1:9" x14ac:dyDescent="0.25">
      <c r="A458" t="s">
        <v>777</v>
      </c>
      <c r="B458" t="s">
        <v>2378</v>
      </c>
      <c r="C458" t="s">
        <v>2247</v>
      </c>
      <c r="D458" t="s">
        <v>856</v>
      </c>
      <c r="E458" t="s">
        <v>1009</v>
      </c>
      <c r="F458" t="s">
        <v>856</v>
      </c>
      <c r="G458" t="s">
        <v>1009</v>
      </c>
      <c r="H458" t="s">
        <v>2247</v>
      </c>
      <c r="I458" t="s">
        <v>1009</v>
      </c>
    </row>
    <row r="459" spans="1:9" x14ac:dyDescent="0.25">
      <c r="A459" t="s">
        <v>778</v>
      </c>
      <c r="B459" t="s">
        <v>2379</v>
      </c>
      <c r="C459" t="s">
        <v>2247</v>
      </c>
      <c r="D459" t="s">
        <v>856</v>
      </c>
      <c r="E459" t="s">
        <v>1009</v>
      </c>
      <c r="F459" t="s">
        <v>854</v>
      </c>
      <c r="G459" t="s">
        <v>1008</v>
      </c>
      <c r="H459" t="s">
        <v>2247</v>
      </c>
      <c r="I459" t="s">
        <v>1009</v>
      </c>
    </row>
    <row r="460" spans="1:9" x14ac:dyDescent="0.25">
      <c r="A460" t="s">
        <v>779</v>
      </c>
      <c r="B460" t="s">
        <v>780</v>
      </c>
      <c r="C460" t="s">
        <v>854</v>
      </c>
      <c r="D460" t="s">
        <v>854</v>
      </c>
      <c r="E460" t="s">
        <v>1009</v>
      </c>
      <c r="F460" t="s">
        <v>856</v>
      </c>
      <c r="G460" t="s">
        <v>1009</v>
      </c>
      <c r="H460" t="s">
        <v>856</v>
      </c>
      <c r="I460" t="s">
        <v>1009</v>
      </c>
    </row>
    <row r="461" spans="1:9" x14ac:dyDescent="0.25">
      <c r="A461" t="s">
        <v>781</v>
      </c>
      <c r="B461" t="s">
        <v>2380</v>
      </c>
      <c r="C461" t="s">
        <v>2247</v>
      </c>
      <c r="D461" t="s">
        <v>856</v>
      </c>
      <c r="E461" t="s">
        <v>1009</v>
      </c>
      <c r="F461" t="s">
        <v>856</v>
      </c>
      <c r="G461" t="s">
        <v>1009</v>
      </c>
      <c r="H461" t="s">
        <v>2247</v>
      </c>
      <c r="I461" t="s">
        <v>1009</v>
      </c>
    </row>
    <row r="462" spans="1:9" x14ac:dyDescent="0.25">
      <c r="A462" t="s">
        <v>782</v>
      </c>
      <c r="B462" t="s">
        <v>2381</v>
      </c>
      <c r="C462" t="s">
        <v>2247</v>
      </c>
      <c r="D462" t="s">
        <v>856</v>
      </c>
      <c r="E462" t="s">
        <v>1009</v>
      </c>
      <c r="F462" t="s">
        <v>856</v>
      </c>
      <c r="G462" t="s">
        <v>1009</v>
      </c>
      <c r="H462" t="s">
        <v>2247</v>
      </c>
      <c r="I462" t="s">
        <v>1009</v>
      </c>
    </row>
    <row r="463" spans="1:9" x14ac:dyDescent="0.25">
      <c r="A463" t="s">
        <v>783</v>
      </c>
      <c r="B463" t="s">
        <v>2382</v>
      </c>
      <c r="C463" t="s">
        <v>2247</v>
      </c>
      <c r="D463" t="s">
        <v>856</v>
      </c>
      <c r="E463" t="s">
        <v>1009</v>
      </c>
      <c r="F463" t="s">
        <v>856</v>
      </c>
      <c r="G463" t="s">
        <v>1009</v>
      </c>
      <c r="H463" t="s">
        <v>2247</v>
      </c>
      <c r="I463" t="s">
        <v>1009</v>
      </c>
    </row>
    <row r="464" spans="1:9" x14ac:dyDescent="0.25">
      <c r="A464" t="s">
        <v>784</v>
      </c>
      <c r="B464" t="s">
        <v>785</v>
      </c>
      <c r="C464" t="s">
        <v>856</v>
      </c>
      <c r="D464" t="s">
        <v>856</v>
      </c>
      <c r="E464" t="s">
        <v>1009</v>
      </c>
      <c r="F464" t="s">
        <v>856</v>
      </c>
      <c r="G464" t="s">
        <v>1009</v>
      </c>
      <c r="H464" t="s">
        <v>856</v>
      </c>
      <c r="I464" t="s">
        <v>1009</v>
      </c>
    </row>
    <row r="465" spans="1:9" x14ac:dyDescent="0.25">
      <c r="A465" t="s">
        <v>786</v>
      </c>
      <c r="B465" t="s">
        <v>2383</v>
      </c>
      <c r="C465" t="s">
        <v>2247</v>
      </c>
      <c r="D465" t="s">
        <v>856</v>
      </c>
      <c r="E465" t="s">
        <v>1009</v>
      </c>
      <c r="F465" t="s">
        <v>854</v>
      </c>
      <c r="G465" t="s">
        <v>1009</v>
      </c>
      <c r="H465" t="s">
        <v>2247</v>
      </c>
      <c r="I465" t="s">
        <v>1009</v>
      </c>
    </row>
    <row r="466" spans="1:9" x14ac:dyDescent="0.25">
      <c r="A466" t="s">
        <v>787</v>
      </c>
      <c r="B466" t="s">
        <v>788</v>
      </c>
      <c r="C466" t="s">
        <v>854</v>
      </c>
      <c r="D466" t="s">
        <v>854</v>
      </c>
      <c r="E466" t="s">
        <v>1009</v>
      </c>
      <c r="F466" t="s">
        <v>854</v>
      </c>
      <c r="G466" t="s">
        <v>1008</v>
      </c>
      <c r="H466" t="s">
        <v>856</v>
      </c>
      <c r="I466" t="s">
        <v>1009</v>
      </c>
    </row>
    <row r="467" spans="1:9" x14ac:dyDescent="0.25">
      <c r="A467" t="s">
        <v>789</v>
      </c>
      <c r="B467" t="s">
        <v>790</v>
      </c>
      <c r="C467" t="s">
        <v>854</v>
      </c>
      <c r="D467" t="s">
        <v>854</v>
      </c>
      <c r="E467" t="s">
        <v>1009</v>
      </c>
      <c r="F467" t="s">
        <v>856</v>
      </c>
      <c r="G467" t="s">
        <v>1009</v>
      </c>
      <c r="H467" t="s">
        <v>856</v>
      </c>
      <c r="I467" t="s">
        <v>1009</v>
      </c>
    </row>
    <row r="468" spans="1:9" x14ac:dyDescent="0.25">
      <c r="A468" t="s">
        <v>791</v>
      </c>
      <c r="B468" t="s">
        <v>792</v>
      </c>
      <c r="C468" t="s">
        <v>2247</v>
      </c>
      <c r="D468" t="s">
        <v>856</v>
      </c>
      <c r="E468" t="s">
        <v>1009</v>
      </c>
      <c r="F468" t="s">
        <v>854</v>
      </c>
      <c r="G468" t="s">
        <v>1008</v>
      </c>
      <c r="H468" t="s">
        <v>2247</v>
      </c>
      <c r="I468" t="s">
        <v>1009</v>
      </c>
    </row>
    <row r="469" spans="1:9" x14ac:dyDescent="0.25">
      <c r="A469" t="s">
        <v>793</v>
      </c>
      <c r="B469" t="s">
        <v>794</v>
      </c>
      <c r="C469" t="s">
        <v>854</v>
      </c>
      <c r="D469" t="s">
        <v>854</v>
      </c>
      <c r="E469" t="s">
        <v>1009</v>
      </c>
      <c r="F469" t="s">
        <v>856</v>
      </c>
      <c r="G469" t="s">
        <v>1009</v>
      </c>
      <c r="H469" t="s">
        <v>856</v>
      </c>
      <c r="I469" t="s">
        <v>1009</v>
      </c>
    </row>
    <row r="470" spans="1:9" x14ac:dyDescent="0.25">
      <c r="A470" t="s">
        <v>795</v>
      </c>
      <c r="B470" t="s">
        <v>796</v>
      </c>
      <c r="C470" t="s">
        <v>854</v>
      </c>
      <c r="D470" t="s">
        <v>854</v>
      </c>
      <c r="E470" t="s">
        <v>1009</v>
      </c>
      <c r="F470" t="s">
        <v>856</v>
      </c>
      <c r="G470" t="s">
        <v>1009</v>
      </c>
      <c r="H470" t="s">
        <v>856</v>
      </c>
      <c r="I470" t="s">
        <v>1009</v>
      </c>
    </row>
    <row r="471" spans="1:9" x14ac:dyDescent="0.25">
      <c r="A471" t="s">
        <v>797</v>
      </c>
      <c r="B471" t="s">
        <v>798</v>
      </c>
      <c r="C471" t="s">
        <v>2247</v>
      </c>
      <c r="D471" t="s">
        <v>856</v>
      </c>
      <c r="E471" t="s">
        <v>1009</v>
      </c>
      <c r="F471" t="s">
        <v>854</v>
      </c>
      <c r="G471" t="s">
        <v>1008</v>
      </c>
      <c r="H471" t="s">
        <v>2247</v>
      </c>
      <c r="I471" t="s">
        <v>1009</v>
      </c>
    </row>
    <row r="472" spans="1:9" x14ac:dyDescent="0.25">
      <c r="A472" t="s">
        <v>800</v>
      </c>
      <c r="B472" t="s">
        <v>801</v>
      </c>
      <c r="C472" t="s">
        <v>856</v>
      </c>
      <c r="D472" t="s">
        <v>856</v>
      </c>
      <c r="E472" t="s">
        <v>1009</v>
      </c>
      <c r="F472" t="s">
        <v>856</v>
      </c>
      <c r="G472" t="s">
        <v>1009</v>
      </c>
      <c r="H472" t="s">
        <v>856</v>
      </c>
      <c r="I472" t="s">
        <v>1009</v>
      </c>
    </row>
    <row r="473" spans="1:9" x14ac:dyDescent="0.25">
      <c r="A473" t="s">
        <v>802</v>
      </c>
      <c r="B473" t="s">
        <v>2285</v>
      </c>
      <c r="C473" t="s">
        <v>856</v>
      </c>
      <c r="D473" t="s">
        <v>854</v>
      </c>
      <c r="E473" t="s">
        <v>1009</v>
      </c>
      <c r="F473" t="s">
        <v>856</v>
      </c>
      <c r="G473" t="s">
        <v>1009</v>
      </c>
      <c r="H473" t="s">
        <v>856</v>
      </c>
      <c r="I473" t="s">
        <v>1009</v>
      </c>
    </row>
    <row r="474" spans="1:9" x14ac:dyDescent="0.25">
      <c r="A474" t="s">
        <v>803</v>
      </c>
      <c r="B474" t="s">
        <v>1492</v>
      </c>
      <c r="C474" t="s">
        <v>856</v>
      </c>
      <c r="D474" t="s">
        <v>854</v>
      </c>
      <c r="E474" t="s">
        <v>1008</v>
      </c>
      <c r="F474" t="s">
        <v>854</v>
      </c>
      <c r="G474" t="s">
        <v>1008</v>
      </c>
      <c r="H474" t="s">
        <v>854</v>
      </c>
      <c r="I474" t="s">
        <v>1008</v>
      </c>
    </row>
    <row r="475" spans="1:9" x14ac:dyDescent="0.25">
      <c r="A475" t="s">
        <v>804</v>
      </c>
      <c r="B475" t="s">
        <v>805</v>
      </c>
      <c r="C475" t="s">
        <v>854</v>
      </c>
      <c r="D475" t="s">
        <v>854</v>
      </c>
      <c r="E475" t="s">
        <v>1009</v>
      </c>
      <c r="F475" t="s">
        <v>856</v>
      </c>
      <c r="G475" t="s">
        <v>1009</v>
      </c>
      <c r="H475" t="s">
        <v>856</v>
      </c>
      <c r="I475" t="s">
        <v>1009</v>
      </c>
    </row>
    <row r="476" spans="1:9" x14ac:dyDescent="0.25">
      <c r="A476" t="s">
        <v>806</v>
      </c>
      <c r="B476" t="s">
        <v>807</v>
      </c>
      <c r="C476" t="s">
        <v>854</v>
      </c>
      <c r="D476" t="s">
        <v>854</v>
      </c>
      <c r="E476" t="s">
        <v>1009</v>
      </c>
      <c r="F476" t="s">
        <v>854</v>
      </c>
      <c r="G476" t="s">
        <v>1008</v>
      </c>
      <c r="H476" t="s">
        <v>856</v>
      </c>
      <c r="I476" t="s">
        <v>1009</v>
      </c>
    </row>
    <row r="477" spans="1:9" x14ac:dyDescent="0.25">
      <c r="A477" t="s">
        <v>808</v>
      </c>
      <c r="B477" t="s">
        <v>809</v>
      </c>
      <c r="C477" t="s">
        <v>856</v>
      </c>
      <c r="D477" t="s">
        <v>854</v>
      </c>
      <c r="E477" t="s">
        <v>1009</v>
      </c>
      <c r="F477" t="s">
        <v>854</v>
      </c>
      <c r="G477" t="s">
        <v>1008</v>
      </c>
      <c r="H477" t="s">
        <v>856</v>
      </c>
      <c r="I477" t="s">
        <v>1009</v>
      </c>
    </row>
    <row r="478" spans="1:9" x14ac:dyDescent="0.25">
      <c r="A478" t="s">
        <v>810</v>
      </c>
      <c r="B478" t="s">
        <v>811</v>
      </c>
      <c r="C478" t="s">
        <v>854</v>
      </c>
      <c r="D478" t="s">
        <v>854</v>
      </c>
      <c r="E478" t="s">
        <v>1009</v>
      </c>
      <c r="F478" t="s">
        <v>854</v>
      </c>
      <c r="G478" t="s">
        <v>1008</v>
      </c>
      <c r="H478" t="s">
        <v>856</v>
      </c>
      <c r="I478" t="s">
        <v>1009</v>
      </c>
    </row>
    <row r="479" spans="1:9" x14ac:dyDescent="0.25">
      <c r="A479" t="s">
        <v>812</v>
      </c>
      <c r="B479" t="s">
        <v>813</v>
      </c>
      <c r="C479" t="s">
        <v>854</v>
      </c>
      <c r="D479" t="s">
        <v>854</v>
      </c>
      <c r="E479" t="s">
        <v>1009</v>
      </c>
      <c r="F479" t="s">
        <v>854</v>
      </c>
      <c r="G479" t="s">
        <v>1008</v>
      </c>
      <c r="H479" t="s">
        <v>856</v>
      </c>
      <c r="I479" t="s">
        <v>1009</v>
      </c>
    </row>
    <row r="480" spans="1:9" x14ac:dyDescent="0.25">
      <c r="A480" t="s">
        <v>814</v>
      </c>
      <c r="B480" t="s">
        <v>815</v>
      </c>
      <c r="C480" t="s">
        <v>856</v>
      </c>
      <c r="D480" t="s">
        <v>854</v>
      </c>
      <c r="E480" t="s">
        <v>1009</v>
      </c>
      <c r="F480" t="s">
        <v>854</v>
      </c>
      <c r="G480" t="s">
        <v>1008</v>
      </c>
      <c r="H480" t="s">
        <v>856</v>
      </c>
      <c r="I480" t="s">
        <v>1009</v>
      </c>
    </row>
    <row r="481" spans="1:9" x14ac:dyDescent="0.25">
      <c r="A481" t="s">
        <v>816</v>
      </c>
      <c r="B481" t="s">
        <v>817</v>
      </c>
      <c r="C481" t="s">
        <v>856</v>
      </c>
      <c r="D481" t="s">
        <v>854</v>
      </c>
      <c r="E481" t="s">
        <v>1009</v>
      </c>
      <c r="F481" t="s">
        <v>856</v>
      </c>
      <c r="G481" t="s">
        <v>1009</v>
      </c>
      <c r="H481" t="s">
        <v>856</v>
      </c>
      <c r="I481" t="s">
        <v>1009</v>
      </c>
    </row>
    <row r="482" spans="1:9" x14ac:dyDescent="0.25">
      <c r="A482" t="s">
        <v>818</v>
      </c>
      <c r="B482" t="s">
        <v>819</v>
      </c>
      <c r="C482" t="s">
        <v>854</v>
      </c>
      <c r="D482" t="s">
        <v>854</v>
      </c>
      <c r="E482" t="s">
        <v>1009</v>
      </c>
      <c r="F482" t="s">
        <v>854</v>
      </c>
      <c r="G482" t="s">
        <v>1008</v>
      </c>
      <c r="H482" t="s">
        <v>854</v>
      </c>
      <c r="I482" t="s">
        <v>1009</v>
      </c>
    </row>
    <row r="483" spans="1:9" x14ac:dyDescent="0.25">
      <c r="A483" t="s">
        <v>820</v>
      </c>
      <c r="B483" t="s">
        <v>821</v>
      </c>
      <c r="C483" t="s">
        <v>854</v>
      </c>
      <c r="D483" t="s">
        <v>854</v>
      </c>
      <c r="E483" t="s">
        <v>1008</v>
      </c>
      <c r="F483" t="s">
        <v>854</v>
      </c>
      <c r="G483" t="s">
        <v>1008</v>
      </c>
      <c r="H483" t="s">
        <v>854</v>
      </c>
      <c r="I483" t="s">
        <v>1009</v>
      </c>
    </row>
    <row r="484" spans="1:9" x14ac:dyDescent="0.25">
      <c r="A484" t="s">
        <v>947</v>
      </c>
      <c r="B484" t="s">
        <v>971</v>
      </c>
      <c r="C484" t="s">
        <v>856</v>
      </c>
      <c r="D484" t="s">
        <v>854</v>
      </c>
      <c r="E484" t="s">
        <v>1008</v>
      </c>
      <c r="F484" t="s">
        <v>854</v>
      </c>
      <c r="G484" t="s">
        <v>1008</v>
      </c>
      <c r="H484" t="s">
        <v>854</v>
      </c>
      <c r="I484" t="s">
        <v>1009</v>
      </c>
    </row>
    <row r="485" spans="1:9" x14ac:dyDescent="0.25">
      <c r="A485" t="s">
        <v>948</v>
      </c>
      <c r="B485" t="s">
        <v>972</v>
      </c>
      <c r="C485" t="s">
        <v>856</v>
      </c>
      <c r="D485" t="s">
        <v>854</v>
      </c>
      <c r="E485" t="s">
        <v>1008</v>
      </c>
      <c r="F485" t="s">
        <v>854</v>
      </c>
      <c r="G485" t="s">
        <v>1008</v>
      </c>
      <c r="H485" t="s">
        <v>856</v>
      </c>
      <c r="I485" t="s">
        <v>1009</v>
      </c>
    </row>
    <row r="486" spans="1:9" x14ac:dyDescent="0.25">
      <c r="A486" t="s">
        <v>949</v>
      </c>
      <c r="B486" t="s">
        <v>973</v>
      </c>
      <c r="C486" t="s">
        <v>856</v>
      </c>
      <c r="D486" t="s">
        <v>854</v>
      </c>
      <c r="E486" t="s">
        <v>1008</v>
      </c>
      <c r="F486" t="s">
        <v>854</v>
      </c>
      <c r="G486" t="s">
        <v>1008</v>
      </c>
      <c r="H486" t="s">
        <v>856</v>
      </c>
      <c r="I486" t="s">
        <v>1009</v>
      </c>
    </row>
    <row r="487" spans="1:9" x14ac:dyDescent="0.25">
      <c r="A487" t="s">
        <v>822</v>
      </c>
      <c r="B487" t="s">
        <v>823</v>
      </c>
      <c r="C487" t="s">
        <v>2247</v>
      </c>
      <c r="D487" t="s">
        <v>856</v>
      </c>
      <c r="E487" t="s">
        <v>1009</v>
      </c>
      <c r="F487" t="s">
        <v>854</v>
      </c>
      <c r="G487" t="s">
        <v>1008</v>
      </c>
      <c r="H487" t="s">
        <v>2247</v>
      </c>
      <c r="I487" t="s">
        <v>1009</v>
      </c>
    </row>
    <row r="488" spans="1:9" x14ac:dyDescent="0.25">
      <c r="A488" t="s">
        <v>824</v>
      </c>
      <c r="B488" t="s">
        <v>825</v>
      </c>
      <c r="C488" t="s">
        <v>2247</v>
      </c>
      <c r="D488" t="s">
        <v>856</v>
      </c>
      <c r="E488" t="s">
        <v>1009</v>
      </c>
      <c r="F488" t="s">
        <v>854</v>
      </c>
      <c r="G488" t="s">
        <v>1008</v>
      </c>
      <c r="H488" t="s">
        <v>2247</v>
      </c>
      <c r="I488" t="s">
        <v>1009</v>
      </c>
    </row>
    <row r="489" spans="1:9" x14ac:dyDescent="0.25">
      <c r="A489" t="s">
        <v>826</v>
      </c>
      <c r="B489" t="s">
        <v>2287</v>
      </c>
      <c r="C489" t="s">
        <v>2247</v>
      </c>
      <c r="D489" t="s">
        <v>856</v>
      </c>
      <c r="E489" t="s">
        <v>1009</v>
      </c>
      <c r="F489" t="s">
        <v>856</v>
      </c>
      <c r="G489" t="s">
        <v>1009</v>
      </c>
      <c r="H489" t="s">
        <v>2247</v>
      </c>
      <c r="I489" t="s">
        <v>1009</v>
      </c>
    </row>
    <row r="490" spans="1:9" x14ac:dyDescent="0.25">
      <c r="A490" t="s">
        <v>827</v>
      </c>
      <c r="B490" t="s">
        <v>828</v>
      </c>
      <c r="C490" t="s">
        <v>2247</v>
      </c>
      <c r="D490" t="s">
        <v>856</v>
      </c>
      <c r="E490" t="s">
        <v>1009</v>
      </c>
      <c r="F490" t="s">
        <v>854</v>
      </c>
      <c r="G490" t="s">
        <v>1008</v>
      </c>
      <c r="H490" t="s">
        <v>2247</v>
      </c>
      <c r="I490" t="s">
        <v>1009</v>
      </c>
    </row>
    <row r="491" spans="1:9" x14ac:dyDescent="0.25">
      <c r="A491" t="s">
        <v>950</v>
      </c>
      <c r="B491" t="s">
        <v>974</v>
      </c>
      <c r="C491" t="s">
        <v>856</v>
      </c>
      <c r="D491" t="s">
        <v>854</v>
      </c>
      <c r="E491" t="s">
        <v>1009</v>
      </c>
      <c r="F491" t="s">
        <v>854</v>
      </c>
      <c r="G491" t="s">
        <v>1008</v>
      </c>
      <c r="H491" t="s">
        <v>856</v>
      </c>
      <c r="I491" t="s">
        <v>1009</v>
      </c>
    </row>
    <row r="492" spans="1:9" x14ac:dyDescent="0.25">
      <c r="A492" t="s">
        <v>951</v>
      </c>
      <c r="B492" t="s">
        <v>975</v>
      </c>
      <c r="C492" t="s">
        <v>854</v>
      </c>
      <c r="D492" t="s">
        <v>854</v>
      </c>
      <c r="E492" t="s">
        <v>1008</v>
      </c>
      <c r="F492" t="s">
        <v>854</v>
      </c>
      <c r="G492" t="s">
        <v>1008</v>
      </c>
      <c r="H492" t="s">
        <v>854</v>
      </c>
      <c r="I492" t="s">
        <v>1008</v>
      </c>
    </row>
    <row r="493" spans="1:9" x14ac:dyDescent="0.25">
      <c r="A493" t="s">
        <v>1109</v>
      </c>
      <c r="B493" t="s">
        <v>2281</v>
      </c>
      <c r="C493" t="s">
        <v>1075</v>
      </c>
      <c r="D493" t="s">
        <v>854</v>
      </c>
      <c r="E493" t="s">
        <v>1008</v>
      </c>
      <c r="F493" t="s">
        <v>854</v>
      </c>
      <c r="G493" t="s">
        <v>1008</v>
      </c>
      <c r="H493" t="s">
        <v>854</v>
      </c>
      <c r="I493" t="s">
        <v>1008</v>
      </c>
    </row>
    <row r="494" spans="1:9" x14ac:dyDescent="0.25">
      <c r="A494" t="s">
        <v>1032</v>
      </c>
      <c r="B494" t="s">
        <v>1033</v>
      </c>
      <c r="C494" t="s">
        <v>856</v>
      </c>
      <c r="D494" t="s">
        <v>854</v>
      </c>
      <c r="E494" t="s">
        <v>1009</v>
      </c>
      <c r="F494" t="s">
        <v>854</v>
      </c>
      <c r="G494" t="s">
        <v>1008</v>
      </c>
      <c r="H494" t="s">
        <v>854</v>
      </c>
      <c r="I494" t="s">
        <v>1008</v>
      </c>
    </row>
    <row r="495" spans="1:9" x14ac:dyDescent="0.25">
      <c r="A495" t="s">
        <v>1029</v>
      </c>
      <c r="B495" t="s">
        <v>1030</v>
      </c>
      <c r="C495" t="s">
        <v>856</v>
      </c>
      <c r="D495" t="s">
        <v>854</v>
      </c>
      <c r="E495" t="s">
        <v>1009</v>
      </c>
      <c r="F495" t="s">
        <v>854</v>
      </c>
      <c r="G495" t="s">
        <v>1008</v>
      </c>
      <c r="H495" t="s">
        <v>854</v>
      </c>
      <c r="I495" t="s">
        <v>1009</v>
      </c>
    </row>
    <row r="496" spans="1:9" x14ac:dyDescent="0.25">
      <c r="A496" t="s">
        <v>1026</v>
      </c>
      <c r="B496" t="s">
        <v>1027</v>
      </c>
      <c r="C496" t="s">
        <v>856</v>
      </c>
      <c r="D496" t="s">
        <v>854</v>
      </c>
      <c r="E496" t="s">
        <v>1008</v>
      </c>
      <c r="F496" t="s">
        <v>854</v>
      </c>
      <c r="G496" t="s">
        <v>1008</v>
      </c>
      <c r="H496" t="s">
        <v>854</v>
      </c>
      <c r="I496" t="s">
        <v>1008</v>
      </c>
    </row>
    <row r="497" spans="1:9" x14ac:dyDescent="0.25">
      <c r="A497" t="s">
        <v>1013</v>
      </c>
      <c r="B497" t="s">
        <v>1014</v>
      </c>
      <c r="C497" t="s">
        <v>854</v>
      </c>
      <c r="D497" t="s">
        <v>854</v>
      </c>
      <c r="E497" t="s">
        <v>1008</v>
      </c>
      <c r="F497" t="s">
        <v>854</v>
      </c>
      <c r="G497" t="s">
        <v>1008</v>
      </c>
      <c r="H497" t="s">
        <v>854</v>
      </c>
      <c r="I497" t="s">
        <v>1008</v>
      </c>
    </row>
    <row r="498" spans="1:9" x14ac:dyDescent="0.25">
      <c r="A498" t="s">
        <v>1017</v>
      </c>
      <c r="B498" t="s">
        <v>1018</v>
      </c>
      <c r="C498" t="s">
        <v>854</v>
      </c>
      <c r="D498" t="s">
        <v>854</v>
      </c>
      <c r="E498" t="s">
        <v>1008</v>
      </c>
      <c r="F498" t="s">
        <v>854</v>
      </c>
      <c r="G498" t="s">
        <v>1008</v>
      </c>
      <c r="H498" t="s">
        <v>854</v>
      </c>
      <c r="I498" t="s">
        <v>1008</v>
      </c>
    </row>
    <row r="499" spans="1:9" x14ac:dyDescent="0.25">
      <c r="A499" t="s">
        <v>1024</v>
      </c>
      <c r="B499" t="s">
        <v>1025</v>
      </c>
      <c r="C499" t="s">
        <v>856</v>
      </c>
      <c r="D499" t="s">
        <v>856</v>
      </c>
      <c r="E499" t="s">
        <v>1009</v>
      </c>
      <c r="F499" t="s">
        <v>854</v>
      </c>
      <c r="G499" t="s">
        <v>1008</v>
      </c>
      <c r="H499" t="s">
        <v>854</v>
      </c>
      <c r="I499" t="s">
        <v>1009</v>
      </c>
    </row>
    <row r="500" spans="1:9" x14ac:dyDescent="0.25">
      <c r="A500" t="s">
        <v>1037</v>
      </c>
      <c r="B500" t="s">
        <v>1038</v>
      </c>
      <c r="C500" t="s">
        <v>856</v>
      </c>
      <c r="D500" t="s">
        <v>854</v>
      </c>
      <c r="E500" t="s">
        <v>1008</v>
      </c>
      <c r="F500" t="s">
        <v>854</v>
      </c>
      <c r="G500" t="s">
        <v>1008</v>
      </c>
      <c r="H500" t="s">
        <v>856</v>
      </c>
      <c r="I500" t="s">
        <v>1009</v>
      </c>
    </row>
    <row r="501" spans="1:9" x14ac:dyDescent="0.25">
      <c r="A501" t="s">
        <v>1040</v>
      </c>
      <c r="B501" t="s">
        <v>1041</v>
      </c>
      <c r="C501" t="s">
        <v>856</v>
      </c>
      <c r="D501" t="s">
        <v>854</v>
      </c>
      <c r="E501" t="s">
        <v>1008</v>
      </c>
      <c r="F501" t="s">
        <v>854</v>
      </c>
      <c r="G501" t="s">
        <v>1008</v>
      </c>
      <c r="H501" t="s">
        <v>854</v>
      </c>
      <c r="I501" t="s">
        <v>1008</v>
      </c>
    </row>
    <row r="502" spans="1:9" x14ac:dyDescent="0.25">
      <c r="A502" t="s">
        <v>1056</v>
      </c>
      <c r="B502" t="s">
        <v>1055</v>
      </c>
      <c r="C502" t="s">
        <v>856</v>
      </c>
      <c r="D502" t="s">
        <v>854</v>
      </c>
      <c r="E502" t="s">
        <v>1008</v>
      </c>
      <c r="F502" t="s">
        <v>854</v>
      </c>
      <c r="G502" t="s">
        <v>1008</v>
      </c>
      <c r="H502" t="s">
        <v>854</v>
      </c>
      <c r="I502" t="s">
        <v>1008</v>
      </c>
    </row>
    <row r="503" spans="1:9" x14ac:dyDescent="0.25">
      <c r="A503" t="s">
        <v>1047</v>
      </c>
      <c r="B503" t="s">
        <v>1048</v>
      </c>
      <c r="C503" t="s">
        <v>854</v>
      </c>
      <c r="D503" t="s">
        <v>854</v>
      </c>
      <c r="E503" t="s">
        <v>1009</v>
      </c>
      <c r="F503" t="s">
        <v>854</v>
      </c>
      <c r="G503" t="s">
        <v>1008</v>
      </c>
      <c r="H503" t="s">
        <v>854</v>
      </c>
      <c r="I503" t="s">
        <v>1008</v>
      </c>
    </row>
    <row r="504" spans="1:9" x14ac:dyDescent="0.25">
      <c r="A504" t="s">
        <v>1076</v>
      </c>
      <c r="B504" t="s">
        <v>1458</v>
      </c>
      <c r="C504" t="s">
        <v>854</v>
      </c>
      <c r="D504" t="s">
        <v>854</v>
      </c>
      <c r="E504" t="s">
        <v>1008</v>
      </c>
      <c r="F504" t="s">
        <v>854</v>
      </c>
      <c r="G504" t="s">
        <v>1008</v>
      </c>
      <c r="H504" t="s">
        <v>854</v>
      </c>
      <c r="I504" t="s">
        <v>1008</v>
      </c>
    </row>
    <row r="505" spans="1:9" x14ac:dyDescent="0.25">
      <c r="A505" t="s">
        <v>1272</v>
      </c>
      <c r="B505" t="s">
        <v>1273</v>
      </c>
      <c r="C505" t="s">
        <v>2247</v>
      </c>
      <c r="D505" t="s">
        <v>2247</v>
      </c>
      <c r="E505" t="s">
        <v>1009</v>
      </c>
      <c r="F505" t="s">
        <v>2247</v>
      </c>
      <c r="G505" t="s">
        <v>1009</v>
      </c>
      <c r="H505" t="s">
        <v>2247</v>
      </c>
      <c r="I505" t="s">
        <v>1009</v>
      </c>
    </row>
    <row r="506" spans="1:9" x14ac:dyDescent="0.25">
      <c r="A506" t="s">
        <v>1275</v>
      </c>
      <c r="B506" t="s">
        <v>1276</v>
      </c>
      <c r="C506" t="s">
        <v>2247</v>
      </c>
      <c r="D506" t="s">
        <v>2247</v>
      </c>
      <c r="E506" t="s">
        <v>1009</v>
      </c>
      <c r="F506" t="s">
        <v>2247</v>
      </c>
      <c r="G506" t="s">
        <v>1009</v>
      </c>
      <c r="H506" t="s">
        <v>2247</v>
      </c>
      <c r="I506" t="s">
        <v>1009</v>
      </c>
    </row>
    <row r="507" spans="1:9" x14ac:dyDescent="0.25">
      <c r="A507" t="s">
        <v>1846</v>
      </c>
      <c r="B507" t="s">
        <v>1847</v>
      </c>
      <c r="C507" t="s">
        <v>856</v>
      </c>
      <c r="D507" t="s">
        <v>854</v>
      </c>
      <c r="E507" t="s">
        <v>1009</v>
      </c>
      <c r="F507" t="s">
        <v>854</v>
      </c>
      <c r="G507" t="s">
        <v>1008</v>
      </c>
      <c r="H507" t="s">
        <v>856</v>
      </c>
      <c r="I507" t="s">
        <v>1009</v>
      </c>
    </row>
    <row r="508" spans="1:9" x14ac:dyDescent="0.25">
      <c r="A508" t="s">
        <v>2202</v>
      </c>
      <c r="B508" t="s">
        <v>2253</v>
      </c>
      <c r="C508" t="s">
        <v>856</v>
      </c>
      <c r="D508" t="s">
        <v>854</v>
      </c>
      <c r="E508" t="s">
        <v>1008</v>
      </c>
      <c r="F508" t="s">
        <v>854</v>
      </c>
      <c r="G508" t="s">
        <v>1008</v>
      </c>
      <c r="H508" t="s">
        <v>854</v>
      </c>
      <c r="I508" t="s">
        <v>1008</v>
      </c>
    </row>
    <row r="509" spans="1:9" x14ac:dyDescent="0.25">
      <c r="A509" t="s">
        <v>2068</v>
      </c>
      <c r="B509" t="s">
        <v>2164</v>
      </c>
      <c r="C509" t="s">
        <v>1075</v>
      </c>
      <c r="D509" t="s">
        <v>854</v>
      </c>
      <c r="E509" t="s">
        <v>1008</v>
      </c>
      <c r="F509" t="s">
        <v>854</v>
      </c>
      <c r="G509" t="s">
        <v>1008</v>
      </c>
      <c r="H509" t="s">
        <v>854</v>
      </c>
      <c r="I509" t="s">
        <v>1008</v>
      </c>
    </row>
    <row r="510" spans="1:9" x14ac:dyDescent="0.25">
      <c r="A510" t="s">
        <v>1479</v>
      </c>
      <c r="B510" t="s">
        <v>1480</v>
      </c>
      <c r="C510" t="s">
        <v>2247</v>
      </c>
      <c r="D510" t="s">
        <v>2247</v>
      </c>
      <c r="E510" t="s">
        <v>1009</v>
      </c>
      <c r="F510" t="s">
        <v>2247</v>
      </c>
      <c r="G510" t="s">
        <v>1009</v>
      </c>
      <c r="H510" t="s">
        <v>2247</v>
      </c>
      <c r="I510" t="s">
        <v>1009</v>
      </c>
    </row>
    <row r="511" spans="1:9" x14ac:dyDescent="0.25">
      <c r="A511" t="s">
        <v>1514</v>
      </c>
      <c r="B511" t="s">
        <v>1515</v>
      </c>
      <c r="C511" t="s">
        <v>2247</v>
      </c>
      <c r="D511" t="s">
        <v>2247</v>
      </c>
      <c r="E511" t="s">
        <v>1009</v>
      </c>
      <c r="F511" t="s">
        <v>2247</v>
      </c>
      <c r="G511" t="s">
        <v>1009</v>
      </c>
      <c r="H511" t="s">
        <v>2247</v>
      </c>
      <c r="I511" t="s">
        <v>1009</v>
      </c>
    </row>
    <row r="512" spans="1:9" x14ac:dyDescent="0.25">
      <c r="A512" t="s">
        <v>1406</v>
      </c>
      <c r="B512" t="s">
        <v>1407</v>
      </c>
      <c r="C512" t="s">
        <v>2247</v>
      </c>
      <c r="D512" t="s">
        <v>2247</v>
      </c>
      <c r="E512" t="s">
        <v>1009</v>
      </c>
      <c r="F512" t="s">
        <v>2247</v>
      </c>
      <c r="G512" t="s">
        <v>1009</v>
      </c>
      <c r="H512" t="s">
        <v>2247</v>
      </c>
      <c r="I512" t="s">
        <v>1009</v>
      </c>
    </row>
    <row r="513" spans="1:9" x14ac:dyDescent="0.25">
      <c r="A513" t="s">
        <v>1487</v>
      </c>
      <c r="B513" t="s">
        <v>1488</v>
      </c>
      <c r="C513" t="s">
        <v>2247</v>
      </c>
      <c r="D513" t="s">
        <v>2247</v>
      </c>
      <c r="E513" t="s">
        <v>1009</v>
      </c>
      <c r="F513" t="s">
        <v>2247</v>
      </c>
      <c r="G513" t="s">
        <v>1009</v>
      </c>
      <c r="H513" t="s">
        <v>2247</v>
      </c>
      <c r="I513" t="s">
        <v>1009</v>
      </c>
    </row>
    <row r="514" spans="1:9" x14ac:dyDescent="0.25">
      <c r="A514" t="s">
        <v>2154</v>
      </c>
      <c r="B514" t="s">
        <v>2155</v>
      </c>
      <c r="C514" t="s">
        <v>856</v>
      </c>
      <c r="D514" t="s">
        <v>854</v>
      </c>
      <c r="E514" t="s">
        <v>1009</v>
      </c>
      <c r="F514" t="s">
        <v>854</v>
      </c>
      <c r="G514" t="s">
        <v>1008</v>
      </c>
      <c r="H514" t="s">
        <v>856</v>
      </c>
      <c r="I514" t="s">
        <v>1009</v>
      </c>
    </row>
    <row r="515" spans="1:9" x14ac:dyDescent="0.25">
      <c r="A515" t="s">
        <v>2179</v>
      </c>
      <c r="B515" t="s">
        <v>2180</v>
      </c>
      <c r="C515" t="s">
        <v>856</v>
      </c>
      <c r="D515" t="s">
        <v>854</v>
      </c>
      <c r="E515" t="s">
        <v>1008</v>
      </c>
      <c r="F515" t="s">
        <v>854</v>
      </c>
      <c r="G515" t="s">
        <v>1008</v>
      </c>
      <c r="H515" t="s">
        <v>856</v>
      </c>
      <c r="I515" t="s">
        <v>1009</v>
      </c>
    </row>
    <row r="516" spans="1:9" x14ac:dyDescent="0.25">
      <c r="A516" t="s">
        <v>2183</v>
      </c>
      <c r="B516" t="s">
        <v>2184</v>
      </c>
      <c r="C516" t="s">
        <v>856</v>
      </c>
      <c r="D516" t="s">
        <v>854</v>
      </c>
      <c r="E516" t="s">
        <v>1009</v>
      </c>
      <c r="F516" t="s">
        <v>854</v>
      </c>
      <c r="G516" t="s">
        <v>1008</v>
      </c>
      <c r="H516" t="s">
        <v>856</v>
      </c>
      <c r="I516" t="s">
        <v>1009</v>
      </c>
    </row>
    <row r="517" spans="1:9" x14ac:dyDescent="0.25">
      <c r="A517" t="s">
        <v>2207</v>
      </c>
      <c r="B517" t="s">
        <v>2313</v>
      </c>
      <c r="C517" t="s">
        <v>854</v>
      </c>
      <c r="D517" t="s">
        <v>854</v>
      </c>
      <c r="E517" t="s">
        <v>1008</v>
      </c>
      <c r="F517" t="s">
        <v>854</v>
      </c>
      <c r="G517" t="s">
        <v>1008</v>
      </c>
      <c r="H517" t="s">
        <v>854</v>
      </c>
      <c r="I517" t="s">
        <v>1009</v>
      </c>
    </row>
    <row r="518" spans="1:9" x14ac:dyDescent="0.25">
      <c r="A518" t="s">
        <v>1443</v>
      </c>
      <c r="B518" t="s">
        <v>1444</v>
      </c>
      <c r="C518" t="s">
        <v>2247</v>
      </c>
      <c r="D518" t="s">
        <v>2247</v>
      </c>
      <c r="E518" t="s">
        <v>1009</v>
      </c>
      <c r="F518" t="s">
        <v>2247</v>
      </c>
      <c r="G518" t="s">
        <v>1009</v>
      </c>
      <c r="H518" t="s">
        <v>2247</v>
      </c>
      <c r="I518" t="s">
        <v>1009</v>
      </c>
    </row>
    <row r="519" spans="1:9" x14ac:dyDescent="0.25">
      <c r="A519" t="s">
        <v>1377</v>
      </c>
      <c r="B519" t="s">
        <v>1378</v>
      </c>
      <c r="C519" t="s">
        <v>2247</v>
      </c>
      <c r="D519" t="s">
        <v>2247</v>
      </c>
      <c r="E519" t="s">
        <v>1009</v>
      </c>
      <c r="F519" t="s">
        <v>2247</v>
      </c>
      <c r="G519" t="s">
        <v>1009</v>
      </c>
      <c r="H519" t="s">
        <v>2247</v>
      </c>
      <c r="I519" t="s">
        <v>1009</v>
      </c>
    </row>
    <row r="520" spans="1:9" x14ac:dyDescent="0.25">
      <c r="A520" t="s">
        <v>1521</v>
      </c>
      <c r="B520" t="s">
        <v>1522</v>
      </c>
      <c r="C520" t="s">
        <v>856</v>
      </c>
      <c r="D520" t="s">
        <v>854</v>
      </c>
      <c r="E520" t="s">
        <v>1008</v>
      </c>
      <c r="F520" t="s">
        <v>854</v>
      </c>
      <c r="G520" t="s">
        <v>1008</v>
      </c>
      <c r="H520" t="s">
        <v>854</v>
      </c>
      <c r="I520" t="s">
        <v>1009</v>
      </c>
    </row>
    <row r="521" spans="1:9" x14ac:dyDescent="0.25">
      <c r="A521" t="s">
        <v>1983</v>
      </c>
      <c r="B521" t="s">
        <v>1984</v>
      </c>
      <c r="C521" t="s">
        <v>856</v>
      </c>
      <c r="D521" t="s">
        <v>854</v>
      </c>
      <c r="E521" t="s">
        <v>1008</v>
      </c>
      <c r="F521" t="s">
        <v>854</v>
      </c>
      <c r="G521" t="s">
        <v>1008</v>
      </c>
      <c r="H521" t="s">
        <v>856</v>
      </c>
      <c r="I521" t="s">
        <v>1009</v>
      </c>
    </row>
    <row r="522" spans="1:9" x14ac:dyDescent="0.25">
      <c r="A522" t="s">
        <v>2055</v>
      </c>
      <c r="B522" t="s">
        <v>2170</v>
      </c>
      <c r="C522" t="s">
        <v>856</v>
      </c>
      <c r="D522" t="s">
        <v>854</v>
      </c>
      <c r="E522" t="s">
        <v>1008</v>
      </c>
      <c r="F522" t="s">
        <v>854</v>
      </c>
      <c r="G522" t="s">
        <v>1008</v>
      </c>
      <c r="H522" t="s">
        <v>856</v>
      </c>
      <c r="I522" t="s">
        <v>1009</v>
      </c>
    </row>
    <row r="523" spans="1:9" x14ac:dyDescent="0.25">
      <c r="A523" t="s">
        <v>2067</v>
      </c>
      <c r="B523" t="s">
        <v>2173</v>
      </c>
      <c r="C523" t="s">
        <v>856</v>
      </c>
      <c r="D523" t="s">
        <v>854</v>
      </c>
      <c r="E523" t="s">
        <v>1009</v>
      </c>
      <c r="F523" t="s">
        <v>854</v>
      </c>
      <c r="G523" t="s">
        <v>1008</v>
      </c>
      <c r="H523" t="s">
        <v>854</v>
      </c>
      <c r="I523" t="s">
        <v>1008</v>
      </c>
    </row>
    <row r="524" spans="1:9" x14ac:dyDescent="0.25">
      <c r="A524" t="s">
        <v>2110</v>
      </c>
      <c r="B524" t="s">
        <v>2176</v>
      </c>
      <c r="C524" t="s">
        <v>856</v>
      </c>
      <c r="D524" t="s">
        <v>854</v>
      </c>
      <c r="E524" t="s">
        <v>1009</v>
      </c>
      <c r="F524" t="s">
        <v>854</v>
      </c>
      <c r="G524" t="s">
        <v>1008</v>
      </c>
      <c r="H524" t="s">
        <v>856</v>
      </c>
      <c r="I524" t="s">
        <v>1009</v>
      </c>
    </row>
    <row r="525" spans="1:9" x14ac:dyDescent="0.25">
      <c r="A525" t="s">
        <v>2198</v>
      </c>
      <c r="B525" t="s">
        <v>2199</v>
      </c>
      <c r="C525" t="s">
        <v>854</v>
      </c>
      <c r="D525" t="s">
        <v>854</v>
      </c>
      <c r="E525" t="s">
        <v>1008</v>
      </c>
      <c r="F525" t="s">
        <v>854</v>
      </c>
      <c r="G525" t="s">
        <v>1008</v>
      </c>
      <c r="H525" t="s">
        <v>854</v>
      </c>
      <c r="I525" t="s">
        <v>1008</v>
      </c>
    </row>
    <row r="526" spans="1:9" x14ac:dyDescent="0.25">
      <c r="A526" t="s">
        <v>1511</v>
      </c>
      <c r="B526" t="s">
        <v>1512</v>
      </c>
      <c r="C526" t="s">
        <v>2247</v>
      </c>
      <c r="D526" t="s">
        <v>2247</v>
      </c>
      <c r="E526" t="s">
        <v>1009</v>
      </c>
      <c r="F526" t="s">
        <v>2247</v>
      </c>
      <c r="G526" t="s">
        <v>1009</v>
      </c>
      <c r="H526" t="s">
        <v>2247</v>
      </c>
      <c r="I526" t="s">
        <v>1009</v>
      </c>
    </row>
    <row r="527" spans="1:9" x14ac:dyDescent="0.25">
      <c r="A527" t="s">
        <v>1438</v>
      </c>
      <c r="B527" t="s">
        <v>1439</v>
      </c>
      <c r="C527" t="s">
        <v>2247</v>
      </c>
      <c r="D527" t="s">
        <v>2247</v>
      </c>
      <c r="E527" t="s">
        <v>1009</v>
      </c>
      <c r="F527" t="s">
        <v>2247</v>
      </c>
      <c r="G527" t="s">
        <v>1009</v>
      </c>
      <c r="H527" t="s">
        <v>2247</v>
      </c>
      <c r="I527" t="s">
        <v>1009</v>
      </c>
    </row>
    <row r="528" spans="1:9" x14ac:dyDescent="0.25">
      <c r="A528" t="s">
        <v>2098</v>
      </c>
      <c r="B528" t="s">
        <v>2186</v>
      </c>
      <c r="C528" t="s">
        <v>856</v>
      </c>
      <c r="D528" t="s">
        <v>854</v>
      </c>
      <c r="E528" t="s">
        <v>1008</v>
      </c>
      <c r="F528" t="s">
        <v>854</v>
      </c>
      <c r="G528" t="s">
        <v>1008</v>
      </c>
      <c r="H528" t="s">
        <v>856</v>
      </c>
      <c r="I528" t="s">
        <v>1009</v>
      </c>
    </row>
    <row r="529" spans="1:9" x14ac:dyDescent="0.25">
      <c r="A529" t="s">
        <v>1453</v>
      </c>
      <c r="B529" t="s">
        <v>1454</v>
      </c>
      <c r="C529" t="s">
        <v>2247</v>
      </c>
      <c r="D529" t="s">
        <v>2247</v>
      </c>
      <c r="E529" t="s">
        <v>1009</v>
      </c>
      <c r="F529" t="s">
        <v>2247</v>
      </c>
      <c r="G529" t="s">
        <v>1009</v>
      </c>
      <c r="H529" t="s">
        <v>2247</v>
      </c>
      <c r="I529" t="s">
        <v>1009</v>
      </c>
    </row>
    <row r="530" spans="1:9" x14ac:dyDescent="0.25">
      <c r="A530" t="s">
        <v>1464</v>
      </c>
      <c r="B530" t="s">
        <v>1465</v>
      </c>
      <c r="C530" t="s">
        <v>2247</v>
      </c>
      <c r="D530" t="s">
        <v>2247</v>
      </c>
      <c r="E530" t="s">
        <v>1009</v>
      </c>
      <c r="F530" t="s">
        <v>2247</v>
      </c>
      <c r="G530" t="s">
        <v>1009</v>
      </c>
      <c r="H530" t="s">
        <v>2247</v>
      </c>
      <c r="I530" t="s">
        <v>1009</v>
      </c>
    </row>
    <row r="531" spans="1:9" x14ac:dyDescent="0.25">
      <c r="A531" t="s">
        <v>1460</v>
      </c>
      <c r="B531" t="s">
        <v>1461</v>
      </c>
      <c r="C531" t="s">
        <v>2247</v>
      </c>
      <c r="D531" t="s">
        <v>2247</v>
      </c>
      <c r="E531" t="s">
        <v>1009</v>
      </c>
      <c r="F531" t="s">
        <v>2247</v>
      </c>
      <c r="G531" t="s">
        <v>1009</v>
      </c>
      <c r="H531" t="s">
        <v>2247</v>
      </c>
      <c r="I531" t="s">
        <v>1009</v>
      </c>
    </row>
    <row r="532" spans="1:9" x14ac:dyDescent="0.25">
      <c r="A532" t="s">
        <v>1319</v>
      </c>
      <c r="B532" t="s">
        <v>1320</v>
      </c>
      <c r="C532" t="s">
        <v>2247</v>
      </c>
      <c r="D532" t="s">
        <v>2247</v>
      </c>
      <c r="E532" t="s">
        <v>1009</v>
      </c>
      <c r="F532" t="s">
        <v>2247</v>
      </c>
      <c r="G532" t="s">
        <v>1009</v>
      </c>
      <c r="H532" t="s">
        <v>2247</v>
      </c>
      <c r="I532" t="s">
        <v>1009</v>
      </c>
    </row>
    <row r="533" spans="1:9" x14ac:dyDescent="0.25">
      <c r="A533" t="s">
        <v>2277</v>
      </c>
      <c r="B533" t="s">
        <v>2283</v>
      </c>
      <c r="C533" t="s">
        <v>856</v>
      </c>
      <c r="D533" t="s">
        <v>854</v>
      </c>
      <c r="E533" t="s">
        <v>1009</v>
      </c>
      <c r="F533" t="s">
        <v>856</v>
      </c>
      <c r="G533" t="s">
        <v>1009</v>
      </c>
      <c r="H533" t="s">
        <v>854</v>
      </c>
      <c r="I533" t="s">
        <v>1009</v>
      </c>
    </row>
    <row r="534" spans="1:9" x14ac:dyDescent="0.25">
      <c r="A534" t="s">
        <v>2279</v>
      </c>
      <c r="B534" t="s">
        <v>2282</v>
      </c>
      <c r="C534" t="s">
        <v>1075</v>
      </c>
      <c r="D534" t="s">
        <v>854</v>
      </c>
      <c r="E534" t="s">
        <v>1008</v>
      </c>
      <c r="F534" t="s">
        <v>854</v>
      </c>
      <c r="G534" t="s">
        <v>1008</v>
      </c>
      <c r="H534" t="s">
        <v>856</v>
      </c>
      <c r="I534" t="s">
        <v>1009</v>
      </c>
    </row>
    <row r="535" spans="1:9" x14ac:dyDescent="0.25">
      <c r="A535" t="s">
        <v>2288</v>
      </c>
      <c r="B535" t="s">
        <v>2293</v>
      </c>
      <c r="C535" t="s">
        <v>854</v>
      </c>
      <c r="D535" t="s">
        <v>854</v>
      </c>
      <c r="E535" t="s">
        <v>1008</v>
      </c>
      <c r="F535" t="s">
        <v>854</v>
      </c>
      <c r="G535" t="s">
        <v>1008</v>
      </c>
      <c r="H535" t="s">
        <v>854</v>
      </c>
      <c r="I535" t="s">
        <v>1008</v>
      </c>
    </row>
    <row r="536" spans="1:9" x14ac:dyDescent="0.25">
      <c r="A536" t="s">
        <v>2291</v>
      </c>
      <c r="B536" t="s">
        <v>2302</v>
      </c>
      <c r="C536" t="s">
        <v>856</v>
      </c>
      <c r="D536" t="s">
        <v>854</v>
      </c>
      <c r="E536" t="s">
        <v>1008</v>
      </c>
      <c r="F536" t="s">
        <v>854</v>
      </c>
      <c r="G536" t="s">
        <v>1008</v>
      </c>
      <c r="H536" t="s">
        <v>856</v>
      </c>
      <c r="I536" t="s">
        <v>1009</v>
      </c>
    </row>
    <row r="537" spans="1:9" x14ac:dyDescent="0.25">
      <c r="A537" t="s">
        <v>2306</v>
      </c>
      <c r="B537" t="s">
        <v>2310</v>
      </c>
      <c r="C537" t="s">
        <v>856</v>
      </c>
      <c r="D537" t="s">
        <v>854</v>
      </c>
      <c r="E537" t="s">
        <v>1008</v>
      </c>
      <c r="F537" t="s">
        <v>856</v>
      </c>
      <c r="G537" t="s">
        <v>1009</v>
      </c>
      <c r="H537" t="s">
        <v>854</v>
      </c>
      <c r="I537" t="s">
        <v>1008</v>
      </c>
    </row>
    <row r="538" spans="1:9" x14ac:dyDescent="0.25">
      <c r="A538" t="s">
        <v>2314</v>
      </c>
      <c r="B538" t="s">
        <v>2319</v>
      </c>
      <c r="C538" t="s">
        <v>854</v>
      </c>
      <c r="D538" t="s">
        <v>856</v>
      </c>
      <c r="E538" t="s">
        <v>1009</v>
      </c>
      <c r="F538" t="s">
        <v>854</v>
      </c>
      <c r="G538" t="s">
        <v>1008</v>
      </c>
      <c r="H538" t="s">
        <v>854</v>
      </c>
      <c r="I538" t="s">
        <v>1008</v>
      </c>
    </row>
    <row r="539" spans="1:9" x14ac:dyDescent="0.25">
      <c r="A539" t="s">
        <v>2359</v>
      </c>
      <c r="B539" t="s">
        <v>2360</v>
      </c>
      <c r="C539" t="s">
        <v>856</v>
      </c>
      <c r="D539" t="s">
        <v>854</v>
      </c>
      <c r="E539" t="s">
        <v>1008</v>
      </c>
      <c r="F539" t="s">
        <v>854</v>
      </c>
      <c r="G539" t="s">
        <v>1008</v>
      </c>
      <c r="H539" t="s">
        <v>854</v>
      </c>
      <c r="I539" t="s">
        <v>1008</v>
      </c>
    </row>
    <row r="540" spans="1:9" x14ac:dyDescent="0.25">
      <c r="A540" t="s">
        <v>2391</v>
      </c>
      <c r="B540" t="s">
        <v>2394</v>
      </c>
      <c r="C540" t="s">
        <v>856</v>
      </c>
      <c r="D540" t="s">
        <v>856</v>
      </c>
      <c r="E540" t="s">
        <v>1009</v>
      </c>
      <c r="F540" t="s">
        <v>856</v>
      </c>
      <c r="G540" t="s">
        <v>1009</v>
      </c>
      <c r="H540" t="s">
        <v>856</v>
      </c>
      <c r="I540" t="s">
        <v>1009</v>
      </c>
    </row>
    <row r="541" spans="1:9" x14ac:dyDescent="0.25">
      <c r="A541" t="s">
        <v>2392</v>
      </c>
      <c r="B541" t="s">
        <v>2401</v>
      </c>
      <c r="C541" t="s">
        <v>856</v>
      </c>
      <c r="D541" t="s">
        <v>854</v>
      </c>
      <c r="E541" t="s">
        <v>1008</v>
      </c>
      <c r="F541" t="s">
        <v>854</v>
      </c>
      <c r="G541" t="s">
        <v>1008</v>
      </c>
      <c r="H541" t="s">
        <v>854</v>
      </c>
      <c r="I541" t="s">
        <v>1008</v>
      </c>
    </row>
    <row r="542" spans="1:9" x14ac:dyDescent="0.25">
      <c r="A542" t="s">
        <v>2407</v>
      </c>
      <c r="B542" t="s">
        <v>2432</v>
      </c>
      <c r="C542" t="s">
        <v>854</v>
      </c>
      <c r="D542" t="s">
        <v>854</v>
      </c>
      <c r="E542" t="s">
        <v>1009</v>
      </c>
      <c r="F542" t="s">
        <v>854</v>
      </c>
      <c r="G542" t="s">
        <v>1008</v>
      </c>
      <c r="H542" t="s">
        <v>854</v>
      </c>
      <c r="I542" t="s">
        <v>1008</v>
      </c>
    </row>
    <row r="543" spans="1:9" x14ac:dyDescent="0.25">
      <c r="A543" t="s">
        <v>2409</v>
      </c>
      <c r="B543" t="s">
        <v>2469</v>
      </c>
      <c r="C543" t="s">
        <v>854</v>
      </c>
      <c r="D543" t="s">
        <v>854</v>
      </c>
      <c r="E543" t="s">
        <v>1008</v>
      </c>
      <c r="F543" t="s">
        <v>854</v>
      </c>
      <c r="G543" t="s">
        <v>1008</v>
      </c>
      <c r="H543" t="s">
        <v>856</v>
      </c>
      <c r="I543" t="s">
        <v>1009</v>
      </c>
    </row>
    <row r="544" spans="1:9" x14ac:dyDescent="0.25">
      <c r="A544" t="s">
        <v>1007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3"/>
  <sheetViews>
    <sheetView rightToLeft="1" workbookViewId="0">
      <selection activeCell="C13" sqref="C13"/>
    </sheetView>
  </sheetViews>
  <sheetFormatPr defaultRowHeight="15" x14ac:dyDescent="0.25"/>
  <cols>
    <col min="2" max="2" width="22.85546875" bestFit="1" customWidth="1"/>
    <col min="3" max="3" width="28.85546875" bestFit="1" customWidth="1"/>
    <col min="4" max="4" width="11.85546875" bestFit="1" customWidth="1"/>
    <col min="5" max="5" width="11.85546875" customWidth="1"/>
    <col min="6" max="6" width="12.140625" bestFit="1" customWidth="1"/>
    <col min="7" max="7" width="17" bestFit="1" customWidth="1"/>
    <col min="9" max="9" width="17" bestFit="1" customWidth="1"/>
    <col min="10" max="10" width="30.140625" bestFit="1" customWidth="1"/>
    <col min="11" max="11" width="36.42578125" bestFit="1" customWidth="1"/>
    <col min="12" max="12" width="27.7109375" bestFit="1" customWidth="1"/>
    <col min="13" max="13" width="27.7109375" customWidth="1"/>
    <col min="14" max="14" width="25.7109375" bestFit="1" customWidth="1"/>
    <col min="15" max="15" width="43" bestFit="1" customWidth="1"/>
  </cols>
  <sheetData>
    <row r="1" spans="1:15" x14ac:dyDescent="0.25">
      <c r="A1" s="1" t="s">
        <v>1079</v>
      </c>
      <c r="B1" s="1" t="s">
        <v>1083</v>
      </c>
      <c r="C1" s="1" t="s">
        <v>830</v>
      </c>
      <c r="D1" s="1" t="s">
        <v>832</v>
      </c>
      <c r="E1" s="1" t="s">
        <v>835</v>
      </c>
      <c r="F1" s="1" t="s">
        <v>836</v>
      </c>
      <c r="G1" s="1" t="s">
        <v>838</v>
      </c>
      <c r="H1" s="1" t="s">
        <v>841</v>
      </c>
      <c r="I1" s="1" t="s">
        <v>845</v>
      </c>
      <c r="J1" s="1" t="s">
        <v>844</v>
      </c>
      <c r="K1" s="1" t="s">
        <v>848</v>
      </c>
      <c r="L1" s="1" t="s">
        <v>1091</v>
      </c>
      <c r="M1" s="1" t="s">
        <v>1090</v>
      </c>
      <c r="N1" s="1" t="s">
        <v>851</v>
      </c>
      <c r="O1" s="1" t="s">
        <v>923</v>
      </c>
    </row>
    <row r="2" spans="1:15" x14ac:dyDescent="0.25">
      <c r="A2" t="s">
        <v>1080</v>
      </c>
      <c r="B2" t="s">
        <v>1081</v>
      </c>
      <c r="C2" t="s">
        <v>854</v>
      </c>
      <c r="D2" t="s">
        <v>854</v>
      </c>
      <c r="E2" t="s">
        <v>855</v>
      </c>
      <c r="F2" t="s">
        <v>854</v>
      </c>
      <c r="G2" t="s">
        <v>854</v>
      </c>
      <c r="H2" t="s">
        <v>854</v>
      </c>
      <c r="I2" t="s">
        <v>854</v>
      </c>
      <c r="J2" t="s">
        <v>855</v>
      </c>
      <c r="K2" t="s">
        <v>854</v>
      </c>
      <c r="L2" t="s">
        <v>854</v>
      </c>
      <c r="M2" t="s">
        <v>854</v>
      </c>
      <c r="N2" t="s">
        <v>854</v>
      </c>
      <c r="O2" t="s">
        <v>854</v>
      </c>
    </row>
    <row r="3" spans="1:15" x14ac:dyDescent="0.25">
      <c r="A3" t="s">
        <v>1078</v>
      </c>
      <c r="B3" t="s">
        <v>997</v>
      </c>
      <c r="C3" t="s">
        <v>856</v>
      </c>
      <c r="D3" t="s">
        <v>856</v>
      </c>
      <c r="E3" t="s">
        <v>859</v>
      </c>
      <c r="F3" t="s">
        <v>856</v>
      </c>
      <c r="G3" t="s">
        <v>856</v>
      </c>
      <c r="H3" t="s">
        <v>856</v>
      </c>
      <c r="I3" t="s">
        <v>856</v>
      </c>
      <c r="J3" t="s">
        <v>859</v>
      </c>
      <c r="K3" t="s">
        <v>856</v>
      </c>
      <c r="L3" t="s">
        <v>856</v>
      </c>
      <c r="M3" t="s">
        <v>856</v>
      </c>
      <c r="N3" t="s">
        <v>856</v>
      </c>
      <c r="O3" t="s">
        <v>856</v>
      </c>
    </row>
    <row r="4" spans="1:15" x14ac:dyDescent="0.25">
      <c r="A4" t="s">
        <v>2201</v>
      </c>
      <c r="B4" t="s">
        <v>908</v>
      </c>
      <c r="C4" t="s">
        <v>918</v>
      </c>
      <c r="H4" t="s">
        <v>1075</v>
      </c>
    </row>
    <row r="5" spans="1:15" x14ac:dyDescent="0.25">
      <c r="B5" t="s">
        <v>996</v>
      </c>
      <c r="C5" t="s">
        <v>1075</v>
      </c>
      <c r="H5" t="s">
        <v>1080</v>
      </c>
    </row>
    <row r="6" spans="1:15" x14ac:dyDescent="0.25">
      <c r="B6" t="s">
        <v>899</v>
      </c>
    </row>
    <row r="7" spans="1:15" x14ac:dyDescent="0.25">
      <c r="B7" t="s">
        <v>1044</v>
      </c>
    </row>
    <row r="8" spans="1:15" x14ac:dyDescent="0.25">
      <c r="B8" t="s">
        <v>1602</v>
      </c>
    </row>
    <row r="20" spans="1:2" s="4" customFormat="1" x14ac:dyDescent="0.25"/>
    <row r="21" spans="1:2" ht="15.75" thickBot="1" x14ac:dyDescent="0.3">
      <c r="A21" s="5" t="s">
        <v>1021</v>
      </c>
    </row>
    <row r="22" spans="1:2" ht="15.75" thickTop="1" x14ac:dyDescent="0.25"/>
    <row r="23" spans="1:2" x14ac:dyDescent="0.25">
      <c r="A23" s="1" t="s">
        <v>1022</v>
      </c>
      <c r="B23">
        <v>0</v>
      </c>
    </row>
  </sheetData>
  <dataValidations count="2">
    <dataValidation operator="greaterThanOrEqual" allowBlank="1" showInputMessage="1" showErrorMessage="1" sqref="B3" xr:uid="{00000000-0002-0000-0200-000000000000}"/>
    <dataValidation type="list" showInputMessage="1" showErrorMessage="1" sqref="B6:B7" xr:uid="{00000000-0002-0000-0200-000001000000}">
      <formula1>$B$2:$B$10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D53"/>
  <sheetViews>
    <sheetView rightToLeft="1" zoomScale="106" zoomScaleNormal="106" workbookViewId="0">
      <selection activeCell="C14" sqref="C14"/>
    </sheetView>
  </sheetViews>
  <sheetFormatPr defaultRowHeight="15" x14ac:dyDescent="0.25"/>
  <cols>
    <col min="1" max="1" width="41.28515625" bestFit="1" customWidth="1"/>
    <col min="3" max="3" width="46.42578125" bestFit="1" customWidth="1"/>
  </cols>
  <sheetData>
    <row r="1" spans="1:4" x14ac:dyDescent="0.25">
      <c r="A1" s="1" t="s">
        <v>1010</v>
      </c>
      <c r="B1" s="1" t="s">
        <v>1011</v>
      </c>
      <c r="C1" s="1" t="s">
        <v>1023</v>
      </c>
      <c r="D1" s="1" t="s">
        <v>2151</v>
      </c>
    </row>
    <row r="2" spans="1:4" hidden="1" x14ac:dyDescent="0.25">
      <c r="A2" t="s">
        <v>1518</v>
      </c>
      <c r="B2" s="12" t="s">
        <v>2112</v>
      </c>
      <c r="C2" t="str">
        <f t="shared" ref="C2:C33" si="0">A2&amp;" "&amp;"("&amp;B2&amp;")"</f>
        <v>المجموعة (A)</v>
      </c>
      <c r="D2" t="s">
        <v>2153</v>
      </c>
    </row>
    <row r="3" spans="1:4" x14ac:dyDescent="0.25">
      <c r="A3" t="s">
        <v>0</v>
      </c>
      <c r="B3" s="12" t="s">
        <v>2113</v>
      </c>
      <c r="C3" t="str">
        <f t="shared" si="0"/>
        <v>رمز شريك الأعمال (B)</v>
      </c>
      <c r="D3" t="s">
        <v>2152</v>
      </c>
    </row>
    <row r="4" spans="1:4" hidden="1" x14ac:dyDescent="0.25">
      <c r="A4" t="s">
        <v>1</v>
      </c>
      <c r="B4" s="12" t="s">
        <v>2114</v>
      </c>
      <c r="C4" t="str">
        <f t="shared" si="0"/>
        <v>اسم شريك الأعمال (C)</v>
      </c>
      <c r="D4" t="s">
        <v>2153</v>
      </c>
    </row>
    <row r="5" spans="1:4" hidden="1" x14ac:dyDescent="0.25">
      <c r="A5" t="s">
        <v>1079</v>
      </c>
      <c r="B5" s="12" t="s">
        <v>2115</v>
      </c>
      <c r="C5" t="str">
        <f t="shared" si="0"/>
        <v>نوع العميل (D)</v>
      </c>
      <c r="D5" t="s">
        <v>2153</v>
      </c>
    </row>
    <row r="6" spans="1:4" x14ac:dyDescent="0.25">
      <c r="A6" t="s">
        <v>829</v>
      </c>
      <c r="B6" s="12" t="s">
        <v>2116</v>
      </c>
      <c r="C6" t="str">
        <f t="shared" si="0"/>
        <v>اسم المالك (E)</v>
      </c>
      <c r="D6" t="s">
        <v>2152</v>
      </c>
    </row>
    <row r="7" spans="1:4" x14ac:dyDescent="0.25">
      <c r="A7" t="s">
        <v>1074</v>
      </c>
      <c r="B7" s="12" t="s">
        <v>2117</v>
      </c>
      <c r="C7" t="str">
        <f t="shared" si="0"/>
        <v>الكيان القانونى (F)</v>
      </c>
      <c r="D7" t="s">
        <v>2152</v>
      </c>
    </row>
    <row r="8" spans="1:4" x14ac:dyDescent="0.25">
      <c r="A8" t="s">
        <v>830</v>
      </c>
      <c r="B8" s="14" t="s">
        <v>1012</v>
      </c>
      <c r="C8" t="str">
        <f t="shared" si="0"/>
        <v>طلب فتح حساب مصدق (G)</v>
      </c>
      <c r="D8" t="s">
        <v>2152</v>
      </c>
    </row>
    <row r="9" spans="1:4" hidden="1" x14ac:dyDescent="0.25">
      <c r="A9" t="s">
        <v>831</v>
      </c>
      <c r="B9" s="12" t="s">
        <v>2118</v>
      </c>
      <c r="C9" t="str">
        <f t="shared" si="0"/>
        <v>حالة طلب فتح الحساب (H)</v>
      </c>
      <c r="D9" t="s">
        <v>2153</v>
      </c>
    </row>
    <row r="10" spans="1:4" x14ac:dyDescent="0.25">
      <c r="A10" t="s">
        <v>832</v>
      </c>
      <c r="B10" s="14" t="s">
        <v>1093</v>
      </c>
      <c r="C10" t="str">
        <f t="shared" si="0"/>
        <v>السجل التجارى (I)</v>
      </c>
      <c r="D10" t="s">
        <v>2152</v>
      </c>
    </row>
    <row r="11" spans="1:4" x14ac:dyDescent="0.25">
      <c r="A11" t="s">
        <v>833</v>
      </c>
      <c r="B11" s="12" t="s">
        <v>2119</v>
      </c>
      <c r="C11" t="str">
        <f t="shared" si="0"/>
        <v>تاريخ انتهاء السجل التجارى (J)</v>
      </c>
      <c r="D11" t="s">
        <v>2152</v>
      </c>
    </row>
    <row r="12" spans="1:4" x14ac:dyDescent="0.25">
      <c r="A12" t="s">
        <v>835</v>
      </c>
      <c r="B12" s="12" t="s">
        <v>2120</v>
      </c>
      <c r="C12" t="str">
        <f t="shared" si="0"/>
        <v>مطابقة اسم العميل بالاسم بالسجل التجارى (K)</v>
      </c>
      <c r="D12" t="s">
        <v>2152</v>
      </c>
    </row>
    <row r="13" spans="1:4" hidden="1" x14ac:dyDescent="0.25">
      <c r="A13" t="s">
        <v>834</v>
      </c>
      <c r="B13" s="12" t="s">
        <v>2121</v>
      </c>
      <c r="C13" t="str">
        <f t="shared" si="0"/>
        <v>حالة السجل التجارى (L)</v>
      </c>
      <c r="D13" t="s">
        <v>2153</v>
      </c>
    </row>
    <row r="14" spans="1:4" x14ac:dyDescent="0.25">
      <c r="A14" t="s">
        <v>836</v>
      </c>
      <c r="B14" s="14" t="s">
        <v>1094</v>
      </c>
      <c r="C14" t="str">
        <f t="shared" si="0"/>
        <v>البطاقة الضريبية (M)</v>
      </c>
      <c r="D14" t="s">
        <v>2152</v>
      </c>
    </row>
    <row r="15" spans="1:4" hidden="1" x14ac:dyDescent="0.25">
      <c r="A15" t="s">
        <v>2</v>
      </c>
      <c r="B15" s="12" t="s">
        <v>2122</v>
      </c>
      <c r="C15" t="str">
        <f t="shared" si="0"/>
        <v>معرف الضريبة الحكومية (N)</v>
      </c>
      <c r="D15" t="s">
        <v>2153</v>
      </c>
    </row>
    <row r="16" spans="1:4" hidden="1" x14ac:dyDescent="0.25">
      <c r="A16" t="s">
        <v>837</v>
      </c>
      <c r="B16" s="12" t="s">
        <v>2123</v>
      </c>
      <c r="C16" t="str">
        <f t="shared" si="0"/>
        <v>حالة البطاقة الضريبية (O)</v>
      </c>
      <c r="D16" t="s">
        <v>2153</v>
      </c>
    </row>
    <row r="17" spans="1:4" x14ac:dyDescent="0.25">
      <c r="A17" t="s">
        <v>838</v>
      </c>
      <c r="B17" s="14" t="s">
        <v>1095</v>
      </c>
      <c r="C17" t="str">
        <f t="shared" si="0"/>
        <v>رخصة النشاط التجارى (P)</v>
      </c>
      <c r="D17" t="s">
        <v>2152</v>
      </c>
    </row>
    <row r="18" spans="1:4" x14ac:dyDescent="0.25">
      <c r="A18" t="s">
        <v>839</v>
      </c>
      <c r="B18" s="12" t="s">
        <v>2124</v>
      </c>
      <c r="C18" t="str">
        <f t="shared" si="0"/>
        <v>تاريخ انتهاء رخصة النشاط التجارى (Q)</v>
      </c>
      <c r="D18" t="s">
        <v>2152</v>
      </c>
    </row>
    <row r="19" spans="1:4" hidden="1" x14ac:dyDescent="0.25">
      <c r="A19" t="s">
        <v>840</v>
      </c>
      <c r="B19" s="12" t="s">
        <v>2125</v>
      </c>
      <c r="C19" t="str">
        <f t="shared" si="0"/>
        <v>حالة رخصة النشاط التجارى (R)</v>
      </c>
      <c r="D19" t="s">
        <v>2153</v>
      </c>
    </row>
    <row r="20" spans="1:4" x14ac:dyDescent="0.25">
      <c r="A20" t="s">
        <v>841</v>
      </c>
      <c r="B20" s="14" t="s">
        <v>1096</v>
      </c>
      <c r="C20" t="str">
        <f t="shared" si="0"/>
        <v>سند الامر (S)</v>
      </c>
      <c r="D20" t="s">
        <v>2152</v>
      </c>
    </row>
    <row r="21" spans="1:4" x14ac:dyDescent="0.25">
      <c r="A21" t="s">
        <v>1092</v>
      </c>
      <c r="B21" s="12" t="s">
        <v>2126</v>
      </c>
      <c r="C21" t="str">
        <f t="shared" si="0"/>
        <v>قيمة سند الامر او الاستثناء (T)</v>
      </c>
      <c r="D21" t="s">
        <v>2152</v>
      </c>
    </row>
    <row r="22" spans="1:4" x14ac:dyDescent="0.25">
      <c r="A22" t="s">
        <v>1111</v>
      </c>
      <c r="B22" s="12" t="s">
        <v>2127</v>
      </c>
      <c r="C22" t="str">
        <f t="shared" si="0"/>
        <v>تاريخ انشاء سند الامر او الاستثناء (U)</v>
      </c>
      <c r="D22" t="s">
        <v>2152</v>
      </c>
    </row>
    <row r="23" spans="1:4" hidden="1" x14ac:dyDescent="0.25">
      <c r="A23" t="s">
        <v>1112</v>
      </c>
      <c r="B23" s="12" t="s">
        <v>2128</v>
      </c>
      <c r="C23" t="str">
        <f t="shared" si="0"/>
        <v>تاريخ انتهاء سند الامر او الاستثناء (V)</v>
      </c>
      <c r="D23" t="s">
        <v>2153</v>
      </c>
    </row>
    <row r="24" spans="1:4" hidden="1" x14ac:dyDescent="0.25">
      <c r="A24" t="s">
        <v>894</v>
      </c>
      <c r="B24" s="12" t="s">
        <v>2129</v>
      </c>
      <c r="C24" t="str">
        <f t="shared" si="0"/>
        <v>قيمة سند الامر المضبوطة (W)</v>
      </c>
      <c r="D24" t="s">
        <v>2153</v>
      </c>
    </row>
    <row r="25" spans="1:4" hidden="1" x14ac:dyDescent="0.25">
      <c r="A25" t="s">
        <v>895</v>
      </c>
      <c r="B25" s="12" t="s">
        <v>2130</v>
      </c>
      <c r="C25" t="str">
        <f t="shared" si="0"/>
        <v>حد الائتمان على SAP (X)</v>
      </c>
      <c r="D25" t="s">
        <v>2153</v>
      </c>
    </row>
    <row r="26" spans="1:4" hidden="1" x14ac:dyDescent="0.25">
      <c r="A26" t="s">
        <v>842</v>
      </c>
      <c r="B26" s="12" t="s">
        <v>2131</v>
      </c>
      <c r="C26" t="str">
        <f t="shared" si="0"/>
        <v>مطابقة الحد الائتمانى (Y)</v>
      </c>
      <c r="D26" t="s">
        <v>2153</v>
      </c>
    </row>
    <row r="27" spans="1:4" x14ac:dyDescent="0.25">
      <c r="A27" t="s">
        <v>844</v>
      </c>
      <c r="B27" s="12" t="s">
        <v>2132</v>
      </c>
      <c r="C27" t="str">
        <f t="shared" si="0"/>
        <v>مطابقة رقم السجل التجارى بسند الامر (Z)</v>
      </c>
      <c r="D27" t="s">
        <v>2152</v>
      </c>
    </row>
    <row r="28" spans="1:4" hidden="1" x14ac:dyDescent="0.25">
      <c r="A28" t="s">
        <v>843</v>
      </c>
      <c r="B28" s="12" t="s">
        <v>2133</v>
      </c>
      <c r="C28" t="str">
        <f t="shared" si="0"/>
        <v>حالة سند الامر (AA)</v>
      </c>
      <c r="D28" t="s">
        <v>2153</v>
      </c>
    </row>
    <row r="29" spans="1:4" x14ac:dyDescent="0.25">
      <c r="A29" t="s">
        <v>845</v>
      </c>
      <c r="B29" s="14" t="s">
        <v>1097</v>
      </c>
      <c r="C29" t="str">
        <f t="shared" si="0"/>
        <v xml:space="preserve"> صورة عن هوية المالك (AB)</v>
      </c>
      <c r="D29" t="s">
        <v>2152</v>
      </c>
    </row>
    <row r="30" spans="1:4" x14ac:dyDescent="0.25">
      <c r="A30" t="s">
        <v>846</v>
      </c>
      <c r="B30" s="12" t="s">
        <v>2134</v>
      </c>
      <c r="C30" t="str">
        <f t="shared" si="0"/>
        <v>تاريخ انتهاء هوية المالك (AC)</v>
      </c>
      <c r="D30" t="s">
        <v>2152</v>
      </c>
    </row>
    <row r="31" spans="1:4" hidden="1" x14ac:dyDescent="0.25">
      <c r="A31" t="s">
        <v>847</v>
      </c>
      <c r="B31" s="12" t="s">
        <v>2135</v>
      </c>
      <c r="C31" t="str">
        <f t="shared" si="0"/>
        <v>حالة هوية المالك (AD)</v>
      </c>
      <c r="D31" t="s">
        <v>2153</v>
      </c>
    </row>
    <row r="32" spans="1:4" x14ac:dyDescent="0.25">
      <c r="A32" t="s">
        <v>848</v>
      </c>
      <c r="B32" s="14" t="s">
        <v>1098</v>
      </c>
      <c r="C32" t="str">
        <f t="shared" si="0"/>
        <v xml:space="preserve"> صورة عن هوية الضامن الاحتياطي في السند لأمر (AE)</v>
      </c>
      <c r="D32" t="s">
        <v>2152</v>
      </c>
    </row>
    <row r="33" spans="1:4" x14ac:dyDescent="0.25">
      <c r="A33" t="s">
        <v>849</v>
      </c>
      <c r="B33" s="12" t="s">
        <v>2136</v>
      </c>
      <c r="C33" t="str">
        <f t="shared" si="0"/>
        <v>تاريخ انتهاء صورة عن هوية الضامن الاحتياطي في السند لأمر (AF)</v>
      </c>
      <c r="D33" t="s">
        <v>2152</v>
      </c>
    </row>
    <row r="34" spans="1:4" hidden="1" x14ac:dyDescent="0.25">
      <c r="A34" t="s">
        <v>850</v>
      </c>
      <c r="B34" s="12" t="s">
        <v>2137</v>
      </c>
      <c r="C34" t="str">
        <f t="shared" ref="C34:C51" si="1">A34&amp;" "&amp;"("&amp;B34&amp;")"</f>
        <v>حالة  صورة عن هوية الضامن الاحتياطي في السند لأمر (AG)</v>
      </c>
      <c r="D34" t="s">
        <v>2153</v>
      </c>
    </row>
    <row r="35" spans="1:4" x14ac:dyDescent="0.25">
      <c r="A35" t="s">
        <v>1084</v>
      </c>
      <c r="B35" s="14" t="s">
        <v>1099</v>
      </c>
      <c r="C35" t="str">
        <f t="shared" si="1"/>
        <v xml:space="preserve"> صورة عن هوية الشاهد الاول في السند الامر (AH)</v>
      </c>
      <c r="D35" t="s">
        <v>2152</v>
      </c>
    </row>
    <row r="36" spans="1:4" x14ac:dyDescent="0.25">
      <c r="A36" t="s">
        <v>1085</v>
      </c>
      <c r="B36" s="12" t="s">
        <v>2138</v>
      </c>
      <c r="C36" t="str">
        <f t="shared" si="1"/>
        <v xml:space="preserve"> تاريخ انتهاء هوية الشاهد الاول في السند الامر (AI)</v>
      </c>
      <c r="D36" t="s">
        <v>2152</v>
      </c>
    </row>
    <row r="37" spans="1:4" hidden="1" x14ac:dyDescent="0.25">
      <c r="A37" t="s">
        <v>1086</v>
      </c>
      <c r="B37" s="12" t="s">
        <v>2139</v>
      </c>
      <c r="C37" t="str">
        <f t="shared" si="1"/>
        <v xml:space="preserve"> حالة هوية الشاهد الاول في السند الامر (AJ)</v>
      </c>
      <c r="D37" t="s">
        <v>2153</v>
      </c>
    </row>
    <row r="38" spans="1:4" x14ac:dyDescent="0.25">
      <c r="A38" t="s">
        <v>1087</v>
      </c>
      <c r="B38" s="14" t="s">
        <v>1100</v>
      </c>
      <c r="C38" t="str">
        <f t="shared" si="1"/>
        <v xml:space="preserve"> صورة عن هوية الشاهد الثانى في السند الامر (AK)</v>
      </c>
      <c r="D38" t="s">
        <v>2152</v>
      </c>
    </row>
    <row r="39" spans="1:4" x14ac:dyDescent="0.25">
      <c r="A39" t="s">
        <v>1088</v>
      </c>
      <c r="B39" s="12" t="s">
        <v>2140</v>
      </c>
      <c r="C39" t="str">
        <f t="shared" si="1"/>
        <v xml:space="preserve"> تاريخ انتهاء هوية الشاهد الثانى في السند الامر (AL)</v>
      </c>
      <c r="D39" t="s">
        <v>2152</v>
      </c>
    </row>
    <row r="40" spans="1:4" hidden="1" x14ac:dyDescent="0.25">
      <c r="A40" t="s">
        <v>1089</v>
      </c>
      <c r="B40" s="12" t="s">
        <v>2141</v>
      </c>
      <c r="C40" t="str">
        <f t="shared" si="1"/>
        <v xml:space="preserve"> حالة هوية الشاهد الثانى في السند الامر (AM)</v>
      </c>
      <c r="D40" t="s">
        <v>2153</v>
      </c>
    </row>
    <row r="41" spans="1:4" x14ac:dyDescent="0.25">
      <c r="A41" t="s">
        <v>851</v>
      </c>
      <c r="B41" s="14" t="s">
        <v>1101</v>
      </c>
      <c r="C41" t="str">
        <f t="shared" si="1"/>
        <v xml:space="preserve"> صورة عن العنوان الوطني للمؤسسة (AN)</v>
      </c>
      <c r="D41" t="s">
        <v>2152</v>
      </c>
    </row>
    <row r="42" spans="1:4" x14ac:dyDescent="0.25">
      <c r="A42" t="s">
        <v>921</v>
      </c>
      <c r="B42" s="12" t="s">
        <v>2142</v>
      </c>
      <c r="C42" t="str">
        <f t="shared" si="1"/>
        <v>تاريخ انتهاء العنوان الوطنى للمؤسسة (AO)</v>
      </c>
      <c r="D42" t="s">
        <v>2152</v>
      </c>
    </row>
    <row r="43" spans="1:4" hidden="1" x14ac:dyDescent="0.25">
      <c r="A43" t="s">
        <v>922</v>
      </c>
      <c r="B43" s="12" t="s">
        <v>2143</v>
      </c>
      <c r="C43" t="str">
        <f t="shared" si="1"/>
        <v>حالة العنوان الوطنى للمؤسسة (AP)</v>
      </c>
      <c r="D43" t="s">
        <v>2153</v>
      </c>
    </row>
    <row r="44" spans="1:4" x14ac:dyDescent="0.25">
      <c r="A44" t="s">
        <v>923</v>
      </c>
      <c r="B44" s="14" t="s">
        <v>1102</v>
      </c>
      <c r="C44" t="str">
        <f t="shared" si="1"/>
        <v xml:space="preserve"> صورة عن العنوان الوطني للضامن الاحتياطي في سند الامر (AQ)</v>
      </c>
      <c r="D44" t="s">
        <v>2152</v>
      </c>
    </row>
    <row r="45" spans="1:4" x14ac:dyDescent="0.25">
      <c r="A45" t="s">
        <v>924</v>
      </c>
      <c r="B45" s="12" t="s">
        <v>2144</v>
      </c>
      <c r="C45" t="str">
        <f t="shared" si="1"/>
        <v>تاريخ انتهاء العنوان الوطني للضامن الاحتياطي في سند الامر (AR)</v>
      </c>
      <c r="D45" t="s">
        <v>2152</v>
      </c>
    </row>
    <row r="46" spans="1:4" hidden="1" x14ac:dyDescent="0.25">
      <c r="A46" t="s">
        <v>925</v>
      </c>
      <c r="B46" s="12" t="s">
        <v>2145</v>
      </c>
      <c r="C46" t="str">
        <f t="shared" si="1"/>
        <v>حالة  العنوان الوطني للضامن الاحتياطي في سند الامر (AS)</v>
      </c>
      <c r="D46" t="s">
        <v>2153</v>
      </c>
    </row>
    <row r="47" spans="1:4" hidden="1" x14ac:dyDescent="0.25">
      <c r="A47" t="s">
        <v>3</v>
      </c>
      <c r="B47" s="12" t="s">
        <v>2146</v>
      </c>
      <c r="C47" t="str">
        <f t="shared" si="1"/>
        <v>تاريخ الإنشاء (AT)</v>
      </c>
      <c r="D47" t="s">
        <v>2153</v>
      </c>
    </row>
    <row r="48" spans="1:4" x14ac:dyDescent="0.25">
      <c r="A48" t="s">
        <v>976</v>
      </c>
      <c r="B48" s="12" t="s">
        <v>2147</v>
      </c>
      <c r="C48" t="str">
        <f t="shared" si="1"/>
        <v>موقع المؤسسة GPS (AU)</v>
      </c>
      <c r="D48" t="s">
        <v>2152</v>
      </c>
    </row>
    <row r="49" spans="1:4" x14ac:dyDescent="0.25">
      <c r="A49" t="s">
        <v>896</v>
      </c>
      <c r="B49" s="12" t="s">
        <v>2148</v>
      </c>
      <c r="C49" t="str">
        <f t="shared" si="1"/>
        <v>الملاحظات (AV)</v>
      </c>
      <c r="D49" t="s">
        <v>2152</v>
      </c>
    </row>
    <row r="50" spans="1:4" x14ac:dyDescent="0.25">
      <c r="A50" t="s">
        <v>2086</v>
      </c>
      <c r="B50" s="12" t="s">
        <v>2149</v>
      </c>
      <c r="C50" t="str">
        <f t="shared" si="1"/>
        <v>الفروع (AW)</v>
      </c>
      <c r="D50" t="s">
        <v>2152</v>
      </c>
    </row>
    <row r="51" spans="1:4" x14ac:dyDescent="0.25">
      <c r="A51" t="s">
        <v>2087</v>
      </c>
      <c r="B51" s="12" t="s">
        <v>2150</v>
      </c>
      <c r="C51" t="str">
        <f t="shared" si="1"/>
        <v>قيمة سند الامر او الاستثناء لفروع العميل (AX)</v>
      </c>
      <c r="D51" t="s">
        <v>2152</v>
      </c>
    </row>
    <row r="52" spans="1:4" x14ac:dyDescent="0.25">
      <c r="B52" s="12"/>
    </row>
    <row r="53" spans="1:4" x14ac:dyDescent="0.25">
      <c r="B53" s="12"/>
    </row>
  </sheetData>
  <autoFilter ref="A1:D51" xr:uid="{00000000-0001-0000-0300-000000000000}">
    <filterColumn colId="3">
      <filters>
        <filter val="نعم"/>
      </filters>
    </filterColumn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541"/>
  <sheetViews>
    <sheetView workbookViewId="0">
      <selection activeCell="C4" sqref="C4:C504"/>
    </sheetView>
  </sheetViews>
  <sheetFormatPr defaultRowHeight="15" x14ac:dyDescent="0.25"/>
  <cols>
    <col min="1" max="1" width="14.140625" bestFit="1" customWidth="1"/>
    <col min="2" max="2" width="11.85546875" bestFit="1" customWidth="1"/>
    <col min="3" max="3" width="56.5703125" bestFit="1" customWidth="1"/>
    <col min="4" max="4" width="24.85546875" bestFit="1" customWidth="1"/>
    <col min="5" max="5" width="13.28515625" bestFit="1" customWidth="1"/>
    <col min="6" max="6" width="14.5703125" bestFit="1" customWidth="1"/>
    <col min="7" max="7" width="12.42578125" bestFit="1" customWidth="1"/>
    <col min="8" max="8" width="10.140625" bestFit="1" customWidth="1"/>
    <col min="9" max="9" width="14.42578125" bestFit="1" customWidth="1"/>
    <col min="10" max="10" width="13.140625" bestFit="1" customWidth="1"/>
    <col min="11" max="11" width="21.42578125" bestFit="1" customWidth="1"/>
    <col min="12" max="12" width="81.140625" bestFit="1" customWidth="1"/>
    <col min="13" max="13" width="13.140625" bestFit="1" customWidth="1"/>
    <col min="14" max="14" width="18.85546875" bestFit="1" customWidth="1"/>
    <col min="15" max="15" width="31.42578125" bestFit="1" customWidth="1"/>
  </cols>
  <sheetData>
    <row r="1" spans="1:15" x14ac:dyDescent="0.25">
      <c r="A1" t="s">
        <v>1114</v>
      </c>
      <c r="B1" t="s">
        <v>1115</v>
      </c>
      <c r="C1" t="s">
        <v>1116</v>
      </c>
      <c r="D1" t="s">
        <v>1605</v>
      </c>
      <c r="E1" t="s">
        <v>1123</v>
      </c>
      <c r="F1" t="s">
        <v>1606</v>
      </c>
      <c r="G1" t="s">
        <v>1117</v>
      </c>
      <c r="H1" t="s">
        <v>1118</v>
      </c>
      <c r="I1" t="s">
        <v>1119</v>
      </c>
      <c r="J1" t="s">
        <v>1120</v>
      </c>
      <c r="K1" t="s">
        <v>1121</v>
      </c>
      <c r="L1" t="s">
        <v>1122</v>
      </c>
      <c r="M1" t="s">
        <v>1607</v>
      </c>
      <c r="N1" t="s">
        <v>1124</v>
      </c>
      <c r="O1" t="s">
        <v>1125</v>
      </c>
    </row>
    <row r="2" spans="1:15" x14ac:dyDescent="0.25">
      <c r="A2" s="84" t="s">
        <v>6</v>
      </c>
      <c r="B2" s="84" t="s">
        <v>4</v>
      </c>
      <c r="C2" s="84" t="s">
        <v>5</v>
      </c>
      <c r="D2" s="84" t="s">
        <v>1608</v>
      </c>
      <c r="E2" s="70">
        <v>44195</v>
      </c>
      <c r="F2" s="84" t="s">
        <v>1609</v>
      </c>
      <c r="G2">
        <v>0</v>
      </c>
      <c r="H2">
        <v>294</v>
      </c>
      <c r="I2">
        <v>0</v>
      </c>
      <c r="J2">
        <v>0</v>
      </c>
      <c r="K2">
        <v>0</v>
      </c>
      <c r="L2" s="84" t="s">
        <v>1126</v>
      </c>
      <c r="M2">
        <v>-1</v>
      </c>
      <c r="N2" s="84" t="s">
        <v>1127</v>
      </c>
      <c r="O2" s="84" t="s">
        <v>1128</v>
      </c>
    </row>
    <row r="3" spans="1:15" x14ac:dyDescent="0.25">
      <c r="A3" s="84" t="s">
        <v>6</v>
      </c>
      <c r="B3" s="84" t="s">
        <v>7</v>
      </c>
      <c r="C3" s="84" t="s">
        <v>8</v>
      </c>
      <c r="D3" s="84" t="s">
        <v>1610</v>
      </c>
      <c r="E3" s="70">
        <v>44195</v>
      </c>
      <c r="F3" s="84" t="s">
        <v>1609</v>
      </c>
      <c r="G3">
        <v>0</v>
      </c>
      <c r="H3">
        <v>0</v>
      </c>
      <c r="I3">
        <v>0</v>
      </c>
      <c r="J3">
        <v>0</v>
      </c>
      <c r="K3">
        <v>0</v>
      </c>
      <c r="L3" s="84" t="s">
        <v>1126</v>
      </c>
      <c r="M3">
        <v>-1</v>
      </c>
      <c r="N3" s="84" t="s">
        <v>1127</v>
      </c>
      <c r="O3" s="84" t="s">
        <v>1128</v>
      </c>
    </row>
    <row r="4" spans="1:15" x14ac:dyDescent="0.25">
      <c r="A4" s="84" t="s">
        <v>6</v>
      </c>
      <c r="B4" s="84" t="s">
        <v>9</v>
      </c>
      <c r="C4" s="84" t="s">
        <v>10</v>
      </c>
      <c r="D4" s="84" t="s">
        <v>1082</v>
      </c>
      <c r="E4" s="70">
        <v>44205</v>
      </c>
      <c r="F4" s="84" t="s">
        <v>1611</v>
      </c>
      <c r="G4">
        <v>20000</v>
      </c>
      <c r="H4">
        <v>1548</v>
      </c>
      <c r="I4">
        <v>1548</v>
      </c>
      <c r="J4">
        <v>190</v>
      </c>
      <c r="K4">
        <v>18452</v>
      </c>
      <c r="L4" s="84" t="s">
        <v>1129</v>
      </c>
      <c r="M4">
        <v>4</v>
      </c>
      <c r="N4" s="84" t="s">
        <v>1127</v>
      </c>
      <c r="O4" s="84" t="s">
        <v>1130</v>
      </c>
    </row>
    <row r="5" spans="1:15" x14ac:dyDescent="0.25">
      <c r="A5" s="84" t="s">
        <v>6</v>
      </c>
      <c r="B5" s="84" t="s">
        <v>11</v>
      </c>
      <c r="C5" s="84" t="s">
        <v>12</v>
      </c>
      <c r="D5" s="84" t="s">
        <v>1612</v>
      </c>
      <c r="E5" s="70">
        <v>44205</v>
      </c>
      <c r="F5" s="84" t="s">
        <v>1611</v>
      </c>
      <c r="G5">
        <v>40000</v>
      </c>
      <c r="H5">
        <v>-1018</v>
      </c>
      <c r="I5">
        <v>-1018</v>
      </c>
      <c r="J5">
        <v>163</v>
      </c>
      <c r="K5">
        <v>40000</v>
      </c>
      <c r="L5" s="84" t="s">
        <v>1129</v>
      </c>
      <c r="M5">
        <v>4</v>
      </c>
      <c r="N5" s="84" t="s">
        <v>1127</v>
      </c>
      <c r="O5" s="84" t="s">
        <v>1128</v>
      </c>
    </row>
    <row r="6" spans="1:15" x14ac:dyDescent="0.25">
      <c r="A6" s="84" t="s">
        <v>6</v>
      </c>
      <c r="B6" s="84" t="s">
        <v>13</v>
      </c>
      <c r="C6" s="84" t="s">
        <v>14</v>
      </c>
      <c r="D6" s="84" t="s">
        <v>1082</v>
      </c>
      <c r="E6" s="70">
        <v>44219</v>
      </c>
      <c r="F6" s="84" t="s">
        <v>1611</v>
      </c>
      <c r="G6">
        <v>60000</v>
      </c>
      <c r="H6">
        <v>-187</v>
      </c>
      <c r="I6">
        <v>-187</v>
      </c>
      <c r="J6">
        <v>65</v>
      </c>
      <c r="K6">
        <v>60000</v>
      </c>
      <c r="L6" s="84" t="s">
        <v>1131</v>
      </c>
      <c r="M6">
        <v>4</v>
      </c>
      <c r="N6" s="84" t="s">
        <v>1127</v>
      </c>
      <c r="O6" s="84" t="s">
        <v>1128</v>
      </c>
    </row>
    <row r="7" spans="1:15" x14ac:dyDescent="0.25">
      <c r="A7" s="84" t="s">
        <v>6</v>
      </c>
      <c r="B7" s="84" t="s">
        <v>15</v>
      </c>
      <c r="C7" s="84" t="s">
        <v>16</v>
      </c>
      <c r="D7" s="84" t="s">
        <v>1082</v>
      </c>
      <c r="E7" s="70">
        <v>44221</v>
      </c>
      <c r="F7" s="84" t="s">
        <v>1609</v>
      </c>
      <c r="G7">
        <v>0</v>
      </c>
      <c r="H7">
        <v>0</v>
      </c>
      <c r="I7">
        <v>0</v>
      </c>
      <c r="J7">
        <v>0</v>
      </c>
      <c r="K7">
        <v>0</v>
      </c>
      <c r="L7" s="84" t="s">
        <v>1132</v>
      </c>
      <c r="M7">
        <v>-1</v>
      </c>
      <c r="N7" s="84" t="s">
        <v>1127</v>
      </c>
      <c r="O7" s="84" t="s">
        <v>1128</v>
      </c>
    </row>
    <row r="8" spans="1:15" x14ac:dyDescent="0.25">
      <c r="A8" s="84" t="s">
        <v>6</v>
      </c>
      <c r="B8" s="84" t="s">
        <v>17</v>
      </c>
      <c r="C8" s="84" t="s">
        <v>18</v>
      </c>
      <c r="D8" s="84" t="s">
        <v>1613</v>
      </c>
      <c r="E8" s="70">
        <v>44241</v>
      </c>
      <c r="F8" s="84" t="s">
        <v>1611</v>
      </c>
      <c r="G8">
        <v>80000</v>
      </c>
      <c r="H8">
        <v>0</v>
      </c>
      <c r="I8">
        <v>0</v>
      </c>
      <c r="J8">
        <v>0</v>
      </c>
      <c r="K8">
        <v>80000</v>
      </c>
      <c r="L8" s="84" t="s">
        <v>1133</v>
      </c>
      <c r="M8">
        <v>4</v>
      </c>
      <c r="N8" s="84" t="s">
        <v>1127</v>
      </c>
      <c r="O8" s="84" t="s">
        <v>1128</v>
      </c>
    </row>
    <row r="9" spans="1:15" x14ac:dyDescent="0.25">
      <c r="A9" s="84" t="s">
        <v>6</v>
      </c>
      <c r="B9" s="84" t="s">
        <v>19</v>
      </c>
      <c r="C9" s="84" t="s">
        <v>20</v>
      </c>
      <c r="D9" s="84" t="s">
        <v>1614</v>
      </c>
      <c r="E9" s="70">
        <v>44242</v>
      </c>
      <c r="F9" s="84" t="s">
        <v>1609</v>
      </c>
      <c r="G9">
        <v>0</v>
      </c>
      <c r="H9">
        <v>0</v>
      </c>
      <c r="I9">
        <v>0</v>
      </c>
      <c r="J9">
        <v>0</v>
      </c>
      <c r="K9">
        <v>0</v>
      </c>
      <c r="L9" s="84" t="s">
        <v>1134</v>
      </c>
      <c r="M9">
        <v>-1</v>
      </c>
      <c r="N9" s="84" t="s">
        <v>1127</v>
      </c>
      <c r="O9" s="84" t="s">
        <v>1128</v>
      </c>
    </row>
    <row r="10" spans="1:15" x14ac:dyDescent="0.25">
      <c r="A10" s="84" t="s">
        <v>6</v>
      </c>
      <c r="B10" s="84" t="s">
        <v>21</v>
      </c>
      <c r="C10" s="84" t="s">
        <v>22</v>
      </c>
      <c r="D10" s="84" t="s">
        <v>1615</v>
      </c>
      <c r="E10" s="70">
        <v>44244</v>
      </c>
      <c r="F10" s="84" t="s">
        <v>1611</v>
      </c>
      <c r="G10">
        <v>48000</v>
      </c>
      <c r="H10">
        <v>0</v>
      </c>
      <c r="I10">
        <v>0</v>
      </c>
      <c r="J10">
        <v>0</v>
      </c>
      <c r="K10">
        <v>48000</v>
      </c>
      <c r="L10" s="84" t="s">
        <v>1135</v>
      </c>
      <c r="M10">
        <v>4</v>
      </c>
      <c r="N10" s="84" t="s">
        <v>1127</v>
      </c>
      <c r="O10" s="84" t="s">
        <v>1128</v>
      </c>
    </row>
    <row r="11" spans="1:15" x14ac:dyDescent="0.25">
      <c r="A11" s="84" t="s">
        <v>6</v>
      </c>
      <c r="B11" s="84" t="s">
        <v>23</v>
      </c>
      <c r="C11" s="84" t="s">
        <v>24</v>
      </c>
      <c r="D11" s="84" t="s">
        <v>1616</v>
      </c>
      <c r="E11" s="70">
        <v>44242</v>
      </c>
      <c r="F11" s="84" t="s">
        <v>1611</v>
      </c>
      <c r="G11">
        <v>20000</v>
      </c>
      <c r="H11">
        <v>700</v>
      </c>
      <c r="I11">
        <v>700</v>
      </c>
      <c r="J11">
        <v>122</v>
      </c>
      <c r="K11">
        <v>19300</v>
      </c>
      <c r="L11" s="84" t="s">
        <v>1134</v>
      </c>
      <c r="M11">
        <v>4</v>
      </c>
      <c r="N11" s="84" t="s">
        <v>1127</v>
      </c>
      <c r="O11" s="84" t="s">
        <v>2415</v>
      </c>
    </row>
    <row r="12" spans="1:15" x14ac:dyDescent="0.25">
      <c r="A12" s="84" t="s">
        <v>6</v>
      </c>
      <c r="B12" s="84" t="s">
        <v>25</v>
      </c>
      <c r="C12" s="84" t="s">
        <v>26</v>
      </c>
      <c r="D12" s="84" t="s">
        <v>1082</v>
      </c>
      <c r="E12" s="70">
        <v>44248</v>
      </c>
      <c r="F12" s="84" t="s">
        <v>1609</v>
      </c>
      <c r="G12">
        <v>0</v>
      </c>
      <c r="H12">
        <v>0</v>
      </c>
      <c r="I12">
        <v>0</v>
      </c>
      <c r="J12">
        <v>0</v>
      </c>
      <c r="K12">
        <v>0</v>
      </c>
      <c r="L12" s="84" t="s">
        <v>1136</v>
      </c>
      <c r="M12">
        <v>-1</v>
      </c>
      <c r="N12" s="84" t="s">
        <v>1127</v>
      </c>
      <c r="O12" s="84" t="s">
        <v>1128</v>
      </c>
    </row>
    <row r="13" spans="1:15" x14ac:dyDescent="0.25">
      <c r="A13" s="84" t="s">
        <v>6</v>
      </c>
      <c r="B13" s="84" t="s">
        <v>27</v>
      </c>
      <c r="C13" s="84" t="s">
        <v>28</v>
      </c>
      <c r="D13" s="84" t="s">
        <v>1617</v>
      </c>
      <c r="E13" s="70">
        <v>44248</v>
      </c>
      <c r="F13" s="84" t="s">
        <v>1611</v>
      </c>
      <c r="G13">
        <v>40000</v>
      </c>
      <c r="H13">
        <v>1173</v>
      </c>
      <c r="I13">
        <v>0</v>
      </c>
      <c r="J13">
        <v>0</v>
      </c>
      <c r="K13">
        <v>40000</v>
      </c>
      <c r="L13" s="84" t="s">
        <v>1136</v>
      </c>
      <c r="M13">
        <v>4</v>
      </c>
      <c r="N13" s="84" t="s">
        <v>1127</v>
      </c>
      <c r="O13" s="84" t="s">
        <v>1128</v>
      </c>
    </row>
    <row r="14" spans="1:15" x14ac:dyDescent="0.25">
      <c r="A14" s="84" t="s">
        <v>6</v>
      </c>
      <c r="B14" s="84" t="s">
        <v>29</v>
      </c>
      <c r="C14" s="84" t="s">
        <v>30</v>
      </c>
      <c r="D14" s="84" t="s">
        <v>1618</v>
      </c>
      <c r="E14" s="70">
        <v>44250</v>
      </c>
      <c r="F14" s="84" t="s">
        <v>1609</v>
      </c>
      <c r="G14">
        <v>0</v>
      </c>
      <c r="H14">
        <v>0</v>
      </c>
      <c r="I14">
        <v>0</v>
      </c>
      <c r="J14">
        <v>0</v>
      </c>
      <c r="K14">
        <v>0</v>
      </c>
      <c r="L14" s="84" t="s">
        <v>1137</v>
      </c>
      <c r="M14">
        <v>-1</v>
      </c>
      <c r="N14" s="84" t="s">
        <v>1127</v>
      </c>
      <c r="O14" s="84" t="s">
        <v>1128</v>
      </c>
    </row>
    <row r="15" spans="1:15" x14ac:dyDescent="0.25">
      <c r="A15" s="84" t="s">
        <v>6</v>
      </c>
      <c r="B15" s="84" t="s">
        <v>31</v>
      </c>
      <c r="C15" s="84" t="s">
        <v>32</v>
      </c>
      <c r="D15" s="84" t="s">
        <v>1619</v>
      </c>
      <c r="E15" s="70">
        <v>44252</v>
      </c>
      <c r="F15" s="84" t="s">
        <v>1611</v>
      </c>
      <c r="G15">
        <v>16000</v>
      </c>
      <c r="H15">
        <v>0</v>
      </c>
      <c r="I15">
        <v>0</v>
      </c>
      <c r="J15">
        <v>0</v>
      </c>
      <c r="K15">
        <v>16000</v>
      </c>
      <c r="L15" s="84" t="s">
        <v>1138</v>
      </c>
      <c r="M15">
        <v>4</v>
      </c>
      <c r="N15" s="84" t="s">
        <v>1127</v>
      </c>
      <c r="O15" s="84" t="s">
        <v>1128</v>
      </c>
    </row>
    <row r="16" spans="1:15" x14ac:dyDescent="0.25">
      <c r="A16" s="84" t="s">
        <v>6</v>
      </c>
      <c r="B16" s="84" t="s">
        <v>33</v>
      </c>
      <c r="C16" s="84" t="s">
        <v>1139</v>
      </c>
      <c r="D16" s="84" t="s">
        <v>1620</v>
      </c>
      <c r="E16" s="70">
        <v>44258</v>
      </c>
      <c r="F16" s="84" t="s">
        <v>1609</v>
      </c>
      <c r="G16">
        <v>0</v>
      </c>
      <c r="H16">
        <v>0</v>
      </c>
      <c r="I16">
        <v>0</v>
      </c>
      <c r="J16">
        <v>0</v>
      </c>
      <c r="K16">
        <v>0</v>
      </c>
      <c r="L16" s="84" t="s">
        <v>1140</v>
      </c>
      <c r="M16">
        <v>-1</v>
      </c>
      <c r="N16" s="84" t="s">
        <v>1127</v>
      </c>
      <c r="O16" s="84" t="s">
        <v>1128</v>
      </c>
    </row>
    <row r="17" spans="1:15" x14ac:dyDescent="0.25">
      <c r="A17" s="84" t="s">
        <v>6</v>
      </c>
      <c r="B17" s="84" t="s">
        <v>34</v>
      </c>
      <c r="C17" s="84" t="s">
        <v>35</v>
      </c>
      <c r="D17" s="84" t="s">
        <v>1621</v>
      </c>
      <c r="E17" s="70">
        <v>44265</v>
      </c>
      <c r="F17" s="84" t="s">
        <v>1611</v>
      </c>
      <c r="G17">
        <v>24000</v>
      </c>
      <c r="H17">
        <v>5107</v>
      </c>
      <c r="I17">
        <v>2359</v>
      </c>
      <c r="J17">
        <v>69</v>
      </c>
      <c r="K17">
        <v>18893</v>
      </c>
      <c r="L17" s="84" t="s">
        <v>1141</v>
      </c>
      <c r="M17">
        <v>4</v>
      </c>
      <c r="N17" s="84" t="s">
        <v>1127</v>
      </c>
      <c r="O17" s="84" t="s">
        <v>2416</v>
      </c>
    </row>
    <row r="18" spans="1:15" x14ac:dyDescent="0.25">
      <c r="A18" s="84" t="s">
        <v>6</v>
      </c>
      <c r="B18" s="84" t="s">
        <v>36</v>
      </c>
      <c r="C18" s="84" t="s">
        <v>37</v>
      </c>
      <c r="D18" s="84" t="s">
        <v>2248</v>
      </c>
      <c r="E18" s="70">
        <v>44270</v>
      </c>
      <c r="F18" s="84" t="s">
        <v>1609</v>
      </c>
      <c r="G18">
        <v>0</v>
      </c>
      <c r="H18">
        <v>0</v>
      </c>
      <c r="I18">
        <v>0</v>
      </c>
      <c r="J18">
        <v>0</v>
      </c>
      <c r="K18">
        <v>0</v>
      </c>
      <c r="L18" s="84" t="s">
        <v>1142</v>
      </c>
      <c r="M18">
        <v>-1</v>
      </c>
      <c r="N18" s="84" t="s">
        <v>1127</v>
      </c>
      <c r="O18" s="84" t="s">
        <v>1128</v>
      </c>
    </row>
    <row r="19" spans="1:15" x14ac:dyDescent="0.25">
      <c r="A19" s="84" t="s">
        <v>6</v>
      </c>
      <c r="B19" s="84" t="s">
        <v>38</v>
      </c>
      <c r="C19" s="84" t="s">
        <v>39</v>
      </c>
      <c r="D19" s="84" t="s">
        <v>1622</v>
      </c>
      <c r="E19" s="70">
        <v>44272</v>
      </c>
      <c r="F19" s="84" t="s">
        <v>1611</v>
      </c>
      <c r="G19">
        <v>12000</v>
      </c>
      <c r="H19">
        <v>7001</v>
      </c>
      <c r="I19">
        <v>7001</v>
      </c>
      <c r="J19">
        <v>178</v>
      </c>
      <c r="K19">
        <v>4999</v>
      </c>
      <c r="L19" s="84" t="s">
        <v>1143</v>
      </c>
      <c r="M19">
        <v>4</v>
      </c>
      <c r="N19" s="84" t="s">
        <v>1127</v>
      </c>
      <c r="O19" s="84" t="s">
        <v>2317</v>
      </c>
    </row>
    <row r="20" spans="1:15" x14ac:dyDescent="0.25">
      <c r="A20" s="84" t="s">
        <v>6</v>
      </c>
      <c r="B20" s="84" t="s">
        <v>40</v>
      </c>
      <c r="C20" s="84" t="s">
        <v>41</v>
      </c>
      <c r="D20" s="84" t="s">
        <v>1623</v>
      </c>
      <c r="E20" s="70">
        <v>44290</v>
      </c>
      <c r="F20" s="84" t="s">
        <v>1611</v>
      </c>
      <c r="G20">
        <v>80000</v>
      </c>
      <c r="H20">
        <v>0</v>
      </c>
      <c r="I20">
        <v>0</v>
      </c>
      <c r="J20">
        <v>0</v>
      </c>
      <c r="K20">
        <v>80000</v>
      </c>
      <c r="L20" s="84" t="s">
        <v>1144</v>
      </c>
      <c r="M20">
        <v>4</v>
      </c>
      <c r="N20" s="84" t="s">
        <v>1127</v>
      </c>
      <c r="O20" s="84" t="s">
        <v>1128</v>
      </c>
    </row>
    <row r="21" spans="1:15" x14ac:dyDescent="0.25">
      <c r="A21" s="84" t="s">
        <v>6</v>
      </c>
      <c r="B21" s="84" t="s">
        <v>42</v>
      </c>
      <c r="C21" s="84" t="s">
        <v>43</v>
      </c>
      <c r="D21" s="84" t="s">
        <v>1624</v>
      </c>
      <c r="E21" s="70">
        <v>44313</v>
      </c>
      <c r="F21" s="84" t="s">
        <v>1609</v>
      </c>
      <c r="G21">
        <v>0</v>
      </c>
      <c r="H21">
        <v>0</v>
      </c>
      <c r="I21">
        <v>0</v>
      </c>
      <c r="J21">
        <v>0</v>
      </c>
      <c r="K21">
        <v>0</v>
      </c>
      <c r="L21" s="84" t="s">
        <v>1145</v>
      </c>
      <c r="M21">
        <v>-1</v>
      </c>
      <c r="N21" s="84" t="s">
        <v>1127</v>
      </c>
      <c r="O21" s="84" t="s">
        <v>1128</v>
      </c>
    </row>
    <row r="22" spans="1:15" x14ac:dyDescent="0.25">
      <c r="A22" s="84" t="s">
        <v>6</v>
      </c>
      <c r="B22" s="84" t="s">
        <v>44</v>
      </c>
      <c r="C22" s="84" t="s">
        <v>45</v>
      </c>
      <c r="D22" s="84" t="s">
        <v>1625</v>
      </c>
      <c r="E22" s="70">
        <v>44836</v>
      </c>
      <c r="F22" s="84" t="s">
        <v>1609</v>
      </c>
      <c r="G22">
        <v>0</v>
      </c>
      <c r="H22">
        <v>0</v>
      </c>
      <c r="I22">
        <v>0</v>
      </c>
      <c r="J22">
        <v>0</v>
      </c>
      <c r="K22">
        <v>0</v>
      </c>
      <c r="L22" s="84" t="s">
        <v>1146</v>
      </c>
      <c r="M22">
        <v>-1</v>
      </c>
      <c r="N22" s="84" t="s">
        <v>1127</v>
      </c>
      <c r="O22" s="84" t="s">
        <v>1128</v>
      </c>
    </row>
    <row r="23" spans="1:15" x14ac:dyDescent="0.25">
      <c r="A23" s="84" t="s">
        <v>6</v>
      </c>
      <c r="B23" s="84" t="s">
        <v>46</v>
      </c>
      <c r="C23" s="84" t="s">
        <v>47</v>
      </c>
      <c r="D23" s="84" t="s">
        <v>1082</v>
      </c>
      <c r="E23" s="70">
        <v>44315</v>
      </c>
      <c r="F23" s="84" t="s">
        <v>1611</v>
      </c>
      <c r="G23">
        <v>24000</v>
      </c>
      <c r="H23">
        <v>0</v>
      </c>
      <c r="I23">
        <v>0</v>
      </c>
      <c r="J23">
        <v>0</v>
      </c>
      <c r="K23">
        <v>24000</v>
      </c>
      <c r="L23" s="84" t="s">
        <v>1147</v>
      </c>
      <c r="M23">
        <v>4</v>
      </c>
      <c r="N23" s="84" t="s">
        <v>1127</v>
      </c>
      <c r="O23" s="84" t="s">
        <v>1128</v>
      </c>
    </row>
    <row r="24" spans="1:15" x14ac:dyDescent="0.25">
      <c r="A24" s="84" t="s">
        <v>6</v>
      </c>
      <c r="B24" s="84" t="s">
        <v>48</v>
      </c>
      <c r="C24" s="84" t="s">
        <v>49</v>
      </c>
      <c r="D24" s="84" t="s">
        <v>1626</v>
      </c>
      <c r="E24" s="70">
        <v>44352</v>
      </c>
      <c r="F24" s="84" t="s">
        <v>1611</v>
      </c>
      <c r="G24">
        <v>24000</v>
      </c>
      <c r="H24">
        <v>123</v>
      </c>
      <c r="I24">
        <v>0</v>
      </c>
      <c r="J24">
        <v>0</v>
      </c>
      <c r="K24">
        <v>24000</v>
      </c>
      <c r="L24" s="84" t="s">
        <v>1148</v>
      </c>
      <c r="M24">
        <v>4</v>
      </c>
      <c r="N24" s="84" t="s">
        <v>1127</v>
      </c>
      <c r="O24" s="84" t="s">
        <v>1128</v>
      </c>
    </row>
    <row r="25" spans="1:15" x14ac:dyDescent="0.25">
      <c r="A25" s="84" t="s">
        <v>6</v>
      </c>
      <c r="B25" s="84" t="s">
        <v>50</v>
      </c>
      <c r="C25" s="84" t="s">
        <v>51</v>
      </c>
      <c r="D25" s="84" t="s">
        <v>1627</v>
      </c>
      <c r="E25" s="70">
        <v>44381</v>
      </c>
      <c r="F25" s="84" t="s">
        <v>1611</v>
      </c>
      <c r="G25">
        <v>50000</v>
      </c>
      <c r="H25">
        <v>1110</v>
      </c>
      <c r="I25">
        <v>0</v>
      </c>
      <c r="J25">
        <v>0</v>
      </c>
      <c r="K25">
        <v>50000</v>
      </c>
      <c r="L25" s="84" t="s">
        <v>1149</v>
      </c>
      <c r="M25">
        <v>4</v>
      </c>
      <c r="N25" s="84" t="s">
        <v>1127</v>
      </c>
      <c r="O25" s="84" t="s">
        <v>1128</v>
      </c>
    </row>
    <row r="26" spans="1:15" x14ac:dyDescent="0.25">
      <c r="A26" s="84" t="s">
        <v>6</v>
      </c>
      <c r="B26" s="84" t="s">
        <v>52</v>
      </c>
      <c r="C26" s="84" t="s">
        <v>53</v>
      </c>
      <c r="D26" s="84" t="s">
        <v>1628</v>
      </c>
      <c r="E26" s="70">
        <v>44391</v>
      </c>
      <c r="F26" s="84" t="s">
        <v>1609</v>
      </c>
      <c r="G26">
        <v>0</v>
      </c>
      <c r="H26">
        <v>0</v>
      </c>
      <c r="I26">
        <v>0</v>
      </c>
      <c r="J26">
        <v>0</v>
      </c>
      <c r="K26">
        <v>0</v>
      </c>
      <c r="L26" s="84" t="s">
        <v>1150</v>
      </c>
      <c r="M26">
        <v>-1</v>
      </c>
      <c r="N26" s="84" t="s">
        <v>1127</v>
      </c>
      <c r="O26" s="84" t="s">
        <v>1128</v>
      </c>
    </row>
    <row r="27" spans="1:15" x14ac:dyDescent="0.25">
      <c r="A27" s="84" t="s">
        <v>6</v>
      </c>
      <c r="B27" s="84" t="s">
        <v>54</v>
      </c>
      <c r="C27" s="84" t="s">
        <v>55</v>
      </c>
      <c r="D27" s="84" t="s">
        <v>1629</v>
      </c>
      <c r="E27" s="70">
        <v>44410</v>
      </c>
      <c r="F27" s="84" t="s">
        <v>1611</v>
      </c>
      <c r="G27">
        <v>8000</v>
      </c>
      <c r="H27">
        <v>2252</v>
      </c>
      <c r="I27">
        <v>2252</v>
      </c>
      <c r="J27">
        <v>349</v>
      </c>
      <c r="K27">
        <v>5748</v>
      </c>
      <c r="L27" s="84" t="s">
        <v>1151</v>
      </c>
      <c r="M27">
        <v>4</v>
      </c>
      <c r="N27" s="84" t="s">
        <v>1127</v>
      </c>
      <c r="O27" s="84" t="s">
        <v>1152</v>
      </c>
    </row>
    <row r="28" spans="1:15" x14ac:dyDescent="0.25">
      <c r="A28" s="84" t="s">
        <v>6</v>
      </c>
      <c r="B28" s="84" t="s">
        <v>56</v>
      </c>
      <c r="C28" s="84" t="s">
        <v>57</v>
      </c>
      <c r="D28" s="84" t="s">
        <v>1630</v>
      </c>
      <c r="E28" s="70">
        <v>44412</v>
      </c>
      <c r="F28" s="84" t="s">
        <v>1609</v>
      </c>
      <c r="G28">
        <v>0</v>
      </c>
      <c r="H28">
        <v>0</v>
      </c>
      <c r="I28">
        <v>0</v>
      </c>
      <c r="J28">
        <v>0</v>
      </c>
      <c r="K28">
        <v>0</v>
      </c>
      <c r="L28" s="84" t="s">
        <v>1153</v>
      </c>
      <c r="M28">
        <v>-1</v>
      </c>
      <c r="N28" s="84" t="s">
        <v>1127</v>
      </c>
      <c r="O28" s="84" t="s">
        <v>1128</v>
      </c>
    </row>
    <row r="29" spans="1:15" x14ac:dyDescent="0.25">
      <c r="A29" s="84" t="s">
        <v>6</v>
      </c>
      <c r="B29" s="84" t="s">
        <v>58</v>
      </c>
      <c r="C29" s="84" t="s">
        <v>59</v>
      </c>
      <c r="D29" s="84" t="s">
        <v>1631</v>
      </c>
      <c r="E29" s="70">
        <v>44424</v>
      </c>
      <c r="F29" s="84" t="s">
        <v>1609</v>
      </c>
      <c r="G29">
        <v>0</v>
      </c>
      <c r="H29">
        <v>1154</v>
      </c>
      <c r="I29">
        <v>0</v>
      </c>
      <c r="J29">
        <v>0</v>
      </c>
      <c r="K29">
        <v>0</v>
      </c>
      <c r="L29" s="84" t="s">
        <v>1154</v>
      </c>
      <c r="M29">
        <v>-1</v>
      </c>
      <c r="N29" s="84" t="s">
        <v>1127</v>
      </c>
      <c r="O29" s="84" t="s">
        <v>1128</v>
      </c>
    </row>
    <row r="30" spans="1:15" x14ac:dyDescent="0.25">
      <c r="A30" s="84" t="s">
        <v>6</v>
      </c>
      <c r="B30" s="84" t="s">
        <v>60</v>
      </c>
      <c r="C30" s="84" t="s">
        <v>61</v>
      </c>
      <c r="D30" s="84" t="s">
        <v>1632</v>
      </c>
      <c r="E30" s="70">
        <v>44424</v>
      </c>
      <c r="F30" s="84" t="s">
        <v>1609</v>
      </c>
      <c r="G30">
        <v>0</v>
      </c>
      <c r="H30">
        <v>0</v>
      </c>
      <c r="I30">
        <v>0</v>
      </c>
      <c r="J30">
        <v>0</v>
      </c>
      <c r="K30">
        <v>0</v>
      </c>
      <c r="L30" s="84" t="s">
        <v>1154</v>
      </c>
      <c r="M30">
        <v>-1</v>
      </c>
      <c r="N30" s="84" t="s">
        <v>1127</v>
      </c>
      <c r="O30" s="84" t="s">
        <v>1128</v>
      </c>
    </row>
    <row r="31" spans="1:15" x14ac:dyDescent="0.25">
      <c r="A31" s="84" t="s">
        <v>6</v>
      </c>
      <c r="B31" s="84" t="s">
        <v>62</v>
      </c>
      <c r="C31" s="84" t="s">
        <v>63</v>
      </c>
      <c r="D31" s="84" t="s">
        <v>1633</v>
      </c>
      <c r="E31" s="70">
        <v>44427</v>
      </c>
      <c r="F31" s="84" t="s">
        <v>1609</v>
      </c>
      <c r="G31">
        <v>0</v>
      </c>
      <c r="H31">
        <v>0</v>
      </c>
      <c r="I31">
        <v>0</v>
      </c>
      <c r="J31">
        <v>0</v>
      </c>
      <c r="K31">
        <v>0</v>
      </c>
      <c r="L31" s="84" t="s">
        <v>1155</v>
      </c>
      <c r="M31">
        <v>-1</v>
      </c>
      <c r="N31" s="84" t="s">
        <v>1127</v>
      </c>
      <c r="O31" s="84" t="s">
        <v>1128</v>
      </c>
    </row>
    <row r="32" spans="1:15" x14ac:dyDescent="0.25">
      <c r="A32" s="84" t="s">
        <v>6</v>
      </c>
      <c r="B32" s="84" t="s">
        <v>64</v>
      </c>
      <c r="C32" s="84" t="s">
        <v>65</v>
      </c>
      <c r="D32" s="84" t="s">
        <v>1634</v>
      </c>
      <c r="E32" s="70">
        <v>44445</v>
      </c>
      <c r="F32" s="84" t="s">
        <v>1609</v>
      </c>
      <c r="G32">
        <v>0</v>
      </c>
      <c r="H32">
        <v>0</v>
      </c>
      <c r="I32">
        <v>0</v>
      </c>
      <c r="J32">
        <v>0</v>
      </c>
      <c r="K32">
        <v>0</v>
      </c>
      <c r="L32" s="84" t="s">
        <v>1156</v>
      </c>
      <c r="M32">
        <v>-1</v>
      </c>
      <c r="N32" s="84" t="s">
        <v>1127</v>
      </c>
      <c r="O32" s="84" t="s">
        <v>1128</v>
      </c>
    </row>
    <row r="33" spans="1:15" x14ac:dyDescent="0.25">
      <c r="A33" s="84" t="s">
        <v>6</v>
      </c>
      <c r="B33" s="84" t="s">
        <v>66</v>
      </c>
      <c r="C33" s="84" t="s">
        <v>67</v>
      </c>
      <c r="D33" s="84" t="s">
        <v>1635</v>
      </c>
      <c r="E33" s="70">
        <v>44455</v>
      </c>
      <c r="F33" s="84" t="s">
        <v>1609</v>
      </c>
      <c r="G33">
        <v>0</v>
      </c>
      <c r="H33">
        <v>-26</v>
      </c>
      <c r="I33">
        <v>-26</v>
      </c>
      <c r="J33">
        <v>367</v>
      </c>
      <c r="K33">
        <v>0</v>
      </c>
      <c r="L33" s="84" t="s">
        <v>1157</v>
      </c>
      <c r="M33">
        <v>-1</v>
      </c>
      <c r="N33" s="84" t="s">
        <v>1127</v>
      </c>
      <c r="O33" s="84" t="s">
        <v>1128</v>
      </c>
    </row>
    <row r="34" spans="1:15" x14ac:dyDescent="0.25">
      <c r="A34" s="84" t="s">
        <v>6</v>
      </c>
      <c r="B34" s="84" t="s">
        <v>68</v>
      </c>
      <c r="C34" s="84" t="s">
        <v>69</v>
      </c>
      <c r="D34" s="84" t="s">
        <v>1636</v>
      </c>
      <c r="E34" s="70">
        <v>44455</v>
      </c>
      <c r="F34" s="84" t="s">
        <v>1609</v>
      </c>
      <c r="G34">
        <v>0</v>
      </c>
      <c r="H34">
        <v>0</v>
      </c>
      <c r="I34">
        <v>0</v>
      </c>
      <c r="J34">
        <v>0</v>
      </c>
      <c r="K34">
        <v>0</v>
      </c>
      <c r="L34" s="84" t="s">
        <v>1157</v>
      </c>
      <c r="M34">
        <v>-1</v>
      </c>
      <c r="N34" s="84" t="s">
        <v>1127</v>
      </c>
      <c r="O34" s="84" t="s">
        <v>1128</v>
      </c>
    </row>
    <row r="35" spans="1:15" x14ac:dyDescent="0.25">
      <c r="A35" s="84" t="s">
        <v>6</v>
      </c>
      <c r="B35" s="84" t="s">
        <v>70</v>
      </c>
      <c r="C35" s="84" t="s">
        <v>71</v>
      </c>
      <c r="D35" s="84" t="s">
        <v>1637</v>
      </c>
      <c r="E35" s="70">
        <v>44471</v>
      </c>
      <c r="F35" s="84" t="s">
        <v>1609</v>
      </c>
      <c r="G35">
        <v>0</v>
      </c>
      <c r="H35">
        <v>0</v>
      </c>
      <c r="I35">
        <v>0</v>
      </c>
      <c r="J35">
        <v>0</v>
      </c>
      <c r="K35">
        <v>0</v>
      </c>
      <c r="L35" s="84" t="s">
        <v>1158</v>
      </c>
      <c r="M35">
        <v>-1</v>
      </c>
      <c r="N35" s="84" t="s">
        <v>1127</v>
      </c>
      <c r="O35" s="84" t="s">
        <v>1128</v>
      </c>
    </row>
    <row r="36" spans="1:15" x14ac:dyDescent="0.25">
      <c r="A36" s="84" t="s">
        <v>6</v>
      </c>
      <c r="B36" s="84" t="s">
        <v>72</v>
      </c>
      <c r="C36" s="84" t="s">
        <v>73</v>
      </c>
      <c r="D36" s="84" t="s">
        <v>1638</v>
      </c>
      <c r="E36" s="70">
        <v>44472</v>
      </c>
      <c r="F36" s="84" t="s">
        <v>1611</v>
      </c>
      <c r="G36">
        <v>50000</v>
      </c>
      <c r="H36">
        <v>1546</v>
      </c>
      <c r="I36">
        <v>0</v>
      </c>
      <c r="J36">
        <v>0</v>
      </c>
      <c r="K36">
        <v>50000</v>
      </c>
      <c r="L36" s="84" t="s">
        <v>1159</v>
      </c>
      <c r="M36">
        <v>4</v>
      </c>
      <c r="N36" s="84" t="s">
        <v>1127</v>
      </c>
      <c r="O36" s="84" t="s">
        <v>1128</v>
      </c>
    </row>
    <row r="37" spans="1:15" x14ac:dyDescent="0.25">
      <c r="A37" s="84" t="s">
        <v>6</v>
      </c>
      <c r="B37" s="84" t="s">
        <v>75</v>
      </c>
      <c r="C37" s="84" t="s">
        <v>2193</v>
      </c>
      <c r="D37" s="84" t="s">
        <v>2249</v>
      </c>
      <c r="E37" s="70">
        <v>44474</v>
      </c>
      <c r="F37" s="84" t="s">
        <v>1609</v>
      </c>
      <c r="G37">
        <v>0</v>
      </c>
      <c r="H37">
        <v>5493</v>
      </c>
      <c r="I37">
        <v>5493</v>
      </c>
      <c r="J37">
        <v>61</v>
      </c>
      <c r="K37">
        <v>-5493</v>
      </c>
      <c r="L37" s="84" t="s">
        <v>1160</v>
      </c>
      <c r="M37">
        <v>-1</v>
      </c>
      <c r="N37" s="84" t="s">
        <v>1240</v>
      </c>
      <c r="O37" s="84" t="s">
        <v>2417</v>
      </c>
    </row>
    <row r="38" spans="1:15" x14ac:dyDescent="0.25">
      <c r="A38" s="84" t="s">
        <v>6</v>
      </c>
      <c r="B38" s="84" t="s">
        <v>76</v>
      </c>
      <c r="C38" s="84" t="s">
        <v>2418</v>
      </c>
      <c r="D38" s="84" t="s">
        <v>1639</v>
      </c>
      <c r="E38" s="70">
        <v>44475</v>
      </c>
      <c r="F38" s="84" t="s">
        <v>1611</v>
      </c>
      <c r="G38">
        <v>8000</v>
      </c>
      <c r="H38">
        <v>719</v>
      </c>
      <c r="I38">
        <v>0</v>
      </c>
      <c r="J38">
        <v>0</v>
      </c>
      <c r="K38">
        <v>8000</v>
      </c>
      <c r="L38" s="84" t="s">
        <v>1161</v>
      </c>
      <c r="M38">
        <v>4</v>
      </c>
      <c r="N38" s="84" t="s">
        <v>1127</v>
      </c>
      <c r="O38" s="84" t="s">
        <v>1128</v>
      </c>
    </row>
    <row r="39" spans="1:15" x14ac:dyDescent="0.25">
      <c r="A39" s="84" t="s">
        <v>6</v>
      </c>
      <c r="B39" s="84" t="s">
        <v>77</v>
      </c>
      <c r="C39" s="84" t="s">
        <v>78</v>
      </c>
      <c r="D39" s="84" t="s">
        <v>1640</v>
      </c>
      <c r="E39" s="70">
        <v>44481</v>
      </c>
      <c r="F39" s="84" t="s">
        <v>1609</v>
      </c>
      <c r="G39">
        <v>0</v>
      </c>
      <c r="H39">
        <v>0</v>
      </c>
      <c r="I39">
        <v>0</v>
      </c>
      <c r="J39">
        <v>0</v>
      </c>
      <c r="K39">
        <v>0</v>
      </c>
      <c r="L39" s="84" t="s">
        <v>1162</v>
      </c>
      <c r="M39">
        <v>-1</v>
      </c>
      <c r="N39" s="84" t="s">
        <v>1127</v>
      </c>
      <c r="O39" s="84" t="s">
        <v>1128</v>
      </c>
    </row>
    <row r="40" spans="1:15" x14ac:dyDescent="0.25">
      <c r="A40" s="84" t="s">
        <v>6</v>
      </c>
      <c r="B40" s="84" t="s">
        <v>79</v>
      </c>
      <c r="C40" s="84" t="s">
        <v>80</v>
      </c>
      <c r="D40" s="84" t="s">
        <v>1641</v>
      </c>
      <c r="E40" s="70">
        <v>44489</v>
      </c>
      <c r="F40" s="84" t="s">
        <v>1611</v>
      </c>
      <c r="G40">
        <v>16000</v>
      </c>
      <c r="H40">
        <v>1787</v>
      </c>
      <c r="I40">
        <v>1787</v>
      </c>
      <c r="J40">
        <v>246</v>
      </c>
      <c r="K40">
        <v>14213</v>
      </c>
      <c r="L40" s="84" t="s">
        <v>1163</v>
      </c>
      <c r="M40">
        <v>4</v>
      </c>
      <c r="N40" s="84" t="s">
        <v>1127</v>
      </c>
      <c r="O40" s="84" t="s">
        <v>1164</v>
      </c>
    </row>
    <row r="41" spans="1:15" x14ac:dyDescent="0.25">
      <c r="A41" s="84" t="s">
        <v>6</v>
      </c>
      <c r="B41" s="84" t="s">
        <v>81</v>
      </c>
      <c r="C41" s="84" t="s">
        <v>82</v>
      </c>
      <c r="D41" s="84" t="s">
        <v>1642</v>
      </c>
      <c r="E41" s="70">
        <v>44497</v>
      </c>
      <c r="F41" s="84" t="s">
        <v>1609</v>
      </c>
      <c r="G41">
        <v>0</v>
      </c>
      <c r="H41">
        <v>0</v>
      </c>
      <c r="I41">
        <v>0</v>
      </c>
      <c r="J41">
        <v>0</v>
      </c>
      <c r="K41">
        <v>0</v>
      </c>
      <c r="L41" s="84" t="s">
        <v>1165</v>
      </c>
      <c r="M41">
        <v>-1</v>
      </c>
      <c r="N41" s="84" t="s">
        <v>1127</v>
      </c>
      <c r="O41" s="84" t="s">
        <v>1128</v>
      </c>
    </row>
    <row r="42" spans="1:15" x14ac:dyDescent="0.25">
      <c r="A42" s="84" t="s">
        <v>6</v>
      </c>
      <c r="B42" s="84" t="s">
        <v>83</v>
      </c>
      <c r="C42" s="84" t="s">
        <v>84</v>
      </c>
      <c r="D42" s="84" t="s">
        <v>1643</v>
      </c>
      <c r="E42" s="70">
        <v>44497</v>
      </c>
      <c r="F42" s="84" t="s">
        <v>1609</v>
      </c>
      <c r="G42">
        <v>0</v>
      </c>
      <c r="H42">
        <v>0</v>
      </c>
      <c r="I42">
        <v>0</v>
      </c>
      <c r="J42">
        <v>0</v>
      </c>
      <c r="K42">
        <v>0</v>
      </c>
      <c r="L42" s="84" t="s">
        <v>1165</v>
      </c>
      <c r="M42">
        <v>-1</v>
      </c>
      <c r="N42" s="84" t="s">
        <v>1127</v>
      </c>
      <c r="O42" s="84" t="s">
        <v>1128</v>
      </c>
    </row>
    <row r="43" spans="1:15" x14ac:dyDescent="0.25">
      <c r="A43" s="84" t="s">
        <v>6</v>
      </c>
      <c r="B43" s="84" t="s">
        <v>85</v>
      </c>
      <c r="C43" s="84" t="s">
        <v>86</v>
      </c>
      <c r="D43" s="84" t="s">
        <v>1644</v>
      </c>
      <c r="E43" s="70">
        <v>44504</v>
      </c>
      <c r="F43" s="84" t="s">
        <v>1611</v>
      </c>
      <c r="G43">
        <v>18000</v>
      </c>
      <c r="H43">
        <v>3589</v>
      </c>
      <c r="I43">
        <v>0</v>
      </c>
      <c r="J43">
        <v>0</v>
      </c>
      <c r="K43">
        <v>18000</v>
      </c>
      <c r="L43" s="84" t="s">
        <v>1166</v>
      </c>
      <c r="M43">
        <v>4</v>
      </c>
      <c r="N43" s="84" t="s">
        <v>1127</v>
      </c>
      <c r="O43" s="84" t="s">
        <v>1128</v>
      </c>
    </row>
    <row r="44" spans="1:15" x14ac:dyDescent="0.25">
      <c r="A44" s="84" t="s">
        <v>6</v>
      </c>
      <c r="B44" s="84" t="s">
        <v>87</v>
      </c>
      <c r="C44" s="84" t="s">
        <v>88</v>
      </c>
      <c r="D44" s="84" t="s">
        <v>1645</v>
      </c>
      <c r="E44" s="70">
        <v>44510</v>
      </c>
      <c r="F44" s="84" t="s">
        <v>1609</v>
      </c>
      <c r="G44">
        <v>0</v>
      </c>
      <c r="H44">
        <v>-4</v>
      </c>
      <c r="I44">
        <v>0</v>
      </c>
      <c r="J44">
        <v>0</v>
      </c>
      <c r="K44">
        <v>0</v>
      </c>
      <c r="L44" s="84" t="s">
        <v>1167</v>
      </c>
      <c r="M44">
        <v>-1</v>
      </c>
      <c r="N44" s="84" t="s">
        <v>1127</v>
      </c>
      <c r="O44" s="84" t="s">
        <v>1128</v>
      </c>
    </row>
    <row r="45" spans="1:15" x14ac:dyDescent="0.25">
      <c r="A45" s="84" t="s">
        <v>6</v>
      </c>
      <c r="B45" s="84" t="s">
        <v>89</v>
      </c>
      <c r="C45" s="84" t="s">
        <v>90</v>
      </c>
      <c r="D45" s="84" t="s">
        <v>1646</v>
      </c>
      <c r="E45" s="70">
        <v>44514</v>
      </c>
      <c r="F45" s="84" t="s">
        <v>1609</v>
      </c>
      <c r="G45">
        <v>0</v>
      </c>
      <c r="H45">
        <v>0</v>
      </c>
      <c r="I45">
        <v>0</v>
      </c>
      <c r="J45">
        <v>0</v>
      </c>
      <c r="K45">
        <v>0</v>
      </c>
      <c r="L45" s="84" t="s">
        <v>1168</v>
      </c>
      <c r="M45">
        <v>-1</v>
      </c>
      <c r="N45" s="84" t="s">
        <v>1127</v>
      </c>
      <c r="O45" s="84" t="s">
        <v>1128</v>
      </c>
    </row>
    <row r="46" spans="1:15" x14ac:dyDescent="0.25">
      <c r="A46" s="84" t="s">
        <v>6</v>
      </c>
      <c r="B46" s="84" t="s">
        <v>91</v>
      </c>
      <c r="C46" s="84" t="s">
        <v>1169</v>
      </c>
      <c r="D46" s="84" t="s">
        <v>1647</v>
      </c>
      <c r="E46" s="70">
        <v>44514</v>
      </c>
      <c r="F46" s="84" t="s">
        <v>1611</v>
      </c>
      <c r="G46">
        <v>20000</v>
      </c>
      <c r="H46">
        <v>2277</v>
      </c>
      <c r="I46">
        <v>0</v>
      </c>
      <c r="J46">
        <v>0</v>
      </c>
      <c r="K46">
        <v>20000</v>
      </c>
      <c r="L46" s="84" t="s">
        <v>1168</v>
      </c>
      <c r="M46">
        <v>4</v>
      </c>
      <c r="N46" s="84" t="s">
        <v>1127</v>
      </c>
      <c r="O46" s="84" t="s">
        <v>1128</v>
      </c>
    </row>
    <row r="47" spans="1:15" x14ac:dyDescent="0.25">
      <c r="A47" s="84" t="s">
        <v>6</v>
      </c>
      <c r="B47" s="84" t="s">
        <v>92</v>
      </c>
      <c r="C47" s="84" t="s">
        <v>93</v>
      </c>
      <c r="D47" s="84" t="s">
        <v>1648</v>
      </c>
      <c r="E47" s="70">
        <v>44516</v>
      </c>
      <c r="F47" s="84" t="s">
        <v>1611</v>
      </c>
      <c r="G47">
        <v>80000</v>
      </c>
      <c r="H47">
        <v>2503</v>
      </c>
      <c r="I47">
        <v>0</v>
      </c>
      <c r="J47">
        <v>0</v>
      </c>
      <c r="K47">
        <v>80000</v>
      </c>
      <c r="L47" s="84" t="s">
        <v>1170</v>
      </c>
      <c r="M47">
        <v>4</v>
      </c>
      <c r="N47" s="84" t="s">
        <v>1127</v>
      </c>
      <c r="O47" s="84" t="s">
        <v>1128</v>
      </c>
    </row>
    <row r="48" spans="1:15" x14ac:dyDescent="0.25">
      <c r="A48" s="84" t="s">
        <v>6</v>
      </c>
      <c r="B48" s="84" t="s">
        <v>94</v>
      </c>
      <c r="C48" s="84" t="s">
        <v>95</v>
      </c>
      <c r="D48" s="84" t="s">
        <v>1649</v>
      </c>
      <c r="E48" s="70">
        <v>44521</v>
      </c>
      <c r="F48" s="84" t="s">
        <v>1611</v>
      </c>
      <c r="G48">
        <v>50000</v>
      </c>
      <c r="H48">
        <v>0</v>
      </c>
      <c r="I48">
        <v>0</v>
      </c>
      <c r="J48">
        <v>0</v>
      </c>
      <c r="K48">
        <v>50000</v>
      </c>
      <c r="L48" s="84" t="s">
        <v>1171</v>
      </c>
      <c r="M48">
        <v>4</v>
      </c>
      <c r="N48" s="84" t="s">
        <v>1127</v>
      </c>
      <c r="O48" s="84" t="s">
        <v>1128</v>
      </c>
    </row>
    <row r="49" spans="1:15" x14ac:dyDescent="0.25">
      <c r="A49" s="84" t="s">
        <v>6</v>
      </c>
      <c r="B49" s="84" t="s">
        <v>96</v>
      </c>
      <c r="C49" s="84" t="s">
        <v>97</v>
      </c>
      <c r="D49" s="84" t="s">
        <v>1650</v>
      </c>
      <c r="E49" s="70">
        <v>44528</v>
      </c>
      <c r="F49" s="84" t="s">
        <v>1609</v>
      </c>
      <c r="G49">
        <v>0</v>
      </c>
      <c r="H49">
        <v>0</v>
      </c>
      <c r="I49">
        <v>0</v>
      </c>
      <c r="J49">
        <v>0</v>
      </c>
      <c r="K49">
        <v>0</v>
      </c>
      <c r="L49" s="84" t="s">
        <v>1172</v>
      </c>
      <c r="M49">
        <v>-1</v>
      </c>
      <c r="N49" s="84" t="s">
        <v>1127</v>
      </c>
      <c r="O49" s="84" t="s">
        <v>1128</v>
      </c>
    </row>
    <row r="50" spans="1:15" x14ac:dyDescent="0.25">
      <c r="A50" s="84" t="s">
        <v>6</v>
      </c>
      <c r="B50" s="84" t="s">
        <v>98</v>
      </c>
      <c r="C50" s="84" t="s">
        <v>99</v>
      </c>
      <c r="D50" s="84" t="s">
        <v>1082</v>
      </c>
      <c r="E50" s="70">
        <v>44528</v>
      </c>
      <c r="F50" s="84" t="s">
        <v>1609</v>
      </c>
      <c r="G50">
        <v>0</v>
      </c>
      <c r="H50">
        <v>0</v>
      </c>
      <c r="I50">
        <v>0</v>
      </c>
      <c r="J50">
        <v>0</v>
      </c>
      <c r="K50">
        <v>0</v>
      </c>
      <c r="L50" s="84" t="s">
        <v>1172</v>
      </c>
      <c r="M50">
        <v>-1</v>
      </c>
      <c r="N50" s="84" t="s">
        <v>1127</v>
      </c>
      <c r="O50" s="84" t="s">
        <v>1128</v>
      </c>
    </row>
    <row r="51" spans="1:15" x14ac:dyDescent="0.25">
      <c r="A51" s="84" t="s">
        <v>6</v>
      </c>
      <c r="B51" s="84" t="s">
        <v>100</v>
      </c>
      <c r="C51" s="84" t="s">
        <v>101</v>
      </c>
      <c r="D51" s="84" t="s">
        <v>1651</v>
      </c>
      <c r="E51" s="70">
        <v>44534</v>
      </c>
      <c r="F51" s="84" t="s">
        <v>1609</v>
      </c>
      <c r="G51">
        <v>0</v>
      </c>
      <c r="H51">
        <v>0</v>
      </c>
      <c r="I51">
        <v>0</v>
      </c>
      <c r="J51">
        <v>0</v>
      </c>
      <c r="K51">
        <v>0</v>
      </c>
      <c r="L51" s="84" t="s">
        <v>1173</v>
      </c>
      <c r="M51">
        <v>-1</v>
      </c>
      <c r="N51" s="84" t="s">
        <v>1127</v>
      </c>
      <c r="O51" s="84" t="s">
        <v>1128</v>
      </c>
    </row>
    <row r="52" spans="1:15" x14ac:dyDescent="0.25">
      <c r="A52" s="84" t="s">
        <v>6</v>
      </c>
      <c r="B52" s="84" t="s">
        <v>102</v>
      </c>
      <c r="C52" s="84" t="s">
        <v>103</v>
      </c>
      <c r="D52" s="84" t="s">
        <v>1652</v>
      </c>
      <c r="E52" s="70">
        <v>44534</v>
      </c>
      <c r="F52" s="84" t="s">
        <v>1611</v>
      </c>
      <c r="G52">
        <v>16000</v>
      </c>
      <c r="H52">
        <v>7017</v>
      </c>
      <c r="I52">
        <v>0</v>
      </c>
      <c r="J52">
        <v>0</v>
      </c>
      <c r="K52">
        <v>16000</v>
      </c>
      <c r="L52" s="84" t="s">
        <v>1173</v>
      </c>
      <c r="M52">
        <v>4</v>
      </c>
      <c r="N52" s="84" t="s">
        <v>1127</v>
      </c>
      <c r="O52" s="84" t="s">
        <v>1128</v>
      </c>
    </row>
    <row r="53" spans="1:15" x14ac:dyDescent="0.25">
      <c r="A53" s="84" t="s">
        <v>6</v>
      </c>
      <c r="B53" s="84" t="s">
        <v>104</v>
      </c>
      <c r="C53" s="84" t="s">
        <v>105</v>
      </c>
      <c r="D53" s="84" t="s">
        <v>1653</v>
      </c>
      <c r="E53" s="70">
        <v>44545</v>
      </c>
      <c r="F53" s="84" t="s">
        <v>1609</v>
      </c>
      <c r="G53">
        <v>0</v>
      </c>
      <c r="H53">
        <v>0</v>
      </c>
      <c r="I53">
        <v>0</v>
      </c>
      <c r="J53">
        <v>0</v>
      </c>
      <c r="K53">
        <v>0</v>
      </c>
      <c r="L53" s="84" t="s">
        <v>1174</v>
      </c>
      <c r="M53">
        <v>-1</v>
      </c>
      <c r="N53" s="84" t="s">
        <v>1127</v>
      </c>
      <c r="O53" s="84" t="s">
        <v>1128</v>
      </c>
    </row>
    <row r="54" spans="1:15" x14ac:dyDescent="0.25">
      <c r="A54" s="84" t="s">
        <v>6</v>
      </c>
      <c r="B54" s="84" t="s">
        <v>106</v>
      </c>
      <c r="C54" s="84" t="s">
        <v>1654</v>
      </c>
      <c r="D54" s="84" t="s">
        <v>1655</v>
      </c>
      <c r="E54" s="70">
        <v>44545</v>
      </c>
      <c r="F54" s="84" t="s">
        <v>1611</v>
      </c>
      <c r="G54">
        <v>8000</v>
      </c>
      <c r="H54">
        <v>2664</v>
      </c>
      <c r="I54">
        <v>0</v>
      </c>
      <c r="J54">
        <v>0</v>
      </c>
      <c r="K54">
        <v>8000</v>
      </c>
      <c r="L54" s="84" t="s">
        <v>1174</v>
      </c>
      <c r="M54">
        <v>4</v>
      </c>
      <c r="N54" s="84" t="s">
        <v>1127</v>
      </c>
      <c r="O54" s="84" t="s">
        <v>1128</v>
      </c>
    </row>
    <row r="55" spans="1:15" x14ac:dyDescent="0.25">
      <c r="A55" s="84" t="s">
        <v>6</v>
      </c>
      <c r="B55" s="84" t="s">
        <v>107</v>
      </c>
      <c r="C55" s="84" t="s">
        <v>108</v>
      </c>
      <c r="D55" s="84" t="s">
        <v>1656</v>
      </c>
      <c r="E55" s="70">
        <v>44546</v>
      </c>
      <c r="F55" s="84" t="s">
        <v>1609</v>
      </c>
      <c r="G55">
        <v>0</v>
      </c>
      <c r="H55">
        <v>0</v>
      </c>
      <c r="I55">
        <v>0</v>
      </c>
      <c r="J55">
        <v>0</v>
      </c>
      <c r="K55">
        <v>0</v>
      </c>
      <c r="L55" s="84" t="s">
        <v>1175</v>
      </c>
      <c r="M55">
        <v>-1</v>
      </c>
      <c r="N55" s="84" t="s">
        <v>1127</v>
      </c>
      <c r="O55" s="84" t="s">
        <v>1128</v>
      </c>
    </row>
    <row r="56" spans="1:15" x14ac:dyDescent="0.25">
      <c r="A56" s="84" t="s">
        <v>6</v>
      </c>
      <c r="B56" s="84" t="s">
        <v>109</v>
      </c>
      <c r="C56" s="84" t="s">
        <v>110</v>
      </c>
      <c r="D56" s="84" t="s">
        <v>1657</v>
      </c>
      <c r="E56" s="70">
        <v>44546</v>
      </c>
      <c r="F56" s="84" t="s">
        <v>1609</v>
      </c>
      <c r="G56">
        <v>0</v>
      </c>
      <c r="H56">
        <v>0</v>
      </c>
      <c r="I56">
        <v>0</v>
      </c>
      <c r="J56">
        <v>0</v>
      </c>
      <c r="K56">
        <v>0</v>
      </c>
      <c r="L56" s="84" t="s">
        <v>1175</v>
      </c>
      <c r="M56">
        <v>-1</v>
      </c>
      <c r="N56" s="84" t="s">
        <v>1127</v>
      </c>
      <c r="O56" s="84" t="s">
        <v>1128</v>
      </c>
    </row>
    <row r="57" spans="1:15" x14ac:dyDescent="0.25">
      <c r="A57" s="84" t="s">
        <v>6</v>
      </c>
      <c r="B57" s="84" t="s">
        <v>111</v>
      </c>
      <c r="C57" s="84" t="s">
        <v>112</v>
      </c>
      <c r="D57" s="84" t="s">
        <v>1658</v>
      </c>
      <c r="E57" s="70">
        <v>44546</v>
      </c>
      <c r="F57" s="84" t="s">
        <v>1609</v>
      </c>
      <c r="G57">
        <v>0</v>
      </c>
      <c r="H57">
        <v>0</v>
      </c>
      <c r="I57">
        <v>0</v>
      </c>
      <c r="J57">
        <v>0</v>
      </c>
      <c r="K57">
        <v>0</v>
      </c>
      <c r="L57" s="84" t="s">
        <v>1175</v>
      </c>
      <c r="M57">
        <v>-1</v>
      </c>
      <c r="N57" s="84" t="s">
        <v>1127</v>
      </c>
      <c r="O57" s="84" t="s">
        <v>1128</v>
      </c>
    </row>
    <row r="58" spans="1:15" x14ac:dyDescent="0.25">
      <c r="A58" s="84" t="s">
        <v>6</v>
      </c>
      <c r="B58" s="84" t="s">
        <v>113</v>
      </c>
      <c r="C58" s="84" t="s">
        <v>114</v>
      </c>
      <c r="D58" s="84" t="s">
        <v>1659</v>
      </c>
      <c r="E58" s="70">
        <v>44548</v>
      </c>
      <c r="F58" s="84" t="s">
        <v>1611</v>
      </c>
      <c r="G58">
        <v>40000</v>
      </c>
      <c r="H58">
        <v>1585</v>
      </c>
      <c r="I58">
        <v>1585</v>
      </c>
      <c r="J58">
        <v>125</v>
      </c>
      <c r="K58">
        <v>38415</v>
      </c>
      <c r="L58" s="84" t="s">
        <v>1176</v>
      </c>
      <c r="M58">
        <v>4</v>
      </c>
      <c r="N58" s="84" t="s">
        <v>1127</v>
      </c>
      <c r="O58" s="84" t="s">
        <v>2250</v>
      </c>
    </row>
    <row r="59" spans="1:15" x14ac:dyDescent="0.25">
      <c r="A59" s="84" t="s">
        <v>6</v>
      </c>
      <c r="B59" s="84" t="s">
        <v>115</v>
      </c>
      <c r="C59" s="84" t="s">
        <v>1177</v>
      </c>
      <c r="D59" s="84" t="s">
        <v>1660</v>
      </c>
      <c r="E59" s="70">
        <v>44549</v>
      </c>
      <c r="F59" s="84" t="s">
        <v>1609</v>
      </c>
      <c r="G59">
        <v>0</v>
      </c>
      <c r="H59">
        <v>0</v>
      </c>
      <c r="I59">
        <v>0</v>
      </c>
      <c r="J59">
        <v>0</v>
      </c>
      <c r="K59">
        <v>0</v>
      </c>
      <c r="L59" s="84" t="s">
        <v>1178</v>
      </c>
      <c r="M59">
        <v>-1</v>
      </c>
      <c r="N59" s="84" t="s">
        <v>1127</v>
      </c>
      <c r="O59" s="84" t="s">
        <v>1128</v>
      </c>
    </row>
    <row r="60" spans="1:15" x14ac:dyDescent="0.25">
      <c r="A60" s="84" t="s">
        <v>6</v>
      </c>
      <c r="B60" s="84" t="s">
        <v>116</v>
      </c>
      <c r="C60" s="84" t="s">
        <v>117</v>
      </c>
      <c r="D60" s="84" t="s">
        <v>1661</v>
      </c>
      <c r="E60" s="70">
        <v>44550</v>
      </c>
      <c r="F60" s="84" t="s">
        <v>1609</v>
      </c>
      <c r="G60">
        <v>0</v>
      </c>
      <c r="H60">
        <v>-4</v>
      </c>
      <c r="I60">
        <v>-4</v>
      </c>
      <c r="J60">
        <v>64</v>
      </c>
      <c r="K60">
        <v>0</v>
      </c>
      <c r="L60" s="84" t="s">
        <v>1179</v>
      </c>
      <c r="M60">
        <v>-1</v>
      </c>
      <c r="N60" s="84" t="s">
        <v>1127</v>
      </c>
      <c r="O60" s="84" t="s">
        <v>1128</v>
      </c>
    </row>
    <row r="61" spans="1:15" x14ac:dyDescent="0.25">
      <c r="A61" s="84" t="s">
        <v>6</v>
      </c>
      <c r="B61" s="84" t="s">
        <v>118</v>
      </c>
      <c r="C61" s="84" t="s">
        <v>926</v>
      </c>
      <c r="D61" s="84" t="s">
        <v>1662</v>
      </c>
      <c r="E61" s="70">
        <v>44553</v>
      </c>
      <c r="F61" s="84" t="s">
        <v>1609</v>
      </c>
      <c r="G61">
        <v>0</v>
      </c>
      <c r="H61">
        <v>0</v>
      </c>
      <c r="I61">
        <v>0</v>
      </c>
      <c r="J61">
        <v>0</v>
      </c>
      <c r="K61">
        <v>0</v>
      </c>
      <c r="L61" s="84" t="s">
        <v>1180</v>
      </c>
      <c r="M61">
        <v>-1</v>
      </c>
      <c r="N61" s="84" t="s">
        <v>1127</v>
      </c>
      <c r="O61" s="84" t="s">
        <v>1128</v>
      </c>
    </row>
    <row r="62" spans="1:15" x14ac:dyDescent="0.25">
      <c r="A62" s="84" t="s">
        <v>6</v>
      </c>
      <c r="B62" s="84" t="s">
        <v>119</v>
      </c>
      <c r="C62" s="84" t="s">
        <v>120</v>
      </c>
      <c r="D62" s="84" t="s">
        <v>1663</v>
      </c>
      <c r="E62" s="70">
        <v>44553</v>
      </c>
      <c r="F62" s="84" t="s">
        <v>1611</v>
      </c>
      <c r="G62">
        <v>24000</v>
      </c>
      <c r="H62">
        <v>6370</v>
      </c>
      <c r="I62">
        <v>6370</v>
      </c>
      <c r="J62">
        <v>121</v>
      </c>
      <c r="K62">
        <v>17630</v>
      </c>
      <c r="L62" s="84" t="s">
        <v>1180</v>
      </c>
      <c r="M62">
        <v>4</v>
      </c>
      <c r="N62" s="84" t="s">
        <v>1127</v>
      </c>
      <c r="O62" s="84" t="s">
        <v>2419</v>
      </c>
    </row>
    <row r="63" spans="1:15" x14ac:dyDescent="0.25">
      <c r="A63" s="84" t="s">
        <v>6</v>
      </c>
      <c r="B63" s="84" t="s">
        <v>121</v>
      </c>
      <c r="C63" s="84" t="s">
        <v>122</v>
      </c>
      <c r="D63" s="84" t="s">
        <v>1664</v>
      </c>
      <c r="E63" s="70">
        <v>44555</v>
      </c>
      <c r="F63" s="84" t="s">
        <v>1609</v>
      </c>
      <c r="G63">
        <v>0</v>
      </c>
      <c r="H63">
        <v>1209</v>
      </c>
      <c r="I63">
        <v>1209</v>
      </c>
      <c r="J63">
        <v>61</v>
      </c>
      <c r="K63">
        <v>-1209</v>
      </c>
      <c r="L63" s="84" t="s">
        <v>1181</v>
      </c>
      <c r="M63">
        <v>-1</v>
      </c>
      <c r="N63" s="84" t="s">
        <v>1240</v>
      </c>
      <c r="O63" s="84" t="s">
        <v>2420</v>
      </c>
    </row>
    <row r="64" spans="1:15" x14ac:dyDescent="0.25">
      <c r="A64" s="84" t="s">
        <v>6</v>
      </c>
      <c r="B64" s="84" t="s">
        <v>123</v>
      </c>
      <c r="C64" s="84" t="s">
        <v>124</v>
      </c>
      <c r="D64" s="84" t="s">
        <v>1665</v>
      </c>
      <c r="E64" s="70">
        <v>44559</v>
      </c>
      <c r="F64" s="84" t="s">
        <v>1609</v>
      </c>
      <c r="G64">
        <v>0</v>
      </c>
      <c r="H64">
        <v>0</v>
      </c>
      <c r="I64">
        <v>0</v>
      </c>
      <c r="J64">
        <v>0</v>
      </c>
      <c r="K64">
        <v>0</v>
      </c>
      <c r="L64" s="84" t="s">
        <v>1182</v>
      </c>
      <c r="M64">
        <v>-1</v>
      </c>
      <c r="N64" s="84" t="s">
        <v>1127</v>
      </c>
      <c r="O64" s="84" t="s">
        <v>1128</v>
      </c>
    </row>
    <row r="65" spans="1:15" x14ac:dyDescent="0.25">
      <c r="A65" s="84" t="s">
        <v>6</v>
      </c>
      <c r="B65" s="84" t="s">
        <v>125</v>
      </c>
      <c r="C65" s="84" t="s">
        <v>126</v>
      </c>
      <c r="D65" s="84" t="s">
        <v>1666</v>
      </c>
      <c r="E65" s="70">
        <v>44565</v>
      </c>
      <c r="F65" s="84" t="s">
        <v>1609</v>
      </c>
      <c r="G65">
        <v>0</v>
      </c>
      <c r="H65">
        <v>0</v>
      </c>
      <c r="I65">
        <v>0</v>
      </c>
      <c r="J65">
        <v>0</v>
      </c>
      <c r="K65">
        <v>0</v>
      </c>
      <c r="L65" s="84" t="s">
        <v>1183</v>
      </c>
      <c r="M65">
        <v>-1</v>
      </c>
      <c r="N65" s="84" t="s">
        <v>1127</v>
      </c>
      <c r="O65" s="84" t="s">
        <v>1128</v>
      </c>
    </row>
    <row r="66" spans="1:15" x14ac:dyDescent="0.25">
      <c r="A66" s="84" t="s">
        <v>6</v>
      </c>
      <c r="B66" s="84" t="s">
        <v>127</v>
      </c>
      <c r="C66" s="84" t="s">
        <v>128</v>
      </c>
      <c r="D66" s="84" t="s">
        <v>1667</v>
      </c>
      <c r="E66" s="70">
        <v>44567</v>
      </c>
      <c r="F66" s="84" t="s">
        <v>1609</v>
      </c>
      <c r="G66">
        <v>0</v>
      </c>
      <c r="H66">
        <v>0</v>
      </c>
      <c r="I66">
        <v>0</v>
      </c>
      <c r="J66">
        <v>0</v>
      </c>
      <c r="K66">
        <v>0</v>
      </c>
      <c r="L66" s="84" t="s">
        <v>1184</v>
      </c>
      <c r="M66">
        <v>-1</v>
      </c>
      <c r="N66" s="84" t="s">
        <v>1127</v>
      </c>
      <c r="O66" s="84" t="s">
        <v>1128</v>
      </c>
    </row>
    <row r="67" spans="1:15" x14ac:dyDescent="0.25">
      <c r="A67" s="84" t="s">
        <v>6</v>
      </c>
      <c r="B67" s="84" t="s">
        <v>129</v>
      </c>
      <c r="C67" s="84" t="s">
        <v>130</v>
      </c>
      <c r="D67" s="84" t="s">
        <v>1668</v>
      </c>
      <c r="E67" s="70">
        <v>44571</v>
      </c>
      <c r="F67" s="84" t="s">
        <v>1611</v>
      </c>
      <c r="G67">
        <v>40000</v>
      </c>
      <c r="H67">
        <v>0</v>
      </c>
      <c r="I67">
        <v>0</v>
      </c>
      <c r="J67">
        <v>0</v>
      </c>
      <c r="K67">
        <v>40000</v>
      </c>
      <c r="L67" s="84" t="s">
        <v>1185</v>
      </c>
      <c r="M67">
        <v>4</v>
      </c>
      <c r="N67" s="84" t="s">
        <v>1127</v>
      </c>
      <c r="O67" s="84" t="s">
        <v>1128</v>
      </c>
    </row>
    <row r="68" spans="1:15" x14ac:dyDescent="0.25">
      <c r="A68" s="84" t="s">
        <v>6</v>
      </c>
      <c r="B68" s="84" t="s">
        <v>131</v>
      </c>
      <c r="C68" s="84" t="s">
        <v>132</v>
      </c>
      <c r="D68" s="84" t="s">
        <v>1082</v>
      </c>
      <c r="E68" s="70">
        <v>44572</v>
      </c>
      <c r="F68" s="84" t="s">
        <v>1611</v>
      </c>
      <c r="G68">
        <v>8000</v>
      </c>
      <c r="H68">
        <v>0</v>
      </c>
      <c r="I68">
        <v>0</v>
      </c>
      <c r="J68">
        <v>0</v>
      </c>
      <c r="K68">
        <v>8000</v>
      </c>
      <c r="L68" s="84" t="s">
        <v>1186</v>
      </c>
      <c r="M68">
        <v>4</v>
      </c>
      <c r="N68" s="84" t="s">
        <v>1127</v>
      </c>
      <c r="O68" s="84" t="s">
        <v>1128</v>
      </c>
    </row>
    <row r="69" spans="1:15" x14ac:dyDescent="0.25">
      <c r="A69" s="84" t="s">
        <v>6</v>
      </c>
      <c r="B69" s="84" t="s">
        <v>133</v>
      </c>
      <c r="C69" s="84" t="s">
        <v>134</v>
      </c>
      <c r="D69" s="84" t="s">
        <v>1669</v>
      </c>
      <c r="E69" s="70">
        <v>44572</v>
      </c>
      <c r="F69" s="84" t="s">
        <v>1609</v>
      </c>
      <c r="G69">
        <v>0</v>
      </c>
      <c r="H69">
        <v>1</v>
      </c>
      <c r="I69">
        <v>0</v>
      </c>
      <c r="J69">
        <v>0</v>
      </c>
      <c r="K69">
        <v>0</v>
      </c>
      <c r="L69" s="84" t="s">
        <v>1186</v>
      </c>
      <c r="M69">
        <v>-1</v>
      </c>
      <c r="N69" s="84" t="s">
        <v>1127</v>
      </c>
      <c r="O69" s="84" t="s">
        <v>1128</v>
      </c>
    </row>
    <row r="70" spans="1:15" x14ac:dyDescent="0.25">
      <c r="A70" s="84" t="s">
        <v>6</v>
      </c>
      <c r="B70" s="84" t="s">
        <v>135</v>
      </c>
      <c r="C70" s="84" t="s">
        <v>136</v>
      </c>
      <c r="D70" s="84" t="s">
        <v>1670</v>
      </c>
      <c r="E70" s="70">
        <v>44577</v>
      </c>
      <c r="F70" s="84" t="s">
        <v>1611</v>
      </c>
      <c r="G70">
        <v>24000</v>
      </c>
      <c r="H70">
        <v>10178</v>
      </c>
      <c r="I70">
        <v>0</v>
      </c>
      <c r="J70">
        <v>0</v>
      </c>
      <c r="K70">
        <v>24000</v>
      </c>
      <c r="L70" s="84" t="s">
        <v>1187</v>
      </c>
      <c r="M70">
        <v>4</v>
      </c>
      <c r="N70" s="84" t="s">
        <v>1127</v>
      </c>
      <c r="O70" s="84" t="s">
        <v>1128</v>
      </c>
    </row>
    <row r="71" spans="1:15" x14ac:dyDescent="0.25">
      <c r="A71" s="84" t="s">
        <v>6</v>
      </c>
      <c r="B71" s="84" t="s">
        <v>137</v>
      </c>
      <c r="C71" s="84" t="s">
        <v>138</v>
      </c>
      <c r="D71" s="84" t="s">
        <v>1671</v>
      </c>
      <c r="E71" s="70">
        <v>44578</v>
      </c>
      <c r="F71" s="84" t="s">
        <v>1611</v>
      </c>
      <c r="G71">
        <v>80000</v>
      </c>
      <c r="H71">
        <v>0</v>
      </c>
      <c r="I71">
        <v>0</v>
      </c>
      <c r="J71">
        <v>0</v>
      </c>
      <c r="K71">
        <v>80000</v>
      </c>
      <c r="L71" s="84" t="s">
        <v>1188</v>
      </c>
      <c r="M71">
        <v>4</v>
      </c>
      <c r="N71" s="84" t="s">
        <v>1127</v>
      </c>
      <c r="O71" s="84" t="s">
        <v>1128</v>
      </c>
    </row>
    <row r="72" spans="1:15" x14ac:dyDescent="0.25">
      <c r="A72" s="84" t="s">
        <v>6</v>
      </c>
      <c r="B72" s="84" t="s">
        <v>139</v>
      </c>
      <c r="C72" s="84" t="s">
        <v>140</v>
      </c>
      <c r="D72" s="84" t="s">
        <v>1672</v>
      </c>
      <c r="E72" s="70">
        <v>44595</v>
      </c>
      <c r="F72" s="84" t="s">
        <v>1609</v>
      </c>
      <c r="G72">
        <v>0</v>
      </c>
      <c r="H72">
        <v>-9</v>
      </c>
      <c r="I72">
        <v>-9</v>
      </c>
      <c r="J72">
        <v>337</v>
      </c>
      <c r="K72">
        <v>0</v>
      </c>
      <c r="L72" s="84" t="s">
        <v>1189</v>
      </c>
      <c r="M72">
        <v>-1</v>
      </c>
      <c r="N72" s="84" t="s">
        <v>1127</v>
      </c>
      <c r="O72" s="84" t="s">
        <v>1128</v>
      </c>
    </row>
    <row r="73" spans="1:15" x14ac:dyDescent="0.25">
      <c r="A73" s="84" t="s">
        <v>6</v>
      </c>
      <c r="B73" s="84" t="s">
        <v>141</v>
      </c>
      <c r="C73" s="84" t="s">
        <v>142</v>
      </c>
      <c r="D73" s="84" t="s">
        <v>1673</v>
      </c>
      <c r="E73" s="70">
        <v>44595</v>
      </c>
      <c r="F73" s="84" t="s">
        <v>1609</v>
      </c>
      <c r="G73">
        <v>0</v>
      </c>
      <c r="H73">
        <v>0</v>
      </c>
      <c r="I73">
        <v>0</v>
      </c>
      <c r="J73">
        <v>0</v>
      </c>
      <c r="K73">
        <v>0</v>
      </c>
      <c r="L73" s="84" t="s">
        <v>1189</v>
      </c>
      <c r="M73">
        <v>-1</v>
      </c>
      <c r="N73" s="84" t="s">
        <v>1127</v>
      </c>
      <c r="O73" s="84" t="s">
        <v>1128</v>
      </c>
    </row>
    <row r="74" spans="1:15" x14ac:dyDescent="0.25">
      <c r="A74" s="84" t="s">
        <v>6</v>
      </c>
      <c r="B74" s="84" t="s">
        <v>143</v>
      </c>
      <c r="C74" s="84" t="s">
        <v>144</v>
      </c>
      <c r="D74" s="84" t="s">
        <v>1674</v>
      </c>
      <c r="E74" s="70">
        <v>44595</v>
      </c>
      <c r="F74" s="84" t="s">
        <v>1609</v>
      </c>
      <c r="G74">
        <v>0</v>
      </c>
      <c r="H74">
        <v>0</v>
      </c>
      <c r="I74">
        <v>0</v>
      </c>
      <c r="J74">
        <v>0</v>
      </c>
      <c r="K74">
        <v>0</v>
      </c>
      <c r="L74" s="84" t="s">
        <v>1189</v>
      </c>
      <c r="M74">
        <v>-1</v>
      </c>
      <c r="N74" s="84" t="s">
        <v>1127</v>
      </c>
      <c r="O74" s="84" t="s">
        <v>1128</v>
      </c>
    </row>
    <row r="75" spans="1:15" x14ac:dyDescent="0.25">
      <c r="A75" s="84" t="s">
        <v>6</v>
      </c>
      <c r="B75" s="84" t="s">
        <v>145</v>
      </c>
      <c r="C75" s="84" t="s">
        <v>146</v>
      </c>
      <c r="D75" s="84" t="s">
        <v>1675</v>
      </c>
      <c r="E75" s="70">
        <v>44601</v>
      </c>
      <c r="F75" s="84" t="s">
        <v>1609</v>
      </c>
      <c r="G75">
        <v>0</v>
      </c>
      <c r="H75">
        <v>0</v>
      </c>
      <c r="I75">
        <v>0</v>
      </c>
      <c r="J75">
        <v>0</v>
      </c>
      <c r="K75">
        <v>0</v>
      </c>
      <c r="L75" s="84" t="s">
        <v>1190</v>
      </c>
      <c r="M75">
        <v>-1</v>
      </c>
      <c r="N75" s="84" t="s">
        <v>1127</v>
      </c>
      <c r="O75" s="84" t="s">
        <v>1128</v>
      </c>
    </row>
    <row r="76" spans="1:15" x14ac:dyDescent="0.25">
      <c r="A76" s="84" t="s">
        <v>6</v>
      </c>
      <c r="B76" s="84" t="s">
        <v>147</v>
      </c>
      <c r="C76" s="84" t="s">
        <v>148</v>
      </c>
      <c r="D76" s="84" t="s">
        <v>1676</v>
      </c>
      <c r="E76" s="70">
        <v>44609</v>
      </c>
      <c r="F76" s="84" t="s">
        <v>1609</v>
      </c>
      <c r="G76">
        <v>0</v>
      </c>
      <c r="H76">
        <v>0</v>
      </c>
      <c r="I76">
        <v>0</v>
      </c>
      <c r="J76">
        <v>0</v>
      </c>
      <c r="K76">
        <v>0</v>
      </c>
      <c r="L76" s="84" t="s">
        <v>1191</v>
      </c>
      <c r="M76">
        <v>-1</v>
      </c>
      <c r="N76" s="84" t="s">
        <v>1127</v>
      </c>
      <c r="O76" s="84" t="s">
        <v>1128</v>
      </c>
    </row>
    <row r="77" spans="1:15" x14ac:dyDescent="0.25">
      <c r="A77" s="84" t="s">
        <v>6</v>
      </c>
      <c r="B77" s="84" t="s">
        <v>149</v>
      </c>
      <c r="C77" s="84" t="s">
        <v>150</v>
      </c>
      <c r="D77" s="84" t="s">
        <v>1677</v>
      </c>
      <c r="E77" s="70">
        <v>44619</v>
      </c>
      <c r="F77" s="84" t="s">
        <v>1609</v>
      </c>
      <c r="G77">
        <v>0</v>
      </c>
      <c r="H77">
        <v>908</v>
      </c>
      <c r="I77">
        <v>908</v>
      </c>
      <c r="J77">
        <v>72</v>
      </c>
      <c r="K77">
        <v>-908</v>
      </c>
      <c r="L77" s="84" t="s">
        <v>1192</v>
      </c>
      <c r="M77">
        <v>-1</v>
      </c>
      <c r="N77" s="84" t="s">
        <v>1240</v>
      </c>
      <c r="O77" s="84" t="s">
        <v>2421</v>
      </c>
    </row>
    <row r="78" spans="1:15" x14ac:dyDescent="0.25">
      <c r="A78" s="84" t="s">
        <v>6</v>
      </c>
      <c r="B78" s="84" t="s">
        <v>151</v>
      </c>
      <c r="C78" s="84" t="s">
        <v>152</v>
      </c>
      <c r="D78" s="84" t="s">
        <v>1678</v>
      </c>
      <c r="E78" s="70">
        <v>44628</v>
      </c>
      <c r="F78" s="84" t="s">
        <v>1609</v>
      </c>
      <c r="G78">
        <v>0</v>
      </c>
      <c r="H78">
        <v>0</v>
      </c>
      <c r="I78">
        <v>0</v>
      </c>
      <c r="J78">
        <v>0</v>
      </c>
      <c r="K78">
        <v>0</v>
      </c>
      <c r="L78" s="84" t="s">
        <v>1193</v>
      </c>
      <c r="M78">
        <v>-1</v>
      </c>
      <c r="N78" s="84" t="s">
        <v>1127</v>
      </c>
      <c r="O78" s="84" t="s">
        <v>1128</v>
      </c>
    </row>
    <row r="79" spans="1:15" x14ac:dyDescent="0.25">
      <c r="A79" s="84" t="s">
        <v>6</v>
      </c>
      <c r="B79" s="84" t="s">
        <v>153</v>
      </c>
      <c r="C79" s="84" t="s">
        <v>154</v>
      </c>
      <c r="D79" s="84" t="s">
        <v>1679</v>
      </c>
      <c r="E79" s="70">
        <v>44632</v>
      </c>
      <c r="F79" s="84" t="s">
        <v>1609</v>
      </c>
      <c r="G79">
        <v>0</v>
      </c>
      <c r="H79">
        <v>0</v>
      </c>
      <c r="I79">
        <v>0</v>
      </c>
      <c r="J79">
        <v>0</v>
      </c>
      <c r="K79">
        <v>0</v>
      </c>
      <c r="L79" s="84" t="s">
        <v>1194</v>
      </c>
      <c r="M79">
        <v>-1</v>
      </c>
      <c r="N79" s="84" t="s">
        <v>1127</v>
      </c>
      <c r="O79" s="84" t="s">
        <v>1128</v>
      </c>
    </row>
    <row r="80" spans="1:15" x14ac:dyDescent="0.25">
      <c r="A80" s="84" t="s">
        <v>6</v>
      </c>
      <c r="B80" s="84" t="s">
        <v>155</v>
      </c>
      <c r="C80" s="84" t="s">
        <v>156</v>
      </c>
      <c r="D80" s="84" t="s">
        <v>1680</v>
      </c>
      <c r="E80" s="70">
        <v>44637</v>
      </c>
      <c r="F80" s="84" t="s">
        <v>1609</v>
      </c>
      <c r="G80">
        <v>0</v>
      </c>
      <c r="H80">
        <v>0</v>
      </c>
      <c r="I80">
        <v>0</v>
      </c>
      <c r="J80">
        <v>0</v>
      </c>
      <c r="K80">
        <v>0</v>
      </c>
      <c r="L80" s="84" t="s">
        <v>1195</v>
      </c>
      <c r="M80">
        <v>-1</v>
      </c>
      <c r="N80" s="84" t="s">
        <v>1127</v>
      </c>
      <c r="O80" s="84" t="s">
        <v>1128</v>
      </c>
    </row>
    <row r="81" spans="1:15" x14ac:dyDescent="0.25">
      <c r="A81" s="84" t="s">
        <v>6</v>
      </c>
      <c r="B81" s="84" t="s">
        <v>157</v>
      </c>
      <c r="C81" s="84" t="s">
        <v>158</v>
      </c>
      <c r="D81" s="84" t="s">
        <v>1681</v>
      </c>
      <c r="E81" s="70">
        <v>44643</v>
      </c>
      <c r="F81" s="84" t="s">
        <v>1611</v>
      </c>
      <c r="G81">
        <v>16000</v>
      </c>
      <c r="H81">
        <v>0</v>
      </c>
      <c r="I81">
        <v>0</v>
      </c>
      <c r="J81">
        <v>0</v>
      </c>
      <c r="K81">
        <v>16000</v>
      </c>
      <c r="L81" s="84" t="s">
        <v>1196</v>
      </c>
      <c r="M81">
        <v>4</v>
      </c>
      <c r="N81" s="84" t="s">
        <v>1127</v>
      </c>
      <c r="O81" s="84" t="s">
        <v>1128</v>
      </c>
    </row>
    <row r="82" spans="1:15" x14ac:dyDescent="0.25">
      <c r="A82" s="84" t="s">
        <v>6</v>
      </c>
      <c r="B82" s="84" t="s">
        <v>159</v>
      </c>
      <c r="C82" s="84" t="s">
        <v>160</v>
      </c>
      <c r="D82" s="84" t="s">
        <v>1682</v>
      </c>
      <c r="E82" s="70">
        <v>44665</v>
      </c>
      <c r="F82" s="84" t="s">
        <v>1611</v>
      </c>
      <c r="G82">
        <v>16000</v>
      </c>
      <c r="H82">
        <v>3086</v>
      </c>
      <c r="I82">
        <v>0</v>
      </c>
      <c r="J82">
        <v>0</v>
      </c>
      <c r="K82">
        <v>16000</v>
      </c>
      <c r="L82" s="84" t="s">
        <v>1197</v>
      </c>
      <c r="M82">
        <v>4</v>
      </c>
      <c r="N82" s="84" t="s">
        <v>1127</v>
      </c>
      <c r="O82" s="84" t="s">
        <v>1128</v>
      </c>
    </row>
    <row r="83" spans="1:15" x14ac:dyDescent="0.25">
      <c r="A83" s="84" t="s">
        <v>6</v>
      </c>
      <c r="B83" s="84" t="s">
        <v>161</v>
      </c>
      <c r="C83" s="84" t="s">
        <v>162</v>
      </c>
      <c r="D83" s="84" t="s">
        <v>1683</v>
      </c>
      <c r="E83" s="70">
        <v>44710</v>
      </c>
      <c r="F83" s="84" t="s">
        <v>1611</v>
      </c>
      <c r="G83">
        <v>16000</v>
      </c>
      <c r="H83">
        <v>0</v>
      </c>
      <c r="I83">
        <v>0</v>
      </c>
      <c r="J83">
        <v>0</v>
      </c>
      <c r="K83">
        <v>16000</v>
      </c>
      <c r="L83" s="84" t="s">
        <v>1198</v>
      </c>
      <c r="M83">
        <v>4</v>
      </c>
      <c r="N83" s="84" t="s">
        <v>1127</v>
      </c>
      <c r="O83" s="84" t="s">
        <v>1128</v>
      </c>
    </row>
    <row r="84" spans="1:15" x14ac:dyDescent="0.25">
      <c r="A84" s="84" t="s">
        <v>6</v>
      </c>
      <c r="B84" s="84" t="s">
        <v>163</v>
      </c>
      <c r="C84" s="84" t="s">
        <v>2318</v>
      </c>
      <c r="D84" s="84" t="s">
        <v>1684</v>
      </c>
      <c r="E84" s="70">
        <v>44713</v>
      </c>
      <c r="F84" s="84" t="s">
        <v>1609</v>
      </c>
      <c r="G84">
        <v>0</v>
      </c>
      <c r="H84">
        <v>0</v>
      </c>
      <c r="I84">
        <v>0</v>
      </c>
      <c r="J84">
        <v>0</v>
      </c>
      <c r="K84">
        <v>0</v>
      </c>
      <c r="L84" s="84" t="s">
        <v>1199</v>
      </c>
      <c r="M84">
        <v>-1</v>
      </c>
      <c r="N84" s="84" t="s">
        <v>1127</v>
      </c>
      <c r="O84" s="84" t="s">
        <v>1128</v>
      </c>
    </row>
    <row r="85" spans="1:15" x14ac:dyDescent="0.25">
      <c r="A85" s="84" t="s">
        <v>6</v>
      </c>
      <c r="B85" s="84" t="s">
        <v>164</v>
      </c>
      <c r="C85" s="84" t="s">
        <v>165</v>
      </c>
      <c r="D85" s="84" t="s">
        <v>1685</v>
      </c>
      <c r="E85" s="70">
        <v>44716</v>
      </c>
      <c r="F85" s="84" t="s">
        <v>1609</v>
      </c>
      <c r="G85">
        <v>0</v>
      </c>
      <c r="H85">
        <v>0</v>
      </c>
      <c r="I85">
        <v>0</v>
      </c>
      <c r="J85">
        <v>0</v>
      </c>
      <c r="K85">
        <v>0</v>
      </c>
      <c r="L85" s="84" t="s">
        <v>1200</v>
      </c>
      <c r="M85">
        <v>-1</v>
      </c>
      <c r="N85" s="84" t="s">
        <v>1127</v>
      </c>
      <c r="O85" s="84" t="s">
        <v>1128</v>
      </c>
    </row>
    <row r="86" spans="1:15" x14ac:dyDescent="0.25">
      <c r="A86" s="84" t="s">
        <v>6</v>
      </c>
      <c r="B86" s="84" t="s">
        <v>166</v>
      </c>
      <c r="C86" s="84" t="s">
        <v>2157</v>
      </c>
      <c r="D86" s="84" t="s">
        <v>1686</v>
      </c>
      <c r="E86" s="70">
        <v>44724</v>
      </c>
      <c r="F86" s="84" t="s">
        <v>1609</v>
      </c>
      <c r="G86">
        <v>0</v>
      </c>
      <c r="H86">
        <v>0</v>
      </c>
      <c r="I86">
        <v>0</v>
      </c>
      <c r="J86">
        <v>0</v>
      </c>
      <c r="K86">
        <v>0</v>
      </c>
      <c r="L86" s="84" t="s">
        <v>1201</v>
      </c>
      <c r="M86">
        <v>-1</v>
      </c>
      <c r="N86" s="84" t="s">
        <v>1127</v>
      </c>
      <c r="O86" s="84" t="s">
        <v>1128</v>
      </c>
    </row>
    <row r="87" spans="1:15" x14ac:dyDescent="0.25">
      <c r="A87" s="84" t="s">
        <v>6</v>
      </c>
      <c r="B87" s="84" t="s">
        <v>167</v>
      </c>
      <c r="C87" s="84" t="s">
        <v>168</v>
      </c>
      <c r="D87" s="84" t="s">
        <v>1687</v>
      </c>
      <c r="E87" s="70">
        <v>44738</v>
      </c>
      <c r="F87" s="84" t="s">
        <v>1609</v>
      </c>
      <c r="G87">
        <v>0</v>
      </c>
      <c r="H87">
        <v>0</v>
      </c>
      <c r="I87">
        <v>0</v>
      </c>
      <c r="J87">
        <v>0</v>
      </c>
      <c r="K87">
        <v>0</v>
      </c>
      <c r="L87" s="84" t="s">
        <v>1202</v>
      </c>
      <c r="M87">
        <v>-1</v>
      </c>
      <c r="N87" s="84" t="s">
        <v>1127</v>
      </c>
      <c r="O87" s="84" t="s">
        <v>1128</v>
      </c>
    </row>
    <row r="88" spans="1:15" x14ac:dyDescent="0.25">
      <c r="A88" s="84" t="s">
        <v>6</v>
      </c>
      <c r="B88" s="84" t="s">
        <v>169</v>
      </c>
      <c r="C88" s="84" t="s">
        <v>170</v>
      </c>
      <c r="D88" s="84" t="s">
        <v>1688</v>
      </c>
      <c r="E88" s="70">
        <v>44761</v>
      </c>
      <c r="F88" s="84" t="s">
        <v>1611</v>
      </c>
      <c r="G88">
        <v>40000</v>
      </c>
      <c r="H88">
        <v>0</v>
      </c>
      <c r="I88">
        <v>0</v>
      </c>
      <c r="J88">
        <v>0</v>
      </c>
      <c r="K88">
        <v>40000</v>
      </c>
      <c r="L88" s="84" t="s">
        <v>1203</v>
      </c>
      <c r="M88">
        <v>4</v>
      </c>
      <c r="N88" s="84" t="s">
        <v>1127</v>
      </c>
      <c r="O88" s="84" t="s">
        <v>1128</v>
      </c>
    </row>
    <row r="89" spans="1:15" x14ac:dyDescent="0.25">
      <c r="A89" s="84" t="s">
        <v>6</v>
      </c>
      <c r="B89" s="84" t="s">
        <v>171</v>
      </c>
      <c r="C89" s="84" t="s">
        <v>172</v>
      </c>
      <c r="D89" s="84" t="s">
        <v>1689</v>
      </c>
      <c r="E89" s="70">
        <v>44770</v>
      </c>
      <c r="F89" s="84" t="s">
        <v>1611</v>
      </c>
      <c r="G89">
        <v>4000</v>
      </c>
      <c r="H89">
        <v>0</v>
      </c>
      <c r="I89">
        <v>0</v>
      </c>
      <c r="J89">
        <v>0</v>
      </c>
      <c r="K89">
        <v>4000</v>
      </c>
      <c r="L89" s="84" t="s">
        <v>1204</v>
      </c>
      <c r="M89">
        <v>4</v>
      </c>
      <c r="N89" s="84" t="s">
        <v>1127</v>
      </c>
      <c r="O89" s="84" t="s">
        <v>1128</v>
      </c>
    </row>
    <row r="90" spans="1:15" x14ac:dyDescent="0.25">
      <c r="A90" s="84" t="s">
        <v>6</v>
      </c>
      <c r="B90" s="84" t="s">
        <v>173</v>
      </c>
      <c r="C90" s="84" t="s">
        <v>174</v>
      </c>
      <c r="D90" s="84" t="s">
        <v>1690</v>
      </c>
      <c r="E90" s="70">
        <v>44779</v>
      </c>
      <c r="F90" s="84" t="s">
        <v>1609</v>
      </c>
      <c r="G90">
        <v>0</v>
      </c>
      <c r="H90">
        <v>0</v>
      </c>
      <c r="I90">
        <v>0</v>
      </c>
      <c r="J90">
        <v>0</v>
      </c>
      <c r="K90">
        <v>0</v>
      </c>
      <c r="L90" s="84" t="s">
        <v>1205</v>
      </c>
      <c r="M90">
        <v>-1</v>
      </c>
      <c r="N90" s="84" t="s">
        <v>1127</v>
      </c>
      <c r="O90" s="84" t="s">
        <v>1128</v>
      </c>
    </row>
    <row r="91" spans="1:15" x14ac:dyDescent="0.25">
      <c r="A91" s="84" t="s">
        <v>6</v>
      </c>
      <c r="B91" s="84" t="s">
        <v>175</v>
      </c>
      <c r="C91" s="84" t="s">
        <v>176</v>
      </c>
      <c r="D91" s="84" t="s">
        <v>1691</v>
      </c>
      <c r="E91" s="70">
        <v>44793</v>
      </c>
      <c r="F91" s="84" t="s">
        <v>1609</v>
      </c>
      <c r="G91">
        <v>0</v>
      </c>
      <c r="H91">
        <v>-1</v>
      </c>
      <c r="I91">
        <v>-1</v>
      </c>
      <c r="J91">
        <v>397</v>
      </c>
      <c r="K91">
        <v>0</v>
      </c>
      <c r="L91" s="84" t="s">
        <v>1206</v>
      </c>
      <c r="M91">
        <v>-1</v>
      </c>
      <c r="N91" s="84" t="s">
        <v>1127</v>
      </c>
      <c r="O91" s="84" t="s">
        <v>1128</v>
      </c>
    </row>
    <row r="92" spans="1:15" x14ac:dyDescent="0.25">
      <c r="A92" s="84" t="s">
        <v>6</v>
      </c>
      <c r="B92" s="84" t="s">
        <v>177</v>
      </c>
      <c r="C92" s="84" t="s">
        <v>178</v>
      </c>
      <c r="D92" s="84" t="s">
        <v>1692</v>
      </c>
      <c r="E92" s="70">
        <v>44895</v>
      </c>
      <c r="F92" s="84" t="s">
        <v>1609</v>
      </c>
      <c r="G92">
        <v>0</v>
      </c>
      <c r="H92">
        <v>0</v>
      </c>
      <c r="I92">
        <v>0</v>
      </c>
      <c r="J92">
        <v>0</v>
      </c>
      <c r="K92">
        <v>0</v>
      </c>
      <c r="L92" s="84" t="s">
        <v>1207</v>
      </c>
      <c r="M92">
        <v>-1</v>
      </c>
      <c r="N92" s="84" t="s">
        <v>1127</v>
      </c>
      <c r="O92" s="84" t="s">
        <v>1128</v>
      </c>
    </row>
    <row r="93" spans="1:15" x14ac:dyDescent="0.25">
      <c r="A93" s="84" t="s">
        <v>6</v>
      </c>
      <c r="B93" s="84" t="s">
        <v>179</v>
      </c>
      <c r="C93" s="84" t="s">
        <v>180</v>
      </c>
      <c r="D93" s="84" t="s">
        <v>1693</v>
      </c>
      <c r="E93" s="70">
        <v>44902</v>
      </c>
      <c r="F93" s="84" t="s">
        <v>1609</v>
      </c>
      <c r="G93">
        <v>0</v>
      </c>
      <c r="H93">
        <v>0</v>
      </c>
      <c r="I93">
        <v>0</v>
      </c>
      <c r="J93">
        <v>0</v>
      </c>
      <c r="K93">
        <v>0</v>
      </c>
      <c r="L93" s="84" t="s">
        <v>1208</v>
      </c>
      <c r="M93">
        <v>-1</v>
      </c>
      <c r="N93" s="84" t="s">
        <v>1127</v>
      </c>
      <c r="O93" s="84" t="s">
        <v>1128</v>
      </c>
    </row>
    <row r="94" spans="1:15" x14ac:dyDescent="0.25">
      <c r="A94" s="84" t="s">
        <v>6</v>
      </c>
      <c r="B94" s="84" t="s">
        <v>181</v>
      </c>
      <c r="C94" s="84" t="s">
        <v>182</v>
      </c>
      <c r="D94" s="84" t="s">
        <v>1694</v>
      </c>
      <c r="E94" s="70">
        <v>44916</v>
      </c>
      <c r="F94" s="84" t="s">
        <v>1609</v>
      </c>
      <c r="G94">
        <v>0</v>
      </c>
      <c r="H94">
        <v>1182</v>
      </c>
      <c r="I94">
        <v>0</v>
      </c>
      <c r="J94">
        <v>0</v>
      </c>
      <c r="K94">
        <v>0</v>
      </c>
      <c r="L94" s="84" t="s">
        <v>1209</v>
      </c>
      <c r="M94">
        <v>-1</v>
      </c>
      <c r="N94" s="84" t="s">
        <v>1127</v>
      </c>
      <c r="O94" s="84" t="s">
        <v>1128</v>
      </c>
    </row>
    <row r="95" spans="1:15" x14ac:dyDescent="0.25">
      <c r="A95" s="84" t="s">
        <v>6</v>
      </c>
      <c r="B95" s="84" t="s">
        <v>183</v>
      </c>
      <c r="C95" s="84" t="s">
        <v>184</v>
      </c>
      <c r="D95" s="84" t="s">
        <v>1695</v>
      </c>
      <c r="E95" s="70">
        <v>44930</v>
      </c>
      <c r="F95" s="84" t="s">
        <v>1609</v>
      </c>
      <c r="G95">
        <v>0</v>
      </c>
      <c r="H95">
        <v>-0.25</v>
      </c>
      <c r="I95">
        <v>-0.25</v>
      </c>
      <c r="J95">
        <v>258</v>
      </c>
      <c r="K95">
        <v>0</v>
      </c>
      <c r="L95" s="84" t="s">
        <v>1210</v>
      </c>
      <c r="M95">
        <v>-1</v>
      </c>
      <c r="N95" s="84" t="s">
        <v>1127</v>
      </c>
      <c r="O95" s="84" t="s">
        <v>1128</v>
      </c>
    </row>
    <row r="96" spans="1:15" x14ac:dyDescent="0.25">
      <c r="A96" s="84" t="s">
        <v>6</v>
      </c>
      <c r="B96" s="84" t="s">
        <v>927</v>
      </c>
      <c r="C96" s="84" t="s">
        <v>952</v>
      </c>
      <c r="D96" s="84" t="s">
        <v>1696</v>
      </c>
      <c r="E96" s="70">
        <v>44958</v>
      </c>
      <c r="F96" s="84" t="s">
        <v>1609</v>
      </c>
      <c r="G96">
        <v>0</v>
      </c>
      <c r="H96">
        <v>0</v>
      </c>
      <c r="I96">
        <v>0</v>
      </c>
      <c r="J96">
        <v>0</v>
      </c>
      <c r="K96">
        <v>0</v>
      </c>
      <c r="L96" s="84" t="s">
        <v>1211</v>
      </c>
      <c r="M96">
        <v>-1</v>
      </c>
      <c r="N96" s="84" t="s">
        <v>1127</v>
      </c>
      <c r="O96" s="84" t="s">
        <v>1128</v>
      </c>
    </row>
    <row r="97" spans="1:15" x14ac:dyDescent="0.25">
      <c r="A97" s="84" t="s">
        <v>6</v>
      </c>
      <c r="B97" s="84" t="s">
        <v>928</v>
      </c>
      <c r="C97" s="84" t="s">
        <v>953</v>
      </c>
      <c r="D97" s="84" t="s">
        <v>1697</v>
      </c>
      <c r="E97" s="70">
        <v>44970</v>
      </c>
      <c r="F97" s="84" t="s">
        <v>1609</v>
      </c>
      <c r="G97">
        <v>0</v>
      </c>
      <c r="H97">
        <v>0</v>
      </c>
      <c r="I97">
        <v>0</v>
      </c>
      <c r="J97">
        <v>0</v>
      </c>
      <c r="K97">
        <v>0</v>
      </c>
      <c r="L97" s="84" t="s">
        <v>1212</v>
      </c>
      <c r="M97">
        <v>-1</v>
      </c>
      <c r="N97" s="84" t="s">
        <v>1127</v>
      </c>
      <c r="O97" s="84" t="s">
        <v>1128</v>
      </c>
    </row>
    <row r="98" spans="1:15" x14ac:dyDescent="0.25">
      <c r="A98" s="84" t="s">
        <v>6</v>
      </c>
      <c r="B98" s="84" t="s">
        <v>1032</v>
      </c>
      <c r="C98" s="84" t="s">
        <v>1033</v>
      </c>
      <c r="D98" s="84" t="s">
        <v>1698</v>
      </c>
      <c r="E98" s="70">
        <v>45034</v>
      </c>
      <c r="F98" s="84" t="s">
        <v>1609</v>
      </c>
      <c r="G98">
        <v>0</v>
      </c>
      <c r="H98">
        <v>-1</v>
      </c>
      <c r="I98">
        <v>-1</v>
      </c>
      <c r="J98">
        <v>154</v>
      </c>
      <c r="K98">
        <v>0</v>
      </c>
      <c r="L98" s="84" t="s">
        <v>1212</v>
      </c>
      <c r="M98">
        <v>-1</v>
      </c>
      <c r="N98" s="84" t="s">
        <v>1127</v>
      </c>
      <c r="O98" s="84" t="s">
        <v>1128</v>
      </c>
    </row>
    <row r="99" spans="1:15" x14ac:dyDescent="0.25">
      <c r="A99" s="84" t="s">
        <v>6</v>
      </c>
      <c r="B99" s="84" t="s">
        <v>2288</v>
      </c>
      <c r="C99" s="84" t="s">
        <v>2293</v>
      </c>
      <c r="D99" s="84" t="s">
        <v>2294</v>
      </c>
      <c r="E99" s="70">
        <v>45141</v>
      </c>
      <c r="F99" s="84" t="s">
        <v>1609</v>
      </c>
      <c r="G99">
        <v>0</v>
      </c>
      <c r="H99">
        <v>0</v>
      </c>
      <c r="I99">
        <v>0</v>
      </c>
      <c r="J99">
        <v>0</v>
      </c>
      <c r="K99">
        <v>0</v>
      </c>
      <c r="L99" s="84" t="s">
        <v>2295</v>
      </c>
      <c r="M99">
        <v>-1</v>
      </c>
      <c r="N99" s="84" t="s">
        <v>1127</v>
      </c>
      <c r="O99" s="84" t="s">
        <v>1128</v>
      </c>
    </row>
    <row r="100" spans="1:15" x14ac:dyDescent="0.25">
      <c r="A100" s="84" t="s">
        <v>6</v>
      </c>
      <c r="B100" s="84" t="s">
        <v>2314</v>
      </c>
      <c r="C100" s="84" t="s">
        <v>2319</v>
      </c>
      <c r="D100" s="84" t="s">
        <v>2320</v>
      </c>
      <c r="E100" s="70">
        <v>45158</v>
      </c>
      <c r="F100" s="84" t="s">
        <v>1609</v>
      </c>
      <c r="G100">
        <v>0</v>
      </c>
      <c r="H100">
        <v>1153</v>
      </c>
      <c r="I100">
        <v>0</v>
      </c>
      <c r="J100">
        <v>0</v>
      </c>
      <c r="K100">
        <v>0</v>
      </c>
      <c r="L100" s="84" t="s">
        <v>2321</v>
      </c>
      <c r="M100">
        <v>-1</v>
      </c>
      <c r="N100" s="84" t="s">
        <v>1127</v>
      </c>
      <c r="O100" s="84" t="s">
        <v>1128</v>
      </c>
    </row>
    <row r="101" spans="1:15" x14ac:dyDescent="0.25">
      <c r="A101" s="84" t="s">
        <v>6</v>
      </c>
      <c r="B101" s="84" t="s">
        <v>2391</v>
      </c>
      <c r="C101" s="84" t="s">
        <v>2394</v>
      </c>
      <c r="D101" s="84" t="s">
        <v>2395</v>
      </c>
      <c r="E101" s="70">
        <v>45164</v>
      </c>
      <c r="F101" s="84" t="s">
        <v>1609</v>
      </c>
      <c r="G101">
        <v>0</v>
      </c>
      <c r="H101">
        <v>0</v>
      </c>
      <c r="I101">
        <v>0</v>
      </c>
      <c r="J101">
        <v>0</v>
      </c>
      <c r="K101">
        <v>0</v>
      </c>
      <c r="L101" s="84" t="s">
        <v>2396</v>
      </c>
      <c r="M101">
        <v>-1</v>
      </c>
      <c r="N101" s="84" t="s">
        <v>1127</v>
      </c>
      <c r="O101" s="84" t="s">
        <v>1128</v>
      </c>
    </row>
    <row r="102" spans="1:15" x14ac:dyDescent="0.25">
      <c r="A102" s="84" t="s">
        <v>187</v>
      </c>
      <c r="B102" s="84" t="s">
        <v>185</v>
      </c>
      <c r="C102" s="84" t="s">
        <v>186</v>
      </c>
      <c r="D102" s="84" t="s">
        <v>1699</v>
      </c>
      <c r="E102" s="70">
        <v>44425</v>
      </c>
      <c r="F102" s="84" t="s">
        <v>1611</v>
      </c>
      <c r="G102">
        <v>160000</v>
      </c>
      <c r="H102">
        <v>39547</v>
      </c>
      <c r="I102">
        <v>28500</v>
      </c>
      <c r="J102">
        <v>120</v>
      </c>
      <c r="K102">
        <v>120453</v>
      </c>
      <c r="L102" s="84" t="s">
        <v>1213</v>
      </c>
      <c r="M102">
        <v>4</v>
      </c>
      <c r="N102" s="84" t="s">
        <v>1127</v>
      </c>
      <c r="O102" s="84" t="s">
        <v>2422</v>
      </c>
    </row>
    <row r="103" spans="1:15" x14ac:dyDescent="0.25">
      <c r="A103" s="84" t="s">
        <v>187</v>
      </c>
      <c r="B103" s="84" t="s">
        <v>188</v>
      </c>
      <c r="C103" s="84" t="s">
        <v>2322</v>
      </c>
      <c r="D103" s="84" t="s">
        <v>1700</v>
      </c>
      <c r="E103" s="70">
        <v>44054</v>
      </c>
      <c r="F103" s="84" t="s">
        <v>1611</v>
      </c>
      <c r="G103">
        <v>100000</v>
      </c>
      <c r="H103">
        <v>0</v>
      </c>
      <c r="I103">
        <v>0</v>
      </c>
      <c r="J103">
        <v>0</v>
      </c>
      <c r="K103">
        <v>100000</v>
      </c>
      <c r="L103" s="84" t="s">
        <v>1214</v>
      </c>
      <c r="M103">
        <v>4</v>
      </c>
      <c r="N103" s="84" t="s">
        <v>1127</v>
      </c>
      <c r="O103" s="84" t="s">
        <v>1128</v>
      </c>
    </row>
    <row r="104" spans="1:15" x14ac:dyDescent="0.25">
      <c r="A104" s="84" t="s">
        <v>187</v>
      </c>
      <c r="B104" s="84" t="s">
        <v>929</v>
      </c>
      <c r="C104" s="84" t="s">
        <v>954</v>
      </c>
      <c r="D104" s="84" t="s">
        <v>1701</v>
      </c>
      <c r="E104" s="70">
        <v>44989</v>
      </c>
      <c r="F104" s="84" t="s">
        <v>1609</v>
      </c>
      <c r="G104">
        <v>0</v>
      </c>
      <c r="H104">
        <v>0</v>
      </c>
      <c r="I104">
        <v>0</v>
      </c>
      <c r="J104">
        <v>0</v>
      </c>
      <c r="K104">
        <v>0</v>
      </c>
      <c r="L104" s="84" t="s">
        <v>1215</v>
      </c>
      <c r="M104">
        <v>-1</v>
      </c>
      <c r="N104" s="84" t="s">
        <v>1127</v>
      </c>
      <c r="O104" s="84" t="s">
        <v>1128</v>
      </c>
    </row>
    <row r="105" spans="1:15" x14ac:dyDescent="0.25">
      <c r="A105" s="84" t="s">
        <v>187</v>
      </c>
      <c r="B105" s="84" t="s">
        <v>189</v>
      </c>
      <c r="C105" s="84" t="s">
        <v>190</v>
      </c>
      <c r="D105" s="84" t="s">
        <v>1702</v>
      </c>
      <c r="E105" s="70">
        <v>43589</v>
      </c>
      <c r="F105" s="84" t="s">
        <v>1611</v>
      </c>
      <c r="G105">
        <v>100000</v>
      </c>
      <c r="H105">
        <v>74406</v>
      </c>
      <c r="I105">
        <v>18495</v>
      </c>
      <c r="J105">
        <v>72</v>
      </c>
      <c r="K105">
        <v>25594</v>
      </c>
      <c r="L105" s="84" t="s">
        <v>1216</v>
      </c>
      <c r="M105">
        <v>4</v>
      </c>
      <c r="N105" s="84" t="s">
        <v>1127</v>
      </c>
      <c r="O105" s="84" t="s">
        <v>2423</v>
      </c>
    </row>
    <row r="106" spans="1:15" x14ac:dyDescent="0.25">
      <c r="A106" s="84" t="s">
        <v>187</v>
      </c>
      <c r="B106" s="84" t="s">
        <v>191</v>
      </c>
      <c r="C106" s="84" t="s">
        <v>2323</v>
      </c>
      <c r="D106" s="84" t="s">
        <v>1703</v>
      </c>
      <c r="E106" s="70">
        <v>43646</v>
      </c>
      <c r="F106" s="84" t="s">
        <v>1609</v>
      </c>
      <c r="G106">
        <v>0</v>
      </c>
      <c r="H106">
        <v>0</v>
      </c>
      <c r="I106">
        <v>0</v>
      </c>
      <c r="J106">
        <v>0</v>
      </c>
      <c r="K106">
        <v>0</v>
      </c>
      <c r="L106" s="84" t="s">
        <v>1217</v>
      </c>
      <c r="M106">
        <v>-1</v>
      </c>
      <c r="N106" s="84" t="s">
        <v>1127</v>
      </c>
      <c r="O106" s="84" t="s">
        <v>1128</v>
      </c>
    </row>
    <row r="107" spans="1:15" x14ac:dyDescent="0.25">
      <c r="A107" s="84" t="s">
        <v>187</v>
      </c>
      <c r="B107" s="84" t="s">
        <v>192</v>
      </c>
      <c r="C107" s="84" t="s">
        <v>193</v>
      </c>
      <c r="D107" s="84" t="s">
        <v>1704</v>
      </c>
      <c r="E107" s="70">
        <v>43589</v>
      </c>
      <c r="F107" s="84" t="s">
        <v>1611</v>
      </c>
      <c r="G107">
        <v>24000</v>
      </c>
      <c r="H107">
        <v>1113</v>
      </c>
      <c r="I107">
        <v>0</v>
      </c>
      <c r="J107">
        <v>0</v>
      </c>
      <c r="K107">
        <v>24000</v>
      </c>
      <c r="L107" s="84" t="s">
        <v>1216</v>
      </c>
      <c r="M107">
        <v>4</v>
      </c>
      <c r="N107" s="84" t="s">
        <v>1127</v>
      </c>
      <c r="O107" s="84" t="s">
        <v>1128</v>
      </c>
    </row>
    <row r="108" spans="1:15" x14ac:dyDescent="0.25">
      <c r="A108" s="84" t="s">
        <v>187</v>
      </c>
      <c r="B108" s="84" t="s">
        <v>194</v>
      </c>
      <c r="C108" s="84" t="s">
        <v>2324</v>
      </c>
      <c r="D108" s="84" t="s">
        <v>1705</v>
      </c>
      <c r="E108" s="70">
        <v>43581</v>
      </c>
      <c r="F108" s="84" t="s">
        <v>1609</v>
      </c>
      <c r="G108">
        <v>0</v>
      </c>
      <c r="H108">
        <v>0</v>
      </c>
      <c r="I108">
        <v>0</v>
      </c>
      <c r="J108">
        <v>0</v>
      </c>
      <c r="K108">
        <v>0</v>
      </c>
      <c r="L108" s="84" t="s">
        <v>1218</v>
      </c>
      <c r="M108">
        <v>-1</v>
      </c>
      <c r="N108" s="84" t="s">
        <v>1127</v>
      </c>
      <c r="O108" s="84" t="s">
        <v>1128</v>
      </c>
    </row>
    <row r="109" spans="1:15" x14ac:dyDescent="0.25">
      <c r="A109" s="84" t="s">
        <v>187</v>
      </c>
      <c r="B109" s="84" t="s">
        <v>195</v>
      </c>
      <c r="C109" s="84" t="s">
        <v>196</v>
      </c>
      <c r="D109" s="84" t="s">
        <v>1706</v>
      </c>
      <c r="E109" s="70">
        <v>43581</v>
      </c>
      <c r="F109" s="84" t="s">
        <v>1611</v>
      </c>
      <c r="G109">
        <v>40000</v>
      </c>
      <c r="H109">
        <v>0</v>
      </c>
      <c r="I109">
        <v>0</v>
      </c>
      <c r="J109">
        <v>0</v>
      </c>
      <c r="K109">
        <v>40000</v>
      </c>
      <c r="L109" s="84" t="s">
        <v>1218</v>
      </c>
      <c r="M109">
        <v>4</v>
      </c>
      <c r="N109" s="84" t="s">
        <v>1127</v>
      </c>
      <c r="O109" s="84" t="s">
        <v>1128</v>
      </c>
    </row>
    <row r="110" spans="1:15" x14ac:dyDescent="0.25">
      <c r="A110" s="84" t="s">
        <v>187</v>
      </c>
      <c r="B110" s="84" t="s">
        <v>197</v>
      </c>
      <c r="C110" s="84" t="s">
        <v>198</v>
      </c>
      <c r="D110" s="84" t="s">
        <v>1704</v>
      </c>
      <c r="E110" s="70">
        <v>43589</v>
      </c>
      <c r="F110" s="84" t="s">
        <v>1609</v>
      </c>
      <c r="G110">
        <v>0</v>
      </c>
      <c r="H110">
        <v>0</v>
      </c>
      <c r="I110">
        <v>0</v>
      </c>
      <c r="J110">
        <v>0</v>
      </c>
      <c r="K110">
        <v>0</v>
      </c>
      <c r="L110" s="84" t="s">
        <v>1216</v>
      </c>
      <c r="M110">
        <v>-1</v>
      </c>
      <c r="N110" s="84" t="s">
        <v>1127</v>
      </c>
      <c r="O110" s="84" t="s">
        <v>1128</v>
      </c>
    </row>
    <row r="111" spans="1:15" x14ac:dyDescent="0.25">
      <c r="A111" s="84" t="s">
        <v>187</v>
      </c>
      <c r="B111" s="84" t="s">
        <v>199</v>
      </c>
      <c r="C111" s="84" t="s">
        <v>200</v>
      </c>
      <c r="D111" s="84" t="s">
        <v>1707</v>
      </c>
      <c r="E111" s="70">
        <v>43581</v>
      </c>
      <c r="F111" s="84" t="s">
        <v>1611</v>
      </c>
      <c r="G111">
        <v>40000</v>
      </c>
      <c r="H111">
        <v>0</v>
      </c>
      <c r="I111">
        <v>0</v>
      </c>
      <c r="J111">
        <v>0</v>
      </c>
      <c r="K111">
        <v>40000</v>
      </c>
      <c r="L111" s="84" t="s">
        <v>1218</v>
      </c>
      <c r="M111">
        <v>4</v>
      </c>
      <c r="N111" s="84" t="s">
        <v>1127</v>
      </c>
      <c r="O111" s="84" t="s">
        <v>1128</v>
      </c>
    </row>
    <row r="112" spans="1:15" x14ac:dyDescent="0.25">
      <c r="A112" s="84" t="s">
        <v>187</v>
      </c>
      <c r="B112" s="84" t="s">
        <v>201</v>
      </c>
      <c r="C112" s="84" t="s">
        <v>2325</v>
      </c>
      <c r="D112" s="84"/>
      <c r="E112" s="70">
        <v>43635</v>
      </c>
      <c r="F112" s="84" t="s">
        <v>1609</v>
      </c>
      <c r="G112">
        <v>0</v>
      </c>
      <c r="H112">
        <v>0</v>
      </c>
      <c r="I112">
        <v>0</v>
      </c>
      <c r="J112">
        <v>0</v>
      </c>
      <c r="K112">
        <v>0</v>
      </c>
      <c r="L112" s="84" t="s">
        <v>1219</v>
      </c>
      <c r="M112">
        <v>-1</v>
      </c>
      <c r="N112" s="84" t="s">
        <v>1127</v>
      </c>
      <c r="O112" s="84" t="s">
        <v>1128</v>
      </c>
    </row>
    <row r="113" spans="1:15" x14ac:dyDescent="0.25">
      <c r="A113" s="84" t="s">
        <v>187</v>
      </c>
      <c r="B113" s="84" t="s">
        <v>202</v>
      </c>
      <c r="C113" s="84" t="s">
        <v>203</v>
      </c>
      <c r="D113" s="84" t="s">
        <v>1708</v>
      </c>
      <c r="E113" s="70">
        <v>43581</v>
      </c>
      <c r="F113" s="84" t="s">
        <v>1609</v>
      </c>
      <c r="G113">
        <v>0</v>
      </c>
      <c r="H113">
        <v>0</v>
      </c>
      <c r="I113">
        <v>0</v>
      </c>
      <c r="J113">
        <v>0</v>
      </c>
      <c r="K113">
        <v>0</v>
      </c>
      <c r="L113" s="84" t="s">
        <v>1218</v>
      </c>
      <c r="M113">
        <v>-1</v>
      </c>
      <c r="N113" s="84" t="s">
        <v>1127</v>
      </c>
      <c r="O113" s="84" t="s">
        <v>1128</v>
      </c>
    </row>
    <row r="114" spans="1:15" x14ac:dyDescent="0.25">
      <c r="A114" s="84" t="s">
        <v>187</v>
      </c>
      <c r="B114" s="84" t="s">
        <v>204</v>
      </c>
      <c r="C114" s="84" t="s">
        <v>2326</v>
      </c>
      <c r="D114" s="84"/>
      <c r="E114" s="70">
        <v>43581</v>
      </c>
      <c r="F114" s="84" t="s">
        <v>1609</v>
      </c>
      <c r="G114">
        <v>0</v>
      </c>
      <c r="H114">
        <v>0</v>
      </c>
      <c r="I114">
        <v>0</v>
      </c>
      <c r="J114">
        <v>0</v>
      </c>
      <c r="K114">
        <v>0</v>
      </c>
      <c r="L114" s="84" t="s">
        <v>1218</v>
      </c>
      <c r="M114">
        <v>-1</v>
      </c>
      <c r="N114" s="84" t="s">
        <v>1127</v>
      </c>
      <c r="O114" s="84" t="s">
        <v>1128</v>
      </c>
    </row>
    <row r="115" spans="1:15" x14ac:dyDescent="0.25">
      <c r="A115" s="84" t="s">
        <v>187</v>
      </c>
      <c r="B115" s="84" t="s">
        <v>205</v>
      </c>
      <c r="C115" s="84" t="s">
        <v>2327</v>
      </c>
      <c r="D115" s="84" t="s">
        <v>1709</v>
      </c>
      <c r="E115" s="70">
        <v>43581</v>
      </c>
      <c r="F115" s="84" t="s">
        <v>1609</v>
      </c>
      <c r="G115">
        <v>0</v>
      </c>
      <c r="H115">
        <v>0</v>
      </c>
      <c r="I115">
        <v>0</v>
      </c>
      <c r="J115">
        <v>0</v>
      </c>
      <c r="K115">
        <v>0</v>
      </c>
      <c r="L115" s="84" t="s">
        <v>1218</v>
      </c>
      <c r="M115">
        <v>-1</v>
      </c>
      <c r="N115" s="84" t="s">
        <v>1127</v>
      </c>
      <c r="O115" s="84" t="s">
        <v>1128</v>
      </c>
    </row>
    <row r="116" spans="1:15" x14ac:dyDescent="0.25">
      <c r="A116" s="84" t="s">
        <v>187</v>
      </c>
      <c r="B116" s="84" t="s">
        <v>206</v>
      </c>
      <c r="C116" s="84" t="s">
        <v>2328</v>
      </c>
      <c r="D116" s="84"/>
      <c r="E116" s="70">
        <v>43581</v>
      </c>
      <c r="F116" s="84" t="s">
        <v>1609</v>
      </c>
      <c r="G116">
        <v>0</v>
      </c>
      <c r="H116">
        <v>0</v>
      </c>
      <c r="I116">
        <v>0</v>
      </c>
      <c r="J116">
        <v>0</v>
      </c>
      <c r="K116">
        <v>0</v>
      </c>
      <c r="L116" s="84" t="s">
        <v>1218</v>
      </c>
      <c r="M116">
        <v>-1</v>
      </c>
      <c r="N116" s="84" t="s">
        <v>1127</v>
      </c>
      <c r="O116" s="84" t="s">
        <v>1128</v>
      </c>
    </row>
    <row r="117" spans="1:15" x14ac:dyDescent="0.25">
      <c r="A117" s="84" t="s">
        <v>187</v>
      </c>
      <c r="B117" s="84" t="s">
        <v>207</v>
      </c>
      <c r="C117" s="84" t="s">
        <v>2329</v>
      </c>
      <c r="D117" s="84"/>
      <c r="E117" s="70">
        <v>43581</v>
      </c>
      <c r="F117" s="84" t="s">
        <v>1609</v>
      </c>
      <c r="G117">
        <v>0</v>
      </c>
      <c r="H117">
        <v>0</v>
      </c>
      <c r="I117">
        <v>0</v>
      </c>
      <c r="J117">
        <v>0</v>
      </c>
      <c r="K117">
        <v>0</v>
      </c>
      <c r="L117" s="84" t="s">
        <v>1218</v>
      </c>
      <c r="M117">
        <v>-1</v>
      </c>
      <c r="N117" s="84" t="s">
        <v>1127</v>
      </c>
      <c r="O117" s="84" t="s">
        <v>1128</v>
      </c>
    </row>
    <row r="118" spans="1:15" x14ac:dyDescent="0.25">
      <c r="A118" s="84" t="s">
        <v>187</v>
      </c>
      <c r="B118" s="84" t="s">
        <v>208</v>
      </c>
      <c r="C118" s="84" t="s">
        <v>209</v>
      </c>
      <c r="D118" s="84" t="s">
        <v>1710</v>
      </c>
      <c r="E118" s="70">
        <v>43581</v>
      </c>
      <c r="F118" s="84" t="s">
        <v>1611</v>
      </c>
      <c r="G118">
        <v>30000</v>
      </c>
      <c r="H118">
        <v>1366</v>
      </c>
      <c r="I118">
        <v>0</v>
      </c>
      <c r="J118">
        <v>0</v>
      </c>
      <c r="K118">
        <v>30000</v>
      </c>
      <c r="L118" s="84" t="s">
        <v>1218</v>
      </c>
      <c r="M118">
        <v>4</v>
      </c>
      <c r="N118" s="84" t="s">
        <v>1127</v>
      </c>
      <c r="O118" s="84" t="s">
        <v>1128</v>
      </c>
    </row>
    <row r="119" spans="1:15" x14ac:dyDescent="0.25">
      <c r="A119" s="84" t="s">
        <v>187</v>
      </c>
      <c r="B119" s="84" t="s">
        <v>210</v>
      </c>
      <c r="C119" s="84" t="s">
        <v>211</v>
      </c>
      <c r="D119" s="84" t="s">
        <v>1711</v>
      </c>
      <c r="E119" s="70">
        <v>44298</v>
      </c>
      <c r="F119" s="84" t="s">
        <v>1609</v>
      </c>
      <c r="G119">
        <v>0</v>
      </c>
      <c r="H119">
        <v>0</v>
      </c>
      <c r="I119">
        <v>0</v>
      </c>
      <c r="J119">
        <v>0</v>
      </c>
      <c r="K119">
        <v>0</v>
      </c>
      <c r="L119" s="84" t="s">
        <v>1220</v>
      </c>
      <c r="M119">
        <v>-1</v>
      </c>
      <c r="N119" s="84" t="s">
        <v>1127</v>
      </c>
      <c r="O119" s="84" t="s">
        <v>1128</v>
      </c>
    </row>
    <row r="120" spans="1:15" x14ac:dyDescent="0.25">
      <c r="A120" s="84" t="s">
        <v>187</v>
      </c>
      <c r="B120" s="84" t="s">
        <v>212</v>
      </c>
      <c r="C120" s="84" t="s">
        <v>213</v>
      </c>
      <c r="D120" s="84" t="s">
        <v>1712</v>
      </c>
      <c r="E120" s="70">
        <v>43911</v>
      </c>
      <c r="F120" s="84" t="s">
        <v>1611</v>
      </c>
      <c r="G120">
        <v>30000</v>
      </c>
      <c r="H120">
        <v>0</v>
      </c>
      <c r="I120">
        <v>0</v>
      </c>
      <c r="J120">
        <v>0</v>
      </c>
      <c r="K120">
        <v>30000</v>
      </c>
      <c r="L120" s="84" t="s">
        <v>1221</v>
      </c>
      <c r="M120">
        <v>4</v>
      </c>
      <c r="N120" s="84" t="s">
        <v>1127</v>
      </c>
      <c r="O120" s="84" t="s">
        <v>1128</v>
      </c>
    </row>
    <row r="121" spans="1:15" x14ac:dyDescent="0.25">
      <c r="A121" s="84" t="s">
        <v>187</v>
      </c>
      <c r="B121" s="84" t="s">
        <v>214</v>
      </c>
      <c r="C121" s="84" t="s">
        <v>2330</v>
      </c>
      <c r="D121" s="84"/>
      <c r="E121" s="70">
        <v>43581</v>
      </c>
      <c r="F121" s="84" t="s">
        <v>1609</v>
      </c>
      <c r="G121">
        <v>0</v>
      </c>
      <c r="H121">
        <v>0</v>
      </c>
      <c r="I121">
        <v>0</v>
      </c>
      <c r="J121">
        <v>0</v>
      </c>
      <c r="K121">
        <v>0</v>
      </c>
      <c r="L121" s="84" t="s">
        <v>1218</v>
      </c>
      <c r="M121">
        <v>-1</v>
      </c>
      <c r="N121" s="84" t="s">
        <v>1127</v>
      </c>
      <c r="O121" s="84" t="s">
        <v>1128</v>
      </c>
    </row>
    <row r="122" spans="1:15" x14ac:dyDescent="0.25">
      <c r="A122" s="84" t="s">
        <v>187</v>
      </c>
      <c r="B122" s="84" t="s">
        <v>215</v>
      </c>
      <c r="C122" s="84" t="s">
        <v>216</v>
      </c>
      <c r="D122" s="84" t="s">
        <v>1713</v>
      </c>
      <c r="E122" s="70">
        <v>43581</v>
      </c>
      <c r="F122" s="84" t="s">
        <v>1611</v>
      </c>
      <c r="G122">
        <v>80000</v>
      </c>
      <c r="H122">
        <v>23723</v>
      </c>
      <c r="I122">
        <v>0</v>
      </c>
      <c r="J122">
        <v>0</v>
      </c>
      <c r="K122">
        <v>80000</v>
      </c>
      <c r="L122" s="84" t="s">
        <v>1218</v>
      </c>
      <c r="M122">
        <v>4</v>
      </c>
      <c r="N122" s="84" t="s">
        <v>1127</v>
      </c>
      <c r="O122" s="84" t="s">
        <v>1128</v>
      </c>
    </row>
    <row r="123" spans="1:15" x14ac:dyDescent="0.25">
      <c r="A123" s="84" t="s">
        <v>187</v>
      </c>
      <c r="B123" s="84" t="s">
        <v>217</v>
      </c>
      <c r="C123" s="84" t="s">
        <v>218</v>
      </c>
      <c r="D123" s="84" t="s">
        <v>1714</v>
      </c>
      <c r="E123" s="70">
        <v>43891</v>
      </c>
      <c r="F123" s="84" t="s">
        <v>1611</v>
      </c>
      <c r="G123">
        <v>16000</v>
      </c>
      <c r="H123">
        <v>0</v>
      </c>
      <c r="I123">
        <v>0</v>
      </c>
      <c r="J123">
        <v>0</v>
      </c>
      <c r="K123">
        <v>16000</v>
      </c>
      <c r="L123" s="84" t="s">
        <v>1222</v>
      </c>
      <c r="M123">
        <v>4</v>
      </c>
      <c r="N123" s="84" t="s">
        <v>1127</v>
      </c>
      <c r="O123" s="84" t="s">
        <v>1128</v>
      </c>
    </row>
    <row r="124" spans="1:15" x14ac:dyDescent="0.25">
      <c r="A124" s="84" t="s">
        <v>187</v>
      </c>
      <c r="B124" s="84" t="s">
        <v>219</v>
      </c>
      <c r="C124" s="84" t="s">
        <v>220</v>
      </c>
      <c r="D124" s="84" t="s">
        <v>1715</v>
      </c>
      <c r="E124" s="70">
        <v>43581</v>
      </c>
      <c r="F124" s="84" t="s">
        <v>1611</v>
      </c>
      <c r="G124">
        <v>40000</v>
      </c>
      <c r="H124">
        <v>0</v>
      </c>
      <c r="I124">
        <v>0</v>
      </c>
      <c r="J124">
        <v>0</v>
      </c>
      <c r="K124">
        <v>40000</v>
      </c>
      <c r="L124" s="84" t="s">
        <v>1218</v>
      </c>
      <c r="M124">
        <v>4</v>
      </c>
      <c r="N124" s="84" t="s">
        <v>1127</v>
      </c>
      <c r="O124" s="84" t="s">
        <v>1128</v>
      </c>
    </row>
    <row r="125" spans="1:15" x14ac:dyDescent="0.25">
      <c r="A125" s="84" t="s">
        <v>187</v>
      </c>
      <c r="B125" s="84" t="s">
        <v>221</v>
      </c>
      <c r="C125" s="84" t="s">
        <v>222</v>
      </c>
      <c r="D125" s="84" t="s">
        <v>1716</v>
      </c>
      <c r="E125" s="70">
        <v>43581</v>
      </c>
      <c r="F125" s="84" t="s">
        <v>1611</v>
      </c>
      <c r="G125">
        <v>50000</v>
      </c>
      <c r="H125">
        <v>10824</v>
      </c>
      <c r="I125">
        <v>10824</v>
      </c>
      <c r="J125">
        <v>139</v>
      </c>
      <c r="K125">
        <v>39176</v>
      </c>
      <c r="L125" s="84" t="s">
        <v>1218</v>
      </c>
      <c r="M125">
        <v>4</v>
      </c>
      <c r="N125" s="84" t="s">
        <v>1127</v>
      </c>
      <c r="O125" s="84" t="s">
        <v>2424</v>
      </c>
    </row>
    <row r="126" spans="1:15" x14ac:dyDescent="0.25">
      <c r="A126" s="84" t="s">
        <v>187</v>
      </c>
      <c r="B126" s="84" t="s">
        <v>223</v>
      </c>
      <c r="C126" s="84" t="s">
        <v>224</v>
      </c>
      <c r="D126" s="84" t="s">
        <v>1717</v>
      </c>
      <c r="E126" s="70">
        <v>43895</v>
      </c>
      <c r="F126" s="84" t="s">
        <v>1611</v>
      </c>
      <c r="G126">
        <v>18000</v>
      </c>
      <c r="H126">
        <v>0</v>
      </c>
      <c r="I126">
        <v>0</v>
      </c>
      <c r="J126">
        <v>0</v>
      </c>
      <c r="K126">
        <v>18000</v>
      </c>
      <c r="L126" s="84" t="s">
        <v>1223</v>
      </c>
      <c r="M126">
        <v>4</v>
      </c>
      <c r="N126" s="84" t="s">
        <v>1127</v>
      </c>
      <c r="O126" s="84" t="s">
        <v>1128</v>
      </c>
    </row>
    <row r="127" spans="1:15" x14ac:dyDescent="0.25">
      <c r="A127" s="84" t="s">
        <v>187</v>
      </c>
      <c r="B127" s="84" t="s">
        <v>225</v>
      </c>
      <c r="C127" s="84" t="s">
        <v>226</v>
      </c>
      <c r="D127" s="84" t="s">
        <v>1718</v>
      </c>
      <c r="E127" s="70">
        <v>44272</v>
      </c>
      <c r="F127" s="84" t="s">
        <v>1611</v>
      </c>
      <c r="G127">
        <v>40000</v>
      </c>
      <c r="H127">
        <v>0</v>
      </c>
      <c r="I127">
        <v>0</v>
      </c>
      <c r="J127">
        <v>0</v>
      </c>
      <c r="K127">
        <v>40000</v>
      </c>
      <c r="L127" s="84" t="s">
        <v>1224</v>
      </c>
      <c r="M127">
        <v>4</v>
      </c>
      <c r="N127" s="84" t="s">
        <v>1127</v>
      </c>
      <c r="O127" s="84" t="s">
        <v>1128</v>
      </c>
    </row>
    <row r="128" spans="1:15" x14ac:dyDescent="0.25">
      <c r="A128" s="84" t="s">
        <v>187</v>
      </c>
      <c r="B128" s="84" t="s">
        <v>227</v>
      </c>
      <c r="C128" s="84" t="s">
        <v>2331</v>
      </c>
      <c r="D128" s="84" t="s">
        <v>1719</v>
      </c>
      <c r="E128" s="70">
        <v>43581</v>
      </c>
      <c r="F128" s="84" t="s">
        <v>1609</v>
      </c>
      <c r="G128">
        <v>0</v>
      </c>
      <c r="H128">
        <v>0</v>
      </c>
      <c r="I128">
        <v>0</v>
      </c>
      <c r="J128">
        <v>0</v>
      </c>
      <c r="K128">
        <v>0</v>
      </c>
      <c r="L128" s="84" t="s">
        <v>1218</v>
      </c>
      <c r="M128">
        <v>-1</v>
      </c>
      <c r="N128" s="84" t="s">
        <v>1127</v>
      </c>
      <c r="O128" s="84" t="s">
        <v>1128</v>
      </c>
    </row>
    <row r="129" spans="1:15" x14ac:dyDescent="0.25">
      <c r="A129" s="84" t="s">
        <v>187</v>
      </c>
      <c r="B129" s="84" t="s">
        <v>228</v>
      </c>
      <c r="C129" s="84" t="s">
        <v>2332</v>
      </c>
      <c r="D129" s="84" t="s">
        <v>1699</v>
      </c>
      <c r="E129" s="70">
        <v>43581</v>
      </c>
      <c r="F129" s="84" t="s">
        <v>1609</v>
      </c>
      <c r="G129">
        <v>0</v>
      </c>
      <c r="H129">
        <v>0</v>
      </c>
      <c r="I129">
        <v>0</v>
      </c>
      <c r="J129">
        <v>0</v>
      </c>
      <c r="K129">
        <v>0</v>
      </c>
      <c r="L129" s="84" t="s">
        <v>1218</v>
      </c>
      <c r="M129">
        <v>-1</v>
      </c>
      <c r="N129" s="84" t="s">
        <v>1127</v>
      </c>
      <c r="O129" s="84" t="s">
        <v>1128</v>
      </c>
    </row>
    <row r="130" spans="1:15" x14ac:dyDescent="0.25">
      <c r="A130" s="84" t="s">
        <v>187</v>
      </c>
      <c r="B130" s="84" t="s">
        <v>229</v>
      </c>
      <c r="C130" s="84" t="s">
        <v>230</v>
      </c>
      <c r="D130" s="84" t="s">
        <v>1720</v>
      </c>
      <c r="E130" s="70">
        <v>44705</v>
      </c>
      <c r="F130" s="84" t="s">
        <v>1611</v>
      </c>
      <c r="G130">
        <v>40000</v>
      </c>
      <c r="H130">
        <v>-118</v>
      </c>
      <c r="I130">
        <v>-118</v>
      </c>
      <c r="J130">
        <v>183</v>
      </c>
      <c r="K130">
        <v>40000</v>
      </c>
      <c r="L130" s="84" t="s">
        <v>1225</v>
      </c>
      <c r="M130">
        <v>4</v>
      </c>
      <c r="N130" s="84" t="s">
        <v>1127</v>
      </c>
      <c r="O130" s="84" t="s">
        <v>1128</v>
      </c>
    </row>
    <row r="131" spans="1:15" x14ac:dyDescent="0.25">
      <c r="A131" s="84" t="s">
        <v>187</v>
      </c>
      <c r="B131" s="84" t="s">
        <v>231</v>
      </c>
      <c r="C131" s="84" t="s">
        <v>2333</v>
      </c>
      <c r="D131" s="84"/>
      <c r="E131" s="70">
        <v>43581</v>
      </c>
      <c r="F131" s="84" t="s">
        <v>1609</v>
      </c>
      <c r="G131">
        <v>0</v>
      </c>
      <c r="H131">
        <v>0</v>
      </c>
      <c r="I131">
        <v>0</v>
      </c>
      <c r="J131">
        <v>0</v>
      </c>
      <c r="K131">
        <v>0</v>
      </c>
      <c r="L131" s="84" t="s">
        <v>1218</v>
      </c>
      <c r="M131">
        <v>-1</v>
      </c>
      <c r="N131" s="84" t="s">
        <v>1127</v>
      </c>
      <c r="O131" s="84" t="s">
        <v>1128</v>
      </c>
    </row>
    <row r="132" spans="1:15" x14ac:dyDescent="0.25">
      <c r="A132" s="84" t="s">
        <v>187</v>
      </c>
      <c r="B132" s="84" t="s">
        <v>232</v>
      </c>
      <c r="C132" s="84" t="s">
        <v>2334</v>
      </c>
      <c r="D132" s="84" t="s">
        <v>1721</v>
      </c>
      <c r="E132" s="70">
        <v>43581</v>
      </c>
      <c r="F132" s="84" t="s">
        <v>1609</v>
      </c>
      <c r="G132">
        <v>0</v>
      </c>
      <c r="H132">
        <v>0</v>
      </c>
      <c r="I132">
        <v>0</v>
      </c>
      <c r="J132">
        <v>0</v>
      </c>
      <c r="K132">
        <v>0</v>
      </c>
      <c r="L132" s="84" t="s">
        <v>1218</v>
      </c>
      <c r="M132">
        <v>-1</v>
      </c>
      <c r="N132" s="84" t="s">
        <v>1127</v>
      </c>
      <c r="O132" s="84" t="s">
        <v>1128</v>
      </c>
    </row>
    <row r="133" spans="1:15" x14ac:dyDescent="0.25">
      <c r="A133" s="84" t="s">
        <v>187</v>
      </c>
      <c r="B133" s="84" t="s">
        <v>233</v>
      </c>
      <c r="C133" s="84" t="s">
        <v>234</v>
      </c>
      <c r="D133" s="84" t="s">
        <v>1722</v>
      </c>
      <c r="E133" s="70">
        <v>44819</v>
      </c>
      <c r="F133" s="84" t="s">
        <v>1609</v>
      </c>
      <c r="G133">
        <v>0</v>
      </c>
      <c r="H133">
        <v>0</v>
      </c>
      <c r="I133">
        <v>0</v>
      </c>
      <c r="J133">
        <v>0</v>
      </c>
      <c r="K133">
        <v>0</v>
      </c>
      <c r="L133" s="84" t="s">
        <v>1226</v>
      </c>
      <c r="M133">
        <v>-1</v>
      </c>
      <c r="N133" s="84" t="s">
        <v>1127</v>
      </c>
      <c r="O133" s="84" t="s">
        <v>1128</v>
      </c>
    </row>
    <row r="134" spans="1:15" x14ac:dyDescent="0.25">
      <c r="A134" s="84" t="s">
        <v>187</v>
      </c>
      <c r="B134" s="84" t="s">
        <v>235</v>
      </c>
      <c r="C134" s="84" t="s">
        <v>2335</v>
      </c>
      <c r="D134" s="84"/>
      <c r="E134" s="70">
        <v>43581</v>
      </c>
      <c r="F134" s="84" t="s">
        <v>1609</v>
      </c>
      <c r="G134">
        <v>0</v>
      </c>
      <c r="H134">
        <v>0</v>
      </c>
      <c r="I134">
        <v>0</v>
      </c>
      <c r="J134">
        <v>0</v>
      </c>
      <c r="K134">
        <v>0</v>
      </c>
      <c r="L134" s="84" t="s">
        <v>1218</v>
      </c>
      <c r="M134">
        <v>-1</v>
      </c>
      <c r="N134" s="84" t="s">
        <v>1127</v>
      </c>
      <c r="O134" s="84" t="s">
        <v>1128</v>
      </c>
    </row>
    <row r="135" spans="1:15" x14ac:dyDescent="0.25">
      <c r="A135" s="84" t="s">
        <v>238</v>
      </c>
      <c r="B135" s="84" t="s">
        <v>236</v>
      </c>
      <c r="C135" s="84" t="s">
        <v>237</v>
      </c>
      <c r="D135" s="84" t="s">
        <v>1723</v>
      </c>
      <c r="E135" s="70">
        <v>44838</v>
      </c>
      <c r="F135" s="84" t="s">
        <v>1611</v>
      </c>
      <c r="G135">
        <v>80000</v>
      </c>
      <c r="H135">
        <v>2283</v>
      </c>
      <c r="I135">
        <v>0</v>
      </c>
      <c r="J135">
        <v>0</v>
      </c>
      <c r="K135">
        <v>80000</v>
      </c>
      <c r="L135" s="84" t="s">
        <v>1227</v>
      </c>
      <c r="M135">
        <v>4</v>
      </c>
      <c r="N135" s="84" t="s">
        <v>1127</v>
      </c>
      <c r="O135" s="84" t="s">
        <v>1128</v>
      </c>
    </row>
    <row r="136" spans="1:15" x14ac:dyDescent="0.25">
      <c r="A136" s="84" t="s">
        <v>238</v>
      </c>
      <c r="B136" s="84" t="s">
        <v>239</v>
      </c>
      <c r="C136" s="84" t="s">
        <v>240</v>
      </c>
      <c r="D136" s="84" t="s">
        <v>1724</v>
      </c>
      <c r="E136" s="70">
        <v>44541</v>
      </c>
      <c r="F136" s="84" t="s">
        <v>1609</v>
      </c>
      <c r="G136">
        <v>0</v>
      </c>
      <c r="H136">
        <v>-530</v>
      </c>
      <c r="I136">
        <v>0</v>
      </c>
      <c r="J136">
        <v>0</v>
      </c>
      <c r="K136">
        <v>0</v>
      </c>
      <c r="L136" s="84" t="s">
        <v>1228</v>
      </c>
      <c r="M136">
        <v>-1</v>
      </c>
      <c r="N136" s="84" t="s">
        <v>1127</v>
      </c>
      <c r="O136" s="84" t="s">
        <v>1128</v>
      </c>
    </row>
    <row r="137" spans="1:15" x14ac:dyDescent="0.25">
      <c r="A137" s="84" t="s">
        <v>74</v>
      </c>
      <c r="B137" s="84" t="s">
        <v>241</v>
      </c>
      <c r="C137" s="84" t="s">
        <v>242</v>
      </c>
      <c r="D137" s="84" t="s">
        <v>1725</v>
      </c>
      <c r="E137" s="70">
        <v>44543</v>
      </c>
      <c r="F137" s="84" t="s">
        <v>1611</v>
      </c>
      <c r="G137">
        <v>40000</v>
      </c>
      <c r="H137">
        <v>5851.24</v>
      </c>
      <c r="I137">
        <v>5851.24</v>
      </c>
      <c r="J137">
        <v>148</v>
      </c>
      <c r="K137">
        <v>34148.76</v>
      </c>
      <c r="L137" s="84" t="s">
        <v>1229</v>
      </c>
      <c r="M137">
        <v>4</v>
      </c>
      <c r="N137" s="84" t="s">
        <v>1127</v>
      </c>
      <c r="O137" s="84" t="s">
        <v>2425</v>
      </c>
    </row>
    <row r="138" spans="1:15" x14ac:dyDescent="0.25">
      <c r="A138" s="84" t="s">
        <v>238</v>
      </c>
      <c r="B138" s="84" t="s">
        <v>243</v>
      </c>
      <c r="C138" s="84" t="s">
        <v>1230</v>
      </c>
      <c r="D138" s="84" t="s">
        <v>1726</v>
      </c>
      <c r="E138" s="70">
        <v>44546</v>
      </c>
      <c r="F138" s="84" t="s">
        <v>1611</v>
      </c>
      <c r="G138">
        <v>15000</v>
      </c>
      <c r="H138">
        <v>2127</v>
      </c>
      <c r="I138">
        <v>2127</v>
      </c>
      <c r="J138">
        <v>106</v>
      </c>
      <c r="K138">
        <v>12873</v>
      </c>
      <c r="L138" s="84" t="s">
        <v>1231</v>
      </c>
      <c r="M138">
        <v>4</v>
      </c>
      <c r="N138" s="84" t="s">
        <v>1127</v>
      </c>
      <c r="O138" s="84" t="s">
        <v>2426</v>
      </c>
    </row>
    <row r="139" spans="1:15" x14ac:dyDescent="0.25">
      <c r="A139" s="84" t="s">
        <v>238</v>
      </c>
      <c r="B139" s="84" t="s">
        <v>244</v>
      </c>
      <c r="C139" s="84" t="s">
        <v>1232</v>
      </c>
      <c r="D139" s="84" t="s">
        <v>1727</v>
      </c>
      <c r="E139" s="70">
        <v>44819</v>
      </c>
      <c r="F139" s="84" t="s">
        <v>1611</v>
      </c>
      <c r="G139">
        <v>9000</v>
      </c>
      <c r="H139">
        <v>462.5</v>
      </c>
      <c r="I139">
        <v>28.5</v>
      </c>
      <c r="J139">
        <v>108</v>
      </c>
      <c r="K139">
        <v>8537.5</v>
      </c>
      <c r="L139" s="84" t="s">
        <v>1233</v>
      </c>
      <c r="M139">
        <v>4</v>
      </c>
      <c r="N139" s="84" t="s">
        <v>1127</v>
      </c>
      <c r="O139" s="84" t="s">
        <v>2336</v>
      </c>
    </row>
    <row r="140" spans="1:15" x14ac:dyDescent="0.25">
      <c r="A140" s="84" t="s">
        <v>238</v>
      </c>
      <c r="B140" s="84" t="s">
        <v>245</v>
      </c>
      <c r="C140" s="84" t="s">
        <v>246</v>
      </c>
      <c r="D140" s="84" t="s">
        <v>1728</v>
      </c>
      <c r="E140" s="70">
        <v>44842</v>
      </c>
      <c r="F140" s="84" t="s">
        <v>1611</v>
      </c>
      <c r="G140">
        <v>16000</v>
      </c>
      <c r="H140">
        <v>-174.65</v>
      </c>
      <c r="I140">
        <v>-174.65</v>
      </c>
      <c r="J140">
        <v>107</v>
      </c>
      <c r="K140">
        <v>16000</v>
      </c>
      <c r="L140" s="84" t="s">
        <v>1234</v>
      </c>
      <c r="M140">
        <v>4</v>
      </c>
      <c r="N140" s="84" t="s">
        <v>1127</v>
      </c>
      <c r="O140" s="84" t="s">
        <v>1128</v>
      </c>
    </row>
    <row r="141" spans="1:15" x14ac:dyDescent="0.25">
      <c r="A141" s="84" t="s">
        <v>238</v>
      </c>
      <c r="B141" s="84" t="s">
        <v>247</v>
      </c>
      <c r="C141" s="84" t="s">
        <v>248</v>
      </c>
      <c r="D141" s="84" t="s">
        <v>1729</v>
      </c>
      <c r="E141" s="70">
        <v>44845</v>
      </c>
      <c r="F141" s="84" t="s">
        <v>1611</v>
      </c>
      <c r="G141">
        <v>16000</v>
      </c>
      <c r="H141">
        <v>0</v>
      </c>
      <c r="I141">
        <v>0</v>
      </c>
      <c r="J141">
        <v>0</v>
      </c>
      <c r="K141">
        <v>16000</v>
      </c>
      <c r="L141" s="84" t="s">
        <v>1235</v>
      </c>
      <c r="M141">
        <v>4</v>
      </c>
      <c r="N141" s="84" t="s">
        <v>1127</v>
      </c>
      <c r="O141" s="84" t="s">
        <v>1128</v>
      </c>
    </row>
    <row r="142" spans="1:15" x14ac:dyDescent="0.25">
      <c r="A142" s="84" t="s">
        <v>238</v>
      </c>
      <c r="B142" s="84" t="s">
        <v>249</v>
      </c>
      <c r="C142" s="84" t="s">
        <v>1236</v>
      </c>
      <c r="D142" s="84" t="s">
        <v>1730</v>
      </c>
      <c r="E142" s="70">
        <v>44545</v>
      </c>
      <c r="F142" s="84" t="s">
        <v>1611</v>
      </c>
      <c r="G142">
        <v>80000</v>
      </c>
      <c r="H142">
        <v>6343</v>
      </c>
      <c r="I142">
        <v>0</v>
      </c>
      <c r="J142">
        <v>0</v>
      </c>
      <c r="K142">
        <v>80000</v>
      </c>
      <c r="L142" s="84" t="s">
        <v>1237</v>
      </c>
      <c r="M142">
        <v>4</v>
      </c>
      <c r="N142" s="84" t="s">
        <v>1127</v>
      </c>
      <c r="O142" s="84" t="s">
        <v>1128</v>
      </c>
    </row>
    <row r="143" spans="1:15" x14ac:dyDescent="0.25">
      <c r="A143" s="84" t="s">
        <v>238</v>
      </c>
      <c r="B143" s="84" t="s">
        <v>250</v>
      </c>
      <c r="C143" s="84" t="s">
        <v>251</v>
      </c>
      <c r="D143" s="84" t="s">
        <v>1731</v>
      </c>
      <c r="E143" s="70">
        <v>44845</v>
      </c>
      <c r="F143" s="84" t="s">
        <v>1611</v>
      </c>
      <c r="G143">
        <v>30000</v>
      </c>
      <c r="H143">
        <v>19604</v>
      </c>
      <c r="I143">
        <v>8805</v>
      </c>
      <c r="J143">
        <v>99</v>
      </c>
      <c r="K143">
        <v>10396</v>
      </c>
      <c r="L143" s="84" t="s">
        <v>1235</v>
      </c>
      <c r="M143">
        <v>4</v>
      </c>
      <c r="N143" s="84" t="s">
        <v>1127</v>
      </c>
      <c r="O143" s="84" t="s">
        <v>2427</v>
      </c>
    </row>
    <row r="144" spans="1:15" x14ac:dyDescent="0.25">
      <c r="A144" s="84" t="s">
        <v>238</v>
      </c>
      <c r="B144" s="84" t="s">
        <v>252</v>
      </c>
      <c r="C144" s="84" t="s">
        <v>253</v>
      </c>
      <c r="D144" s="84" t="s">
        <v>1731</v>
      </c>
      <c r="E144" s="70">
        <v>44845</v>
      </c>
      <c r="F144" s="84" t="s">
        <v>1611</v>
      </c>
      <c r="G144">
        <v>30000</v>
      </c>
      <c r="H144">
        <v>5876</v>
      </c>
      <c r="I144">
        <v>5876</v>
      </c>
      <c r="J144">
        <v>316</v>
      </c>
      <c r="K144">
        <v>24124</v>
      </c>
      <c r="L144" s="84" t="s">
        <v>1235</v>
      </c>
      <c r="M144">
        <v>4</v>
      </c>
      <c r="N144" s="84" t="s">
        <v>1127</v>
      </c>
      <c r="O144" s="84" t="s">
        <v>2428</v>
      </c>
    </row>
    <row r="145" spans="1:15" x14ac:dyDescent="0.25">
      <c r="A145" s="84" t="s">
        <v>74</v>
      </c>
      <c r="B145" s="84" t="s">
        <v>254</v>
      </c>
      <c r="C145" s="84" t="s">
        <v>255</v>
      </c>
      <c r="D145" s="84" t="s">
        <v>1732</v>
      </c>
      <c r="E145" s="70">
        <v>43590</v>
      </c>
      <c r="F145" s="84" t="s">
        <v>1611</v>
      </c>
      <c r="G145">
        <v>240000</v>
      </c>
      <c r="H145">
        <v>43490</v>
      </c>
      <c r="I145">
        <v>0</v>
      </c>
      <c r="J145">
        <v>0</v>
      </c>
      <c r="K145">
        <v>240000</v>
      </c>
      <c r="L145" s="84" t="s">
        <v>1238</v>
      </c>
      <c r="M145">
        <v>4</v>
      </c>
      <c r="N145" s="84" t="s">
        <v>1127</v>
      </c>
      <c r="O145" s="84" t="s">
        <v>1128</v>
      </c>
    </row>
    <row r="146" spans="1:15" x14ac:dyDescent="0.25">
      <c r="A146" s="84" t="s">
        <v>238</v>
      </c>
      <c r="B146" s="84" t="s">
        <v>256</v>
      </c>
      <c r="C146" s="84" t="s">
        <v>257</v>
      </c>
      <c r="D146" s="84" t="s">
        <v>1733</v>
      </c>
      <c r="E146" s="70">
        <v>44555</v>
      </c>
      <c r="F146" s="84" t="s">
        <v>1609</v>
      </c>
      <c r="G146">
        <v>0</v>
      </c>
      <c r="H146">
        <v>7837</v>
      </c>
      <c r="I146">
        <v>7837</v>
      </c>
      <c r="J146">
        <v>530</v>
      </c>
      <c r="K146">
        <v>-7837</v>
      </c>
      <c r="L146" s="84" t="s">
        <v>1239</v>
      </c>
      <c r="M146">
        <v>-1</v>
      </c>
      <c r="N146" s="84" t="s">
        <v>1240</v>
      </c>
      <c r="O146" s="84" t="s">
        <v>2429</v>
      </c>
    </row>
    <row r="147" spans="1:15" x14ac:dyDescent="0.25">
      <c r="A147" s="84" t="s">
        <v>238</v>
      </c>
      <c r="B147" s="84" t="s">
        <v>258</v>
      </c>
      <c r="C147" s="84" t="s">
        <v>259</v>
      </c>
      <c r="D147" s="84" t="s">
        <v>1734</v>
      </c>
      <c r="E147" s="70">
        <v>44557</v>
      </c>
      <c r="F147" s="84" t="s">
        <v>1609</v>
      </c>
      <c r="G147">
        <v>0</v>
      </c>
      <c r="H147">
        <v>0</v>
      </c>
      <c r="I147">
        <v>0</v>
      </c>
      <c r="J147">
        <v>0</v>
      </c>
      <c r="K147">
        <v>0</v>
      </c>
      <c r="L147" s="84" t="s">
        <v>1241</v>
      </c>
      <c r="M147">
        <v>-1</v>
      </c>
      <c r="N147" s="84" t="s">
        <v>1127</v>
      </c>
      <c r="O147" s="84" t="s">
        <v>1128</v>
      </c>
    </row>
    <row r="148" spans="1:15" x14ac:dyDescent="0.25">
      <c r="A148" s="84" t="s">
        <v>238</v>
      </c>
      <c r="B148" s="84" t="s">
        <v>260</v>
      </c>
      <c r="C148" s="84" t="s">
        <v>261</v>
      </c>
      <c r="D148" s="84" t="s">
        <v>1735</v>
      </c>
      <c r="E148" s="70">
        <v>44562</v>
      </c>
      <c r="F148" s="84" t="s">
        <v>1609</v>
      </c>
      <c r="G148">
        <v>0</v>
      </c>
      <c r="H148">
        <v>0</v>
      </c>
      <c r="I148">
        <v>0</v>
      </c>
      <c r="J148">
        <v>0</v>
      </c>
      <c r="K148">
        <v>0</v>
      </c>
      <c r="L148" s="84" t="s">
        <v>1242</v>
      </c>
      <c r="M148">
        <v>-1</v>
      </c>
      <c r="N148" s="84" t="s">
        <v>1127</v>
      </c>
      <c r="O148" s="84" t="s">
        <v>1128</v>
      </c>
    </row>
    <row r="149" spans="1:15" x14ac:dyDescent="0.25">
      <c r="A149" s="84" t="s">
        <v>238</v>
      </c>
      <c r="B149" s="84" t="s">
        <v>262</v>
      </c>
      <c r="C149" s="84" t="s">
        <v>263</v>
      </c>
      <c r="D149" s="84" t="s">
        <v>1736</v>
      </c>
      <c r="E149" s="70">
        <v>44564</v>
      </c>
      <c r="F149" s="84" t="s">
        <v>1611</v>
      </c>
      <c r="G149">
        <v>75000</v>
      </c>
      <c r="H149">
        <v>2837.68</v>
      </c>
      <c r="I149">
        <v>0</v>
      </c>
      <c r="J149">
        <v>0</v>
      </c>
      <c r="K149">
        <v>75000</v>
      </c>
      <c r="L149" s="84" t="s">
        <v>1243</v>
      </c>
      <c r="M149">
        <v>4</v>
      </c>
      <c r="N149" s="84" t="s">
        <v>1127</v>
      </c>
      <c r="O149" s="84" t="s">
        <v>1128</v>
      </c>
    </row>
    <row r="150" spans="1:15" x14ac:dyDescent="0.25">
      <c r="A150" s="84" t="s">
        <v>238</v>
      </c>
      <c r="B150" s="84" t="s">
        <v>264</v>
      </c>
      <c r="C150" s="84" t="s">
        <v>265</v>
      </c>
      <c r="D150" s="84" t="s">
        <v>1737</v>
      </c>
      <c r="E150" s="70">
        <v>44564</v>
      </c>
      <c r="F150" s="84" t="s">
        <v>1609</v>
      </c>
      <c r="G150">
        <v>0</v>
      </c>
      <c r="H150">
        <v>0</v>
      </c>
      <c r="I150">
        <v>0</v>
      </c>
      <c r="J150">
        <v>0</v>
      </c>
      <c r="K150">
        <v>0</v>
      </c>
      <c r="L150" s="84" t="s">
        <v>1243</v>
      </c>
      <c r="M150">
        <v>-1</v>
      </c>
      <c r="N150" s="84" t="s">
        <v>1127</v>
      </c>
      <c r="O150" s="84" t="s">
        <v>1128</v>
      </c>
    </row>
    <row r="151" spans="1:15" x14ac:dyDescent="0.25">
      <c r="A151" s="84" t="s">
        <v>187</v>
      </c>
      <c r="B151" s="84" t="s">
        <v>266</v>
      </c>
      <c r="C151" s="84" t="s">
        <v>2337</v>
      </c>
      <c r="D151" s="84"/>
      <c r="E151" s="70">
        <v>43581</v>
      </c>
      <c r="F151" s="84" t="s">
        <v>1609</v>
      </c>
      <c r="G151">
        <v>0</v>
      </c>
      <c r="H151">
        <v>0</v>
      </c>
      <c r="I151">
        <v>0</v>
      </c>
      <c r="J151">
        <v>0</v>
      </c>
      <c r="K151">
        <v>0</v>
      </c>
      <c r="L151" s="84" t="s">
        <v>1218</v>
      </c>
      <c r="M151">
        <v>-1</v>
      </c>
      <c r="N151" s="84" t="s">
        <v>1127</v>
      </c>
      <c r="O151" s="84" t="s">
        <v>1128</v>
      </c>
    </row>
    <row r="152" spans="1:15" x14ac:dyDescent="0.25">
      <c r="A152" s="84" t="s">
        <v>238</v>
      </c>
      <c r="B152" s="84" t="s">
        <v>267</v>
      </c>
      <c r="C152" s="84" t="s">
        <v>268</v>
      </c>
      <c r="D152" s="84" t="s">
        <v>1738</v>
      </c>
      <c r="E152" s="70">
        <v>44578</v>
      </c>
      <c r="F152" s="84" t="s">
        <v>1611</v>
      </c>
      <c r="G152">
        <v>0</v>
      </c>
      <c r="H152">
        <v>0</v>
      </c>
      <c r="I152">
        <v>0</v>
      </c>
      <c r="J152">
        <v>0</v>
      </c>
      <c r="K152">
        <v>0</v>
      </c>
      <c r="L152" s="84" t="s">
        <v>1244</v>
      </c>
      <c r="M152">
        <v>4</v>
      </c>
      <c r="N152" s="84" t="s">
        <v>1127</v>
      </c>
      <c r="O152" s="84" t="s">
        <v>1128</v>
      </c>
    </row>
    <row r="153" spans="1:15" x14ac:dyDescent="0.25">
      <c r="A153" s="84" t="s">
        <v>74</v>
      </c>
      <c r="B153" s="84" t="s">
        <v>269</v>
      </c>
      <c r="C153" s="84" t="s">
        <v>2430</v>
      </c>
      <c r="D153" s="84" t="s">
        <v>1739</v>
      </c>
      <c r="E153" s="70">
        <v>44271</v>
      </c>
      <c r="F153" s="84" t="s">
        <v>1611</v>
      </c>
      <c r="G153">
        <v>30000</v>
      </c>
      <c r="H153">
        <v>9350</v>
      </c>
      <c r="I153">
        <v>9350</v>
      </c>
      <c r="J153">
        <v>98</v>
      </c>
      <c r="K153">
        <v>20650</v>
      </c>
      <c r="L153" s="84" t="s">
        <v>1245</v>
      </c>
      <c r="M153">
        <v>4</v>
      </c>
      <c r="N153" s="84" t="s">
        <v>1127</v>
      </c>
      <c r="O153" s="84" t="s">
        <v>2397</v>
      </c>
    </row>
    <row r="154" spans="1:15" x14ac:dyDescent="0.25">
      <c r="A154" s="84" t="s">
        <v>187</v>
      </c>
      <c r="B154" s="84" t="s">
        <v>270</v>
      </c>
      <c r="C154" s="84" t="s">
        <v>271</v>
      </c>
      <c r="D154" s="84" t="s">
        <v>1740</v>
      </c>
      <c r="E154" s="70">
        <v>44054</v>
      </c>
      <c r="F154" s="84" t="s">
        <v>1609</v>
      </c>
      <c r="G154">
        <v>0</v>
      </c>
      <c r="H154">
        <v>0</v>
      </c>
      <c r="I154">
        <v>0</v>
      </c>
      <c r="J154">
        <v>0</v>
      </c>
      <c r="K154">
        <v>0</v>
      </c>
      <c r="L154" s="84" t="s">
        <v>1214</v>
      </c>
      <c r="M154">
        <v>-1</v>
      </c>
      <c r="N154" s="84" t="s">
        <v>1127</v>
      </c>
      <c r="O154" s="84" t="s">
        <v>1128</v>
      </c>
    </row>
    <row r="155" spans="1:15" x14ac:dyDescent="0.25">
      <c r="A155" s="84" t="s">
        <v>238</v>
      </c>
      <c r="B155" s="84" t="s">
        <v>272</v>
      </c>
      <c r="C155" s="84" t="s">
        <v>273</v>
      </c>
      <c r="D155" s="84" t="s">
        <v>1741</v>
      </c>
      <c r="E155" s="70">
        <v>44418</v>
      </c>
      <c r="F155" s="84" t="s">
        <v>1611</v>
      </c>
      <c r="G155">
        <v>80000</v>
      </c>
      <c r="H155">
        <v>4198</v>
      </c>
      <c r="I155">
        <v>0</v>
      </c>
      <c r="J155">
        <v>0</v>
      </c>
      <c r="K155">
        <v>80000</v>
      </c>
      <c r="L155" s="84" t="s">
        <v>1246</v>
      </c>
      <c r="M155">
        <v>4</v>
      </c>
      <c r="N155" s="84" t="s">
        <v>1127</v>
      </c>
      <c r="O155" s="84" t="s">
        <v>1128</v>
      </c>
    </row>
    <row r="156" spans="1:15" x14ac:dyDescent="0.25">
      <c r="A156" s="84" t="s">
        <v>187</v>
      </c>
      <c r="B156" s="84" t="s">
        <v>274</v>
      </c>
      <c r="C156" s="84" t="s">
        <v>275</v>
      </c>
      <c r="D156" s="84" t="s">
        <v>1742</v>
      </c>
      <c r="E156" s="70">
        <v>44478</v>
      </c>
      <c r="F156" s="84" t="s">
        <v>1611</v>
      </c>
      <c r="G156">
        <v>30000</v>
      </c>
      <c r="H156">
        <v>9222</v>
      </c>
      <c r="I156">
        <v>0</v>
      </c>
      <c r="J156">
        <v>0</v>
      </c>
      <c r="K156">
        <v>30000</v>
      </c>
      <c r="L156" s="84" t="s">
        <v>1247</v>
      </c>
      <c r="M156">
        <v>4</v>
      </c>
      <c r="N156" s="84" t="s">
        <v>1127</v>
      </c>
      <c r="O156" s="84" t="s">
        <v>1128</v>
      </c>
    </row>
    <row r="157" spans="1:15" x14ac:dyDescent="0.25">
      <c r="A157" s="84" t="s">
        <v>238</v>
      </c>
      <c r="B157" s="84" t="s">
        <v>276</v>
      </c>
      <c r="C157" s="84" t="s">
        <v>277</v>
      </c>
      <c r="D157" s="84" t="s">
        <v>1743</v>
      </c>
      <c r="E157" s="70">
        <v>44698</v>
      </c>
      <c r="F157" s="84" t="s">
        <v>1609</v>
      </c>
      <c r="G157">
        <v>0</v>
      </c>
      <c r="H157">
        <v>0</v>
      </c>
      <c r="I157">
        <v>0</v>
      </c>
      <c r="J157">
        <v>0</v>
      </c>
      <c r="K157">
        <v>0</v>
      </c>
      <c r="L157" s="84" t="s">
        <v>1248</v>
      </c>
      <c r="M157">
        <v>-1</v>
      </c>
      <c r="N157" s="84" t="s">
        <v>1127</v>
      </c>
      <c r="O157" s="84" t="s">
        <v>1128</v>
      </c>
    </row>
    <row r="158" spans="1:15" x14ac:dyDescent="0.25">
      <c r="A158" s="84" t="s">
        <v>238</v>
      </c>
      <c r="B158" s="84" t="s">
        <v>278</v>
      </c>
      <c r="C158" s="84" t="s">
        <v>279</v>
      </c>
      <c r="D158" s="84" t="s">
        <v>1744</v>
      </c>
      <c r="E158" s="70">
        <v>44698</v>
      </c>
      <c r="F158" s="84" t="s">
        <v>1609</v>
      </c>
      <c r="G158">
        <v>0</v>
      </c>
      <c r="H158">
        <v>0</v>
      </c>
      <c r="I158">
        <v>0</v>
      </c>
      <c r="J158">
        <v>0</v>
      </c>
      <c r="K158">
        <v>0</v>
      </c>
      <c r="L158" s="84" t="s">
        <v>1248</v>
      </c>
      <c r="M158">
        <v>-1</v>
      </c>
      <c r="N158" s="84" t="s">
        <v>1127</v>
      </c>
      <c r="O158" s="84" t="s">
        <v>1128</v>
      </c>
    </row>
    <row r="159" spans="1:15" x14ac:dyDescent="0.25">
      <c r="A159" s="84" t="s">
        <v>74</v>
      </c>
      <c r="B159" s="84" t="s">
        <v>280</v>
      </c>
      <c r="C159" s="84" t="s">
        <v>281</v>
      </c>
      <c r="D159" s="84" t="s">
        <v>1745</v>
      </c>
      <c r="E159" s="70">
        <v>44702</v>
      </c>
      <c r="F159" s="84" t="s">
        <v>1611</v>
      </c>
      <c r="G159">
        <v>40000</v>
      </c>
      <c r="H159">
        <v>11387</v>
      </c>
      <c r="I159">
        <v>11387</v>
      </c>
      <c r="J159">
        <v>387</v>
      </c>
      <c r="K159">
        <v>28613</v>
      </c>
      <c r="L159" s="84" t="s">
        <v>1249</v>
      </c>
      <c r="M159">
        <v>4</v>
      </c>
      <c r="N159" s="84" t="s">
        <v>1127</v>
      </c>
      <c r="O159" s="84" t="s">
        <v>1250</v>
      </c>
    </row>
    <row r="160" spans="1:15" x14ac:dyDescent="0.25">
      <c r="A160" s="84" t="s">
        <v>238</v>
      </c>
      <c r="B160" s="84" t="s">
        <v>282</v>
      </c>
      <c r="C160" s="84" t="s">
        <v>283</v>
      </c>
      <c r="D160" s="84" t="s">
        <v>1746</v>
      </c>
      <c r="E160" s="70">
        <v>44845</v>
      </c>
      <c r="F160" s="84" t="s">
        <v>1611</v>
      </c>
      <c r="G160">
        <v>40000</v>
      </c>
      <c r="H160">
        <v>1577</v>
      </c>
      <c r="I160">
        <v>1577</v>
      </c>
      <c r="J160">
        <v>97</v>
      </c>
      <c r="K160">
        <v>38423</v>
      </c>
      <c r="L160" s="84" t="s">
        <v>1235</v>
      </c>
      <c r="M160">
        <v>4</v>
      </c>
      <c r="N160" s="84" t="s">
        <v>1127</v>
      </c>
      <c r="O160" s="84" t="s">
        <v>2341</v>
      </c>
    </row>
    <row r="161" spans="1:15" x14ac:dyDescent="0.25">
      <c r="A161" s="84" t="s">
        <v>238</v>
      </c>
      <c r="B161" s="84" t="s">
        <v>284</v>
      </c>
      <c r="C161" s="84" t="s">
        <v>285</v>
      </c>
      <c r="D161" s="84" t="s">
        <v>1741</v>
      </c>
      <c r="E161" s="70">
        <v>44858</v>
      </c>
      <c r="F161" s="84" t="s">
        <v>1611</v>
      </c>
      <c r="G161">
        <v>80000</v>
      </c>
      <c r="H161">
        <v>3259</v>
      </c>
      <c r="I161">
        <v>3259</v>
      </c>
      <c r="J161">
        <v>119</v>
      </c>
      <c r="K161">
        <v>76741</v>
      </c>
      <c r="L161" s="84" t="s">
        <v>1251</v>
      </c>
      <c r="M161">
        <v>4</v>
      </c>
      <c r="N161" s="84" t="s">
        <v>1127</v>
      </c>
      <c r="O161" s="84" t="s">
        <v>2431</v>
      </c>
    </row>
    <row r="162" spans="1:15" x14ac:dyDescent="0.25">
      <c r="A162" s="84" t="s">
        <v>238</v>
      </c>
      <c r="B162" s="84" t="s">
        <v>286</v>
      </c>
      <c r="C162" s="84" t="s">
        <v>287</v>
      </c>
      <c r="D162" s="84" t="s">
        <v>1747</v>
      </c>
      <c r="E162" s="70">
        <v>44922</v>
      </c>
      <c r="F162" s="84" t="s">
        <v>1609</v>
      </c>
      <c r="G162">
        <v>0</v>
      </c>
      <c r="H162">
        <v>0</v>
      </c>
      <c r="I162">
        <v>0</v>
      </c>
      <c r="J162">
        <v>0</v>
      </c>
      <c r="K162">
        <v>0</v>
      </c>
      <c r="L162" s="84" t="s">
        <v>1252</v>
      </c>
      <c r="M162">
        <v>-1</v>
      </c>
      <c r="N162" s="84" t="s">
        <v>1127</v>
      </c>
      <c r="O162" s="84" t="s">
        <v>1128</v>
      </c>
    </row>
    <row r="163" spans="1:15" x14ac:dyDescent="0.25">
      <c r="A163" s="84" t="s">
        <v>74</v>
      </c>
      <c r="B163" s="84" t="s">
        <v>2407</v>
      </c>
      <c r="C163" s="84" t="s">
        <v>2432</v>
      </c>
      <c r="D163" s="84" t="s">
        <v>1739</v>
      </c>
      <c r="E163" s="70">
        <v>45168</v>
      </c>
      <c r="F163" s="84" t="s">
        <v>1611</v>
      </c>
      <c r="G163">
        <v>50000</v>
      </c>
      <c r="H163">
        <v>1375</v>
      </c>
      <c r="I163">
        <v>0</v>
      </c>
      <c r="J163">
        <v>0</v>
      </c>
      <c r="K163">
        <v>50000</v>
      </c>
      <c r="L163" s="84" t="s">
        <v>2433</v>
      </c>
      <c r="M163">
        <v>4</v>
      </c>
      <c r="N163" s="84" t="s">
        <v>1127</v>
      </c>
      <c r="O163" s="84" t="s">
        <v>1128</v>
      </c>
    </row>
    <row r="164" spans="1:15" x14ac:dyDescent="0.25">
      <c r="A164" s="84" t="s">
        <v>187</v>
      </c>
      <c r="B164" s="84" t="s">
        <v>288</v>
      </c>
      <c r="C164" s="84" t="s">
        <v>289</v>
      </c>
      <c r="D164" s="84" t="s">
        <v>1748</v>
      </c>
      <c r="E164" s="70">
        <v>43666</v>
      </c>
      <c r="F164" s="84" t="s">
        <v>1611</v>
      </c>
      <c r="G164">
        <v>64000</v>
      </c>
      <c r="H164">
        <v>0</v>
      </c>
      <c r="I164">
        <v>0</v>
      </c>
      <c r="J164">
        <v>0</v>
      </c>
      <c r="K164">
        <v>64000</v>
      </c>
      <c r="L164" s="84" t="s">
        <v>1253</v>
      </c>
      <c r="M164">
        <v>4</v>
      </c>
      <c r="N164" s="84" t="s">
        <v>1127</v>
      </c>
      <c r="O164" s="84" t="s">
        <v>1128</v>
      </c>
    </row>
    <row r="165" spans="1:15" x14ac:dyDescent="0.25">
      <c r="A165" s="84" t="s">
        <v>187</v>
      </c>
      <c r="B165" s="84" t="s">
        <v>290</v>
      </c>
      <c r="C165" s="84" t="s">
        <v>2338</v>
      </c>
      <c r="D165" s="84" t="s">
        <v>1749</v>
      </c>
      <c r="E165" s="70">
        <v>43581</v>
      </c>
      <c r="F165" s="84" t="s">
        <v>1609</v>
      </c>
      <c r="G165">
        <v>0</v>
      </c>
      <c r="H165">
        <v>0</v>
      </c>
      <c r="I165">
        <v>0</v>
      </c>
      <c r="J165">
        <v>0</v>
      </c>
      <c r="K165">
        <v>0</v>
      </c>
      <c r="L165" s="84" t="s">
        <v>1218</v>
      </c>
      <c r="M165">
        <v>-1</v>
      </c>
      <c r="N165" s="84" t="s">
        <v>1127</v>
      </c>
      <c r="O165" s="84" t="s">
        <v>1128</v>
      </c>
    </row>
    <row r="166" spans="1:15" x14ac:dyDescent="0.25">
      <c r="A166" s="84" t="s">
        <v>74</v>
      </c>
      <c r="B166" s="84" t="s">
        <v>291</v>
      </c>
      <c r="C166" s="84" t="s">
        <v>292</v>
      </c>
      <c r="D166" s="84" t="s">
        <v>1746</v>
      </c>
      <c r="E166" s="70">
        <v>44483</v>
      </c>
      <c r="F166" s="84" t="s">
        <v>1611</v>
      </c>
      <c r="G166">
        <v>80000</v>
      </c>
      <c r="H166">
        <v>0</v>
      </c>
      <c r="I166">
        <v>0</v>
      </c>
      <c r="J166">
        <v>0</v>
      </c>
      <c r="K166">
        <v>80000</v>
      </c>
      <c r="L166" s="84" t="s">
        <v>1254</v>
      </c>
      <c r="M166">
        <v>4</v>
      </c>
      <c r="N166" s="84" t="s">
        <v>1127</v>
      </c>
      <c r="O166" s="84" t="s">
        <v>1128</v>
      </c>
    </row>
    <row r="167" spans="1:15" x14ac:dyDescent="0.25">
      <c r="A167" s="84" t="s">
        <v>238</v>
      </c>
      <c r="B167" s="84" t="s">
        <v>293</v>
      </c>
      <c r="C167" s="84" t="s">
        <v>294</v>
      </c>
      <c r="D167" s="84" t="s">
        <v>1750</v>
      </c>
      <c r="E167" s="70">
        <v>44485</v>
      </c>
      <c r="F167" s="84" t="s">
        <v>1611</v>
      </c>
      <c r="G167">
        <v>40000</v>
      </c>
      <c r="H167">
        <v>29</v>
      </c>
      <c r="I167">
        <v>29</v>
      </c>
      <c r="J167">
        <v>191</v>
      </c>
      <c r="K167">
        <v>39971</v>
      </c>
      <c r="L167" s="84" t="s">
        <v>1255</v>
      </c>
      <c r="M167">
        <v>4</v>
      </c>
      <c r="N167" s="84" t="s">
        <v>1127</v>
      </c>
      <c r="O167" s="84" t="s">
        <v>2398</v>
      </c>
    </row>
    <row r="168" spans="1:15" x14ac:dyDescent="0.25">
      <c r="A168" s="84" t="s">
        <v>187</v>
      </c>
      <c r="B168" s="84" t="s">
        <v>295</v>
      </c>
      <c r="C168" s="84" t="s">
        <v>296</v>
      </c>
      <c r="D168" s="84" t="s">
        <v>1751</v>
      </c>
      <c r="E168" s="70">
        <v>44486</v>
      </c>
      <c r="F168" s="84" t="s">
        <v>1609</v>
      </c>
      <c r="G168">
        <v>0</v>
      </c>
      <c r="H168">
        <v>0</v>
      </c>
      <c r="I168">
        <v>0</v>
      </c>
      <c r="J168">
        <v>0</v>
      </c>
      <c r="K168">
        <v>0</v>
      </c>
      <c r="L168" s="84" t="s">
        <v>1256</v>
      </c>
      <c r="M168">
        <v>-1</v>
      </c>
      <c r="N168" s="84" t="s">
        <v>1127</v>
      </c>
      <c r="O168" s="84" t="s">
        <v>1128</v>
      </c>
    </row>
    <row r="169" spans="1:15" x14ac:dyDescent="0.25">
      <c r="A169" s="84" t="s">
        <v>238</v>
      </c>
      <c r="B169" s="84" t="s">
        <v>297</v>
      </c>
      <c r="C169" s="84" t="s">
        <v>298</v>
      </c>
      <c r="D169" s="84" t="s">
        <v>1752</v>
      </c>
      <c r="E169" s="70">
        <v>44425</v>
      </c>
      <c r="F169" s="84" t="s">
        <v>1609</v>
      </c>
      <c r="G169">
        <v>0</v>
      </c>
      <c r="H169">
        <v>0</v>
      </c>
      <c r="I169">
        <v>0</v>
      </c>
      <c r="J169">
        <v>0</v>
      </c>
      <c r="K169">
        <v>0</v>
      </c>
      <c r="L169" s="84" t="s">
        <v>1257</v>
      </c>
      <c r="M169">
        <v>-1</v>
      </c>
      <c r="N169" s="84" t="s">
        <v>1127</v>
      </c>
      <c r="O169" s="84" t="s">
        <v>1128</v>
      </c>
    </row>
    <row r="170" spans="1:15" x14ac:dyDescent="0.25">
      <c r="A170" s="84" t="s">
        <v>187</v>
      </c>
      <c r="B170" s="84" t="s">
        <v>299</v>
      </c>
      <c r="C170" s="84" t="s">
        <v>2339</v>
      </c>
      <c r="D170" s="84"/>
      <c r="E170" s="70">
        <v>43589</v>
      </c>
      <c r="F170" s="84" t="s">
        <v>1609</v>
      </c>
      <c r="G170">
        <v>0</v>
      </c>
      <c r="H170">
        <v>0</v>
      </c>
      <c r="I170">
        <v>0</v>
      </c>
      <c r="J170">
        <v>0</v>
      </c>
      <c r="K170">
        <v>0</v>
      </c>
      <c r="L170" s="84" t="s">
        <v>1216</v>
      </c>
      <c r="M170">
        <v>-1</v>
      </c>
      <c r="N170" s="84" t="s">
        <v>1127</v>
      </c>
      <c r="O170" s="84" t="s">
        <v>1128</v>
      </c>
    </row>
    <row r="171" spans="1:15" x14ac:dyDescent="0.25">
      <c r="A171" s="84" t="s">
        <v>238</v>
      </c>
      <c r="B171" s="84" t="s">
        <v>300</v>
      </c>
      <c r="C171" s="84" t="s">
        <v>301</v>
      </c>
      <c r="D171" s="84" t="s">
        <v>1753</v>
      </c>
      <c r="E171" s="70">
        <v>43904</v>
      </c>
      <c r="F171" s="84" t="s">
        <v>1611</v>
      </c>
      <c r="G171">
        <v>70000</v>
      </c>
      <c r="H171">
        <v>36604</v>
      </c>
      <c r="I171">
        <v>11510</v>
      </c>
      <c r="J171">
        <v>73</v>
      </c>
      <c r="K171">
        <v>33396</v>
      </c>
      <c r="L171" s="84" t="s">
        <v>1258</v>
      </c>
      <c r="M171">
        <v>4</v>
      </c>
      <c r="N171" s="84" t="s">
        <v>1127</v>
      </c>
      <c r="O171" s="84" t="s">
        <v>2434</v>
      </c>
    </row>
    <row r="172" spans="1:15" x14ac:dyDescent="0.25">
      <c r="A172" s="84" t="s">
        <v>74</v>
      </c>
      <c r="B172" s="84" t="s">
        <v>302</v>
      </c>
      <c r="C172" s="84" t="s">
        <v>2251</v>
      </c>
      <c r="D172" s="84" t="s">
        <v>2252</v>
      </c>
      <c r="E172" s="70">
        <v>43592</v>
      </c>
      <c r="F172" s="84" t="s">
        <v>1611</v>
      </c>
      <c r="G172">
        <v>200000</v>
      </c>
      <c r="H172">
        <v>56855</v>
      </c>
      <c r="I172">
        <v>104245</v>
      </c>
      <c r="J172">
        <v>315</v>
      </c>
      <c r="K172">
        <v>143145</v>
      </c>
      <c r="L172" s="84" t="s">
        <v>1259</v>
      </c>
      <c r="M172">
        <v>4</v>
      </c>
      <c r="N172" s="84" t="s">
        <v>1127</v>
      </c>
      <c r="O172" s="84" t="s">
        <v>2435</v>
      </c>
    </row>
    <row r="173" spans="1:15" x14ac:dyDescent="0.25">
      <c r="A173" s="84" t="s">
        <v>74</v>
      </c>
      <c r="B173" s="84" t="s">
        <v>303</v>
      </c>
      <c r="C173" s="84" t="s">
        <v>304</v>
      </c>
      <c r="D173" s="84" t="s">
        <v>1754</v>
      </c>
      <c r="E173" s="70">
        <v>43983</v>
      </c>
      <c r="F173" s="84" t="s">
        <v>1609</v>
      </c>
      <c r="G173">
        <v>0</v>
      </c>
      <c r="H173">
        <v>0</v>
      </c>
      <c r="I173">
        <v>0</v>
      </c>
      <c r="J173">
        <v>0</v>
      </c>
      <c r="K173">
        <v>0</v>
      </c>
      <c r="L173" s="84" t="s">
        <v>1260</v>
      </c>
      <c r="M173">
        <v>-1</v>
      </c>
      <c r="N173" s="84" t="s">
        <v>1127</v>
      </c>
      <c r="O173" s="84" t="s">
        <v>1128</v>
      </c>
    </row>
    <row r="174" spans="1:15" x14ac:dyDescent="0.25">
      <c r="A174" s="84" t="s">
        <v>238</v>
      </c>
      <c r="B174" s="84" t="s">
        <v>305</v>
      </c>
      <c r="C174" s="84" t="s">
        <v>1755</v>
      </c>
      <c r="D174" s="84" t="s">
        <v>1756</v>
      </c>
      <c r="E174" s="70">
        <v>43598</v>
      </c>
      <c r="F174" s="84" t="s">
        <v>1611</v>
      </c>
      <c r="G174">
        <v>80000</v>
      </c>
      <c r="H174">
        <v>10296.91</v>
      </c>
      <c r="I174">
        <v>0</v>
      </c>
      <c r="J174">
        <v>0</v>
      </c>
      <c r="K174">
        <v>80000</v>
      </c>
      <c r="L174" s="84" t="s">
        <v>2158</v>
      </c>
      <c r="M174">
        <v>4</v>
      </c>
      <c r="N174" s="84" t="s">
        <v>1127</v>
      </c>
      <c r="O174" s="84" t="s">
        <v>1128</v>
      </c>
    </row>
    <row r="175" spans="1:15" x14ac:dyDescent="0.25">
      <c r="A175" s="84" t="s">
        <v>238</v>
      </c>
      <c r="B175" s="84" t="s">
        <v>306</v>
      </c>
      <c r="C175" s="84" t="s">
        <v>307</v>
      </c>
      <c r="D175" s="84" t="s">
        <v>1757</v>
      </c>
      <c r="E175" s="70">
        <v>43599</v>
      </c>
      <c r="F175" s="84" t="s">
        <v>1611</v>
      </c>
      <c r="G175">
        <v>200000</v>
      </c>
      <c r="H175">
        <v>110056</v>
      </c>
      <c r="I175">
        <v>23031</v>
      </c>
      <c r="J175">
        <v>77</v>
      </c>
      <c r="K175">
        <v>89944</v>
      </c>
      <c r="L175" s="84" t="s">
        <v>1261</v>
      </c>
      <c r="M175">
        <v>4</v>
      </c>
      <c r="N175" s="84" t="s">
        <v>1127</v>
      </c>
      <c r="O175" s="84" t="s">
        <v>2436</v>
      </c>
    </row>
    <row r="176" spans="1:15" x14ac:dyDescent="0.25">
      <c r="A176" s="84" t="s">
        <v>74</v>
      </c>
      <c r="B176" s="84" t="s">
        <v>308</v>
      </c>
      <c r="C176" s="84" t="s">
        <v>1262</v>
      </c>
      <c r="D176" s="84" t="s">
        <v>1758</v>
      </c>
      <c r="E176" s="70">
        <v>43983</v>
      </c>
      <c r="F176" s="84" t="s">
        <v>1611</v>
      </c>
      <c r="G176">
        <v>20000</v>
      </c>
      <c r="H176">
        <v>11084</v>
      </c>
      <c r="I176">
        <v>6547</v>
      </c>
      <c r="J176">
        <v>93</v>
      </c>
      <c r="K176">
        <v>8916</v>
      </c>
      <c r="L176" s="84" t="s">
        <v>1260</v>
      </c>
      <c r="M176">
        <v>4</v>
      </c>
      <c r="N176" s="84" t="s">
        <v>1127</v>
      </c>
      <c r="O176" s="84" t="s">
        <v>2437</v>
      </c>
    </row>
    <row r="177" spans="1:15" x14ac:dyDescent="0.25">
      <c r="A177" s="84" t="s">
        <v>74</v>
      </c>
      <c r="B177" s="84" t="s">
        <v>309</v>
      </c>
      <c r="C177" s="84" t="s">
        <v>1263</v>
      </c>
      <c r="D177" s="84" t="s">
        <v>1759</v>
      </c>
      <c r="E177" s="70">
        <v>43608</v>
      </c>
      <c r="F177" s="84" t="s">
        <v>1611</v>
      </c>
      <c r="G177">
        <v>35000</v>
      </c>
      <c r="H177">
        <v>20355</v>
      </c>
      <c r="I177">
        <v>0</v>
      </c>
      <c r="J177">
        <v>0</v>
      </c>
      <c r="K177">
        <v>35000</v>
      </c>
      <c r="L177" s="84" t="s">
        <v>1264</v>
      </c>
      <c r="M177">
        <v>4</v>
      </c>
      <c r="N177" s="84" t="s">
        <v>1127</v>
      </c>
      <c r="O177" s="84" t="s">
        <v>1128</v>
      </c>
    </row>
    <row r="178" spans="1:15" x14ac:dyDescent="0.25">
      <c r="A178" s="84" t="s">
        <v>187</v>
      </c>
      <c r="B178" s="84" t="s">
        <v>310</v>
      </c>
      <c r="C178" s="84" t="s">
        <v>2340</v>
      </c>
      <c r="D178" s="84" t="s">
        <v>1760</v>
      </c>
      <c r="E178" s="70">
        <v>43634</v>
      </c>
      <c r="F178" s="84" t="s">
        <v>1609</v>
      </c>
      <c r="G178">
        <v>0</v>
      </c>
      <c r="H178">
        <v>0</v>
      </c>
      <c r="I178">
        <v>0</v>
      </c>
      <c r="J178">
        <v>0</v>
      </c>
      <c r="K178">
        <v>0</v>
      </c>
      <c r="L178" s="84" t="s">
        <v>1265</v>
      </c>
      <c r="M178">
        <v>-1</v>
      </c>
      <c r="N178" s="84" t="s">
        <v>1127</v>
      </c>
      <c r="O178" s="84" t="s">
        <v>1128</v>
      </c>
    </row>
    <row r="179" spans="1:15" x14ac:dyDescent="0.25">
      <c r="A179" s="84" t="s">
        <v>187</v>
      </c>
      <c r="B179" s="84" t="s">
        <v>311</v>
      </c>
      <c r="C179" s="84" t="s">
        <v>312</v>
      </c>
      <c r="D179" s="84" t="s">
        <v>1761</v>
      </c>
      <c r="E179" s="70">
        <v>43645</v>
      </c>
      <c r="F179" s="84" t="s">
        <v>1609</v>
      </c>
      <c r="G179">
        <v>0</v>
      </c>
      <c r="H179">
        <v>0</v>
      </c>
      <c r="I179">
        <v>0</v>
      </c>
      <c r="J179">
        <v>0</v>
      </c>
      <c r="K179">
        <v>0</v>
      </c>
      <c r="L179" s="84" t="s">
        <v>1266</v>
      </c>
      <c r="M179">
        <v>-1</v>
      </c>
      <c r="N179" s="84" t="s">
        <v>1127</v>
      </c>
      <c r="O179" s="84" t="s">
        <v>1128</v>
      </c>
    </row>
    <row r="180" spans="1:15" x14ac:dyDescent="0.25">
      <c r="A180" s="84" t="s">
        <v>238</v>
      </c>
      <c r="B180" s="84" t="s">
        <v>313</v>
      </c>
      <c r="C180" s="84" t="s">
        <v>314</v>
      </c>
      <c r="D180" s="84" t="s">
        <v>1762</v>
      </c>
      <c r="E180" s="70">
        <v>43647</v>
      </c>
      <c r="F180" s="84" t="s">
        <v>1611</v>
      </c>
      <c r="G180">
        <v>24000</v>
      </c>
      <c r="H180">
        <v>0</v>
      </c>
      <c r="I180">
        <v>0</v>
      </c>
      <c r="J180">
        <v>0</v>
      </c>
      <c r="K180">
        <v>24000</v>
      </c>
      <c r="L180" s="84" t="s">
        <v>1267</v>
      </c>
      <c r="M180">
        <v>4</v>
      </c>
      <c r="N180" s="84" t="s">
        <v>1127</v>
      </c>
      <c r="O180" s="84" t="s">
        <v>1128</v>
      </c>
    </row>
    <row r="181" spans="1:15" x14ac:dyDescent="0.25">
      <c r="A181" s="84" t="s">
        <v>238</v>
      </c>
      <c r="B181" s="84" t="s">
        <v>315</v>
      </c>
      <c r="C181" s="84" t="s">
        <v>316</v>
      </c>
      <c r="D181" s="84" t="s">
        <v>1763</v>
      </c>
      <c r="E181" s="70">
        <v>43647</v>
      </c>
      <c r="F181" s="84" t="s">
        <v>1609</v>
      </c>
      <c r="G181">
        <v>0</v>
      </c>
      <c r="H181">
        <v>0</v>
      </c>
      <c r="I181">
        <v>0</v>
      </c>
      <c r="J181">
        <v>0</v>
      </c>
      <c r="K181">
        <v>0</v>
      </c>
      <c r="L181" s="84" t="s">
        <v>1267</v>
      </c>
      <c r="M181">
        <v>-1</v>
      </c>
      <c r="N181" s="84" t="s">
        <v>1127</v>
      </c>
      <c r="O181" s="84" t="s">
        <v>1128</v>
      </c>
    </row>
    <row r="182" spans="1:15" x14ac:dyDescent="0.25">
      <c r="A182" s="84" t="s">
        <v>187</v>
      </c>
      <c r="B182" s="84" t="s">
        <v>317</v>
      </c>
      <c r="C182" s="84" t="s">
        <v>318</v>
      </c>
      <c r="D182" s="84" t="s">
        <v>1764</v>
      </c>
      <c r="E182" s="70">
        <v>43650</v>
      </c>
      <c r="F182" s="84" t="s">
        <v>1611</v>
      </c>
      <c r="G182">
        <v>50000</v>
      </c>
      <c r="H182">
        <v>51089.21</v>
      </c>
      <c r="I182">
        <v>9426.2099999999991</v>
      </c>
      <c r="J182">
        <v>61</v>
      </c>
      <c r="K182">
        <v>-1089.21</v>
      </c>
      <c r="L182" s="84" t="s">
        <v>1268</v>
      </c>
      <c r="M182">
        <v>4</v>
      </c>
      <c r="N182" s="84" t="s">
        <v>1240</v>
      </c>
      <c r="O182" s="84" t="s">
        <v>2438</v>
      </c>
    </row>
    <row r="183" spans="1:15" x14ac:dyDescent="0.25">
      <c r="A183" s="84" t="s">
        <v>238</v>
      </c>
      <c r="B183" s="84" t="s">
        <v>319</v>
      </c>
      <c r="C183" s="84" t="s">
        <v>320</v>
      </c>
      <c r="D183" s="84" t="s">
        <v>1765</v>
      </c>
      <c r="E183" s="70">
        <v>43659</v>
      </c>
      <c r="F183" s="84" t="s">
        <v>1611</v>
      </c>
      <c r="G183">
        <v>50000</v>
      </c>
      <c r="H183">
        <v>10338</v>
      </c>
      <c r="I183">
        <v>3354</v>
      </c>
      <c r="J183">
        <v>61</v>
      </c>
      <c r="K183">
        <v>39662</v>
      </c>
      <c r="L183" s="84" t="s">
        <v>1269</v>
      </c>
      <c r="M183">
        <v>4</v>
      </c>
      <c r="N183" s="84" t="s">
        <v>1127</v>
      </c>
      <c r="O183" s="84" t="s">
        <v>2439</v>
      </c>
    </row>
    <row r="184" spans="1:15" x14ac:dyDescent="0.25">
      <c r="A184" s="84" t="s">
        <v>74</v>
      </c>
      <c r="B184" s="84" t="s">
        <v>321</v>
      </c>
      <c r="C184" s="84" t="s">
        <v>322</v>
      </c>
      <c r="D184" s="84" t="s">
        <v>1766</v>
      </c>
      <c r="E184" s="70">
        <v>43674</v>
      </c>
      <c r="F184" s="84" t="s">
        <v>1611</v>
      </c>
      <c r="G184">
        <v>240000</v>
      </c>
      <c r="H184">
        <v>5834</v>
      </c>
      <c r="I184">
        <v>4187</v>
      </c>
      <c r="J184">
        <v>90</v>
      </c>
      <c r="K184">
        <v>234166</v>
      </c>
      <c r="L184" s="84" t="s">
        <v>1270</v>
      </c>
      <c r="M184">
        <v>4</v>
      </c>
      <c r="N184" s="84" t="s">
        <v>1127</v>
      </c>
      <c r="O184" s="84" t="s">
        <v>2440</v>
      </c>
    </row>
    <row r="185" spans="1:15" x14ac:dyDescent="0.25">
      <c r="A185" s="84" t="s">
        <v>74</v>
      </c>
      <c r="B185" s="84" t="s">
        <v>323</v>
      </c>
      <c r="C185" s="84" t="s">
        <v>324</v>
      </c>
      <c r="D185" s="84" t="s">
        <v>1767</v>
      </c>
      <c r="E185" s="70">
        <v>43674</v>
      </c>
      <c r="F185" s="84" t="s">
        <v>1611</v>
      </c>
      <c r="G185">
        <v>80000</v>
      </c>
      <c r="H185">
        <v>27347</v>
      </c>
      <c r="I185">
        <v>15272</v>
      </c>
      <c r="J185">
        <v>77</v>
      </c>
      <c r="K185">
        <v>52653</v>
      </c>
      <c r="L185" s="84" t="s">
        <v>1270</v>
      </c>
      <c r="M185">
        <v>4</v>
      </c>
      <c r="N185" s="84" t="s">
        <v>1127</v>
      </c>
      <c r="O185" s="84" t="s">
        <v>2441</v>
      </c>
    </row>
    <row r="186" spans="1:15" x14ac:dyDescent="0.25">
      <c r="A186" s="84" t="s">
        <v>74</v>
      </c>
      <c r="B186" s="84" t="s">
        <v>325</v>
      </c>
      <c r="C186" s="84" t="s">
        <v>326</v>
      </c>
      <c r="D186" s="84" t="s">
        <v>1767</v>
      </c>
      <c r="E186" s="70">
        <v>43674</v>
      </c>
      <c r="F186" s="84" t="s">
        <v>1611</v>
      </c>
      <c r="G186">
        <v>30000</v>
      </c>
      <c r="H186">
        <v>604</v>
      </c>
      <c r="I186">
        <v>604</v>
      </c>
      <c r="J186">
        <v>77</v>
      </c>
      <c r="K186">
        <v>29396</v>
      </c>
      <c r="L186" s="84" t="s">
        <v>1270</v>
      </c>
      <c r="M186">
        <v>4</v>
      </c>
      <c r="N186" s="84" t="s">
        <v>1127</v>
      </c>
      <c r="O186" s="84" t="s">
        <v>2442</v>
      </c>
    </row>
    <row r="187" spans="1:15" x14ac:dyDescent="0.25">
      <c r="A187" s="84" t="s">
        <v>238</v>
      </c>
      <c r="B187" s="84" t="s">
        <v>327</v>
      </c>
      <c r="C187" s="84" t="s">
        <v>328</v>
      </c>
      <c r="D187" s="84" t="s">
        <v>1767</v>
      </c>
      <c r="E187" s="70">
        <v>43674</v>
      </c>
      <c r="F187" s="84" t="s">
        <v>1611</v>
      </c>
      <c r="G187">
        <v>80000</v>
      </c>
      <c r="H187">
        <v>6574</v>
      </c>
      <c r="I187">
        <v>3436</v>
      </c>
      <c r="J187">
        <v>76</v>
      </c>
      <c r="K187">
        <v>73426</v>
      </c>
      <c r="L187" s="84" t="s">
        <v>1271</v>
      </c>
      <c r="M187">
        <v>4</v>
      </c>
      <c r="N187" s="84" t="s">
        <v>1127</v>
      </c>
      <c r="O187" s="84" t="s">
        <v>2443</v>
      </c>
    </row>
    <row r="188" spans="1:15" x14ac:dyDescent="0.25">
      <c r="A188" s="84" t="s">
        <v>187</v>
      </c>
      <c r="B188" s="84" t="s">
        <v>1272</v>
      </c>
      <c r="C188" s="84" t="s">
        <v>1273</v>
      </c>
      <c r="D188" s="84" t="s">
        <v>1768</v>
      </c>
      <c r="E188" s="70">
        <v>43680</v>
      </c>
      <c r="F188" s="84" t="s">
        <v>1609</v>
      </c>
      <c r="G188">
        <v>0</v>
      </c>
      <c r="H188">
        <v>1577</v>
      </c>
      <c r="I188">
        <v>1577</v>
      </c>
      <c r="J188">
        <v>280</v>
      </c>
      <c r="K188">
        <v>-1577</v>
      </c>
      <c r="L188" s="84" t="s">
        <v>1274</v>
      </c>
      <c r="M188">
        <v>-1</v>
      </c>
      <c r="N188" s="84" t="s">
        <v>1240</v>
      </c>
      <c r="O188" s="84" t="s">
        <v>2341</v>
      </c>
    </row>
    <row r="189" spans="1:15" x14ac:dyDescent="0.25">
      <c r="A189" s="84" t="s">
        <v>238</v>
      </c>
      <c r="B189" s="84" t="s">
        <v>1275</v>
      </c>
      <c r="C189" s="84" t="s">
        <v>1276</v>
      </c>
      <c r="D189" s="84" t="s">
        <v>1769</v>
      </c>
      <c r="E189" s="70">
        <v>43680</v>
      </c>
      <c r="F189" s="84" t="s">
        <v>1609</v>
      </c>
      <c r="G189">
        <v>0</v>
      </c>
      <c r="H189">
        <v>4149</v>
      </c>
      <c r="I189">
        <v>4149</v>
      </c>
      <c r="J189">
        <v>399</v>
      </c>
      <c r="K189">
        <v>-4149</v>
      </c>
      <c r="L189" s="84" t="s">
        <v>1277</v>
      </c>
      <c r="M189">
        <v>-1</v>
      </c>
      <c r="N189" s="84" t="s">
        <v>1240</v>
      </c>
      <c r="O189" s="84" t="s">
        <v>2399</v>
      </c>
    </row>
    <row r="190" spans="1:15" x14ac:dyDescent="0.25">
      <c r="A190" s="84" t="s">
        <v>238</v>
      </c>
      <c r="B190" s="84" t="s">
        <v>329</v>
      </c>
      <c r="C190" s="84" t="s">
        <v>330</v>
      </c>
      <c r="D190" s="84" t="s">
        <v>1770</v>
      </c>
      <c r="E190" s="70">
        <v>43691</v>
      </c>
      <c r="F190" s="84" t="s">
        <v>1611</v>
      </c>
      <c r="G190">
        <v>40000</v>
      </c>
      <c r="H190">
        <v>0</v>
      </c>
      <c r="I190">
        <v>0</v>
      </c>
      <c r="J190">
        <v>0</v>
      </c>
      <c r="K190">
        <v>40000</v>
      </c>
      <c r="L190" s="84" t="s">
        <v>1278</v>
      </c>
      <c r="M190">
        <v>4</v>
      </c>
      <c r="N190" s="84" t="s">
        <v>1127</v>
      </c>
      <c r="O190" s="84" t="s">
        <v>1128</v>
      </c>
    </row>
    <row r="191" spans="1:15" x14ac:dyDescent="0.25">
      <c r="A191" s="84" t="s">
        <v>238</v>
      </c>
      <c r="B191" s="84" t="s">
        <v>331</v>
      </c>
      <c r="C191" s="84" t="s">
        <v>332</v>
      </c>
      <c r="D191" s="84" t="s">
        <v>1770</v>
      </c>
      <c r="E191" s="70">
        <v>43691</v>
      </c>
      <c r="F191" s="84" t="s">
        <v>1611</v>
      </c>
      <c r="G191">
        <v>40000</v>
      </c>
      <c r="H191">
        <v>0</v>
      </c>
      <c r="I191">
        <v>0</v>
      </c>
      <c r="J191">
        <v>0</v>
      </c>
      <c r="K191">
        <v>40000</v>
      </c>
      <c r="L191" s="84" t="s">
        <v>1278</v>
      </c>
      <c r="M191">
        <v>4</v>
      </c>
      <c r="N191" s="84" t="s">
        <v>1127</v>
      </c>
      <c r="O191" s="84" t="s">
        <v>1128</v>
      </c>
    </row>
    <row r="192" spans="1:15" x14ac:dyDescent="0.25">
      <c r="A192" s="84" t="s">
        <v>238</v>
      </c>
      <c r="B192" s="84" t="s">
        <v>333</v>
      </c>
      <c r="C192" s="84" t="s">
        <v>334</v>
      </c>
      <c r="D192" s="84" t="s">
        <v>1770</v>
      </c>
      <c r="E192" s="70">
        <v>43691</v>
      </c>
      <c r="F192" s="84" t="s">
        <v>1611</v>
      </c>
      <c r="G192">
        <v>16000</v>
      </c>
      <c r="H192">
        <v>0</v>
      </c>
      <c r="I192">
        <v>0</v>
      </c>
      <c r="J192">
        <v>0</v>
      </c>
      <c r="K192">
        <v>16000</v>
      </c>
      <c r="L192" s="84" t="s">
        <v>1278</v>
      </c>
      <c r="M192">
        <v>4</v>
      </c>
      <c r="N192" s="84" t="s">
        <v>1127</v>
      </c>
      <c r="O192" s="84" t="s">
        <v>1128</v>
      </c>
    </row>
    <row r="193" spans="1:15" x14ac:dyDescent="0.25">
      <c r="A193" s="84" t="s">
        <v>238</v>
      </c>
      <c r="B193" s="84" t="s">
        <v>335</v>
      </c>
      <c r="C193" s="84" t="s">
        <v>336</v>
      </c>
      <c r="D193" s="84" t="s">
        <v>1771</v>
      </c>
      <c r="E193" s="70">
        <v>43717</v>
      </c>
      <c r="F193" s="84" t="s">
        <v>2342</v>
      </c>
      <c r="G193">
        <v>300000</v>
      </c>
      <c r="H193">
        <v>258737.99</v>
      </c>
      <c r="I193">
        <v>137941.99</v>
      </c>
      <c r="J193">
        <v>92</v>
      </c>
      <c r="K193">
        <v>41262.01</v>
      </c>
      <c r="L193" s="84" t="s">
        <v>1279</v>
      </c>
      <c r="M193">
        <v>6</v>
      </c>
      <c r="N193" s="84" t="s">
        <v>1127</v>
      </c>
      <c r="O193" s="84" t="s">
        <v>2444</v>
      </c>
    </row>
    <row r="194" spans="1:15" x14ac:dyDescent="0.25">
      <c r="A194" s="84" t="s">
        <v>238</v>
      </c>
      <c r="B194" s="84" t="s">
        <v>337</v>
      </c>
      <c r="C194" s="84" t="s">
        <v>338</v>
      </c>
      <c r="D194" s="84" t="s">
        <v>2159</v>
      </c>
      <c r="E194" s="70">
        <v>43717</v>
      </c>
      <c r="F194" s="84" t="s">
        <v>1611</v>
      </c>
      <c r="G194">
        <v>50000</v>
      </c>
      <c r="H194">
        <v>0</v>
      </c>
      <c r="I194">
        <v>0</v>
      </c>
      <c r="J194">
        <v>0</v>
      </c>
      <c r="K194">
        <v>50000</v>
      </c>
      <c r="L194" s="84" t="s">
        <v>1279</v>
      </c>
      <c r="M194">
        <v>4</v>
      </c>
      <c r="N194" s="84" t="s">
        <v>1127</v>
      </c>
      <c r="O194" s="84" t="s">
        <v>1128</v>
      </c>
    </row>
    <row r="195" spans="1:15" x14ac:dyDescent="0.25">
      <c r="A195" s="84" t="s">
        <v>238</v>
      </c>
      <c r="B195" s="84" t="s">
        <v>339</v>
      </c>
      <c r="C195" s="84" t="s">
        <v>340</v>
      </c>
      <c r="D195" s="84"/>
      <c r="E195" s="70">
        <v>43723</v>
      </c>
      <c r="F195" s="84" t="s">
        <v>1611</v>
      </c>
      <c r="G195">
        <v>40000</v>
      </c>
      <c r="H195">
        <v>0</v>
      </c>
      <c r="I195">
        <v>0</v>
      </c>
      <c r="J195">
        <v>0</v>
      </c>
      <c r="K195">
        <v>40000</v>
      </c>
      <c r="L195" s="84" t="s">
        <v>1280</v>
      </c>
      <c r="M195">
        <v>4</v>
      </c>
      <c r="N195" s="84" t="s">
        <v>1127</v>
      </c>
      <c r="O195" s="84" t="s">
        <v>1128</v>
      </c>
    </row>
    <row r="196" spans="1:15" x14ac:dyDescent="0.25">
      <c r="A196" s="84" t="s">
        <v>238</v>
      </c>
      <c r="B196" s="84" t="s">
        <v>341</v>
      </c>
      <c r="C196" s="84" t="s">
        <v>342</v>
      </c>
      <c r="D196" s="84" t="s">
        <v>1759</v>
      </c>
      <c r="E196" s="70">
        <v>43736</v>
      </c>
      <c r="F196" s="84" t="s">
        <v>1611</v>
      </c>
      <c r="G196">
        <v>35000</v>
      </c>
      <c r="H196">
        <v>1</v>
      </c>
      <c r="I196">
        <v>1</v>
      </c>
      <c r="J196">
        <v>281</v>
      </c>
      <c r="K196">
        <v>34999</v>
      </c>
      <c r="L196" s="84" t="s">
        <v>1281</v>
      </c>
      <c r="M196">
        <v>4</v>
      </c>
      <c r="N196" s="84" t="s">
        <v>1127</v>
      </c>
      <c r="O196" s="84" t="s">
        <v>1282</v>
      </c>
    </row>
    <row r="197" spans="1:15" x14ac:dyDescent="0.25">
      <c r="A197" s="84" t="s">
        <v>238</v>
      </c>
      <c r="B197" s="84" t="s">
        <v>343</v>
      </c>
      <c r="C197" s="84" t="s">
        <v>344</v>
      </c>
      <c r="D197" s="84" t="s">
        <v>1772</v>
      </c>
      <c r="E197" s="70">
        <v>43736</v>
      </c>
      <c r="F197" s="84" t="s">
        <v>1611</v>
      </c>
      <c r="G197">
        <v>160000</v>
      </c>
      <c r="H197">
        <v>3152</v>
      </c>
      <c r="I197">
        <v>1170</v>
      </c>
      <c r="J197">
        <v>182</v>
      </c>
      <c r="K197">
        <v>156848</v>
      </c>
      <c r="L197" s="84" t="s">
        <v>1281</v>
      </c>
      <c r="M197">
        <v>4</v>
      </c>
      <c r="N197" s="84" t="s">
        <v>1127</v>
      </c>
      <c r="O197" s="84" t="s">
        <v>2280</v>
      </c>
    </row>
    <row r="198" spans="1:15" x14ac:dyDescent="0.25">
      <c r="A198" s="84" t="s">
        <v>238</v>
      </c>
      <c r="B198" s="84" t="s">
        <v>345</v>
      </c>
      <c r="C198" s="84" t="s">
        <v>346</v>
      </c>
      <c r="D198" s="84" t="s">
        <v>1773</v>
      </c>
      <c r="E198" s="70">
        <v>43745</v>
      </c>
      <c r="F198" s="84" t="s">
        <v>1611</v>
      </c>
      <c r="G198">
        <v>50000</v>
      </c>
      <c r="H198">
        <v>1956</v>
      </c>
      <c r="I198">
        <v>766</v>
      </c>
      <c r="J198">
        <v>64</v>
      </c>
      <c r="K198">
        <v>48044</v>
      </c>
      <c r="L198" s="84" t="s">
        <v>1283</v>
      </c>
      <c r="M198">
        <v>4</v>
      </c>
      <c r="N198" s="84" t="s">
        <v>1127</v>
      </c>
      <c r="O198" s="84" t="s">
        <v>2445</v>
      </c>
    </row>
    <row r="199" spans="1:15" x14ac:dyDescent="0.25">
      <c r="A199" s="84" t="s">
        <v>74</v>
      </c>
      <c r="B199" s="84" t="s">
        <v>347</v>
      </c>
      <c r="C199" s="84" t="s">
        <v>348</v>
      </c>
      <c r="D199" s="84" t="s">
        <v>1765</v>
      </c>
      <c r="E199" s="70">
        <v>43745</v>
      </c>
      <c r="F199" s="84" t="s">
        <v>1611</v>
      </c>
      <c r="G199">
        <v>50000</v>
      </c>
      <c r="H199">
        <v>8842</v>
      </c>
      <c r="I199">
        <v>0</v>
      </c>
      <c r="J199">
        <v>0</v>
      </c>
      <c r="K199">
        <v>50000</v>
      </c>
      <c r="L199" s="84" t="s">
        <v>1284</v>
      </c>
      <c r="M199">
        <v>4</v>
      </c>
      <c r="N199" s="84" t="s">
        <v>1127</v>
      </c>
      <c r="O199" s="84" t="s">
        <v>1128</v>
      </c>
    </row>
    <row r="200" spans="1:15" x14ac:dyDescent="0.25">
      <c r="A200" s="84" t="s">
        <v>74</v>
      </c>
      <c r="B200" s="84" t="s">
        <v>349</v>
      </c>
      <c r="C200" s="84" t="s">
        <v>350</v>
      </c>
      <c r="D200" s="84" t="s">
        <v>1774</v>
      </c>
      <c r="E200" s="70">
        <v>43745</v>
      </c>
      <c r="F200" s="84" t="s">
        <v>1611</v>
      </c>
      <c r="G200">
        <v>80000</v>
      </c>
      <c r="H200">
        <v>1052</v>
      </c>
      <c r="I200">
        <v>0</v>
      </c>
      <c r="J200">
        <v>0</v>
      </c>
      <c r="K200">
        <v>80000</v>
      </c>
      <c r="L200" s="84" t="s">
        <v>1284</v>
      </c>
      <c r="M200">
        <v>4</v>
      </c>
      <c r="N200" s="84" t="s">
        <v>1127</v>
      </c>
      <c r="O200" s="84" t="s">
        <v>1128</v>
      </c>
    </row>
    <row r="201" spans="1:15" x14ac:dyDescent="0.25">
      <c r="A201" s="84" t="s">
        <v>238</v>
      </c>
      <c r="B201" s="84" t="s">
        <v>351</v>
      </c>
      <c r="C201" s="84" t="s">
        <v>352</v>
      </c>
      <c r="D201" s="84" t="s">
        <v>1775</v>
      </c>
      <c r="E201" s="70">
        <v>43747</v>
      </c>
      <c r="F201" s="84" t="s">
        <v>1611</v>
      </c>
      <c r="G201">
        <v>80000</v>
      </c>
      <c r="H201">
        <v>0</v>
      </c>
      <c r="I201">
        <v>0</v>
      </c>
      <c r="J201">
        <v>0</v>
      </c>
      <c r="K201">
        <v>80000</v>
      </c>
      <c r="L201" s="84" t="s">
        <v>1285</v>
      </c>
      <c r="M201">
        <v>4</v>
      </c>
      <c r="N201" s="84" t="s">
        <v>1127</v>
      </c>
      <c r="O201" s="84" t="s">
        <v>1128</v>
      </c>
    </row>
    <row r="202" spans="1:15" x14ac:dyDescent="0.25">
      <c r="A202" s="84" t="s">
        <v>6</v>
      </c>
      <c r="B202" s="84" t="s">
        <v>353</v>
      </c>
      <c r="C202" s="84" t="s">
        <v>354</v>
      </c>
      <c r="D202" s="84" t="s">
        <v>1776</v>
      </c>
      <c r="E202" s="70">
        <v>43757</v>
      </c>
      <c r="F202" s="84" t="s">
        <v>1611</v>
      </c>
      <c r="G202">
        <v>240000</v>
      </c>
      <c r="H202">
        <v>0</v>
      </c>
      <c r="I202">
        <v>0</v>
      </c>
      <c r="J202">
        <v>0</v>
      </c>
      <c r="K202">
        <v>240000</v>
      </c>
      <c r="L202" s="84" t="s">
        <v>1286</v>
      </c>
      <c r="M202">
        <v>4</v>
      </c>
      <c r="N202" s="84" t="s">
        <v>1127</v>
      </c>
      <c r="O202" s="84" t="s">
        <v>1128</v>
      </c>
    </row>
    <row r="203" spans="1:15" x14ac:dyDescent="0.25">
      <c r="A203" s="84" t="s">
        <v>238</v>
      </c>
      <c r="B203" s="84" t="s">
        <v>355</v>
      </c>
      <c r="C203" s="84" t="s">
        <v>356</v>
      </c>
      <c r="D203" s="84" t="s">
        <v>1777</v>
      </c>
      <c r="E203" s="70">
        <v>43766</v>
      </c>
      <c r="F203" s="84" t="s">
        <v>1611</v>
      </c>
      <c r="G203">
        <v>80000</v>
      </c>
      <c r="H203">
        <v>4038</v>
      </c>
      <c r="I203">
        <v>4038</v>
      </c>
      <c r="J203">
        <v>208</v>
      </c>
      <c r="K203">
        <v>75962</v>
      </c>
      <c r="L203" s="84" t="s">
        <v>1287</v>
      </c>
      <c r="M203">
        <v>4</v>
      </c>
      <c r="N203" s="84" t="s">
        <v>1127</v>
      </c>
      <c r="O203" s="84" t="s">
        <v>2446</v>
      </c>
    </row>
    <row r="204" spans="1:15" x14ac:dyDescent="0.25">
      <c r="A204" s="84" t="s">
        <v>74</v>
      </c>
      <c r="B204" s="84" t="s">
        <v>357</v>
      </c>
      <c r="C204" s="84" t="s">
        <v>358</v>
      </c>
      <c r="D204" s="84" t="s">
        <v>1778</v>
      </c>
      <c r="E204" s="70">
        <v>43836</v>
      </c>
      <c r="F204" s="84" t="s">
        <v>1611</v>
      </c>
      <c r="G204">
        <v>100000</v>
      </c>
      <c r="H204">
        <v>42047</v>
      </c>
      <c r="I204">
        <v>4723</v>
      </c>
      <c r="J204">
        <v>63</v>
      </c>
      <c r="K204">
        <v>57953</v>
      </c>
      <c r="L204" s="84" t="s">
        <v>1288</v>
      </c>
      <c r="M204">
        <v>4</v>
      </c>
      <c r="N204" s="84" t="s">
        <v>1127</v>
      </c>
      <c r="O204" s="84" t="s">
        <v>2447</v>
      </c>
    </row>
    <row r="205" spans="1:15" x14ac:dyDescent="0.25">
      <c r="A205" s="84" t="s">
        <v>238</v>
      </c>
      <c r="B205" s="84" t="s">
        <v>359</v>
      </c>
      <c r="C205" s="84" t="s">
        <v>360</v>
      </c>
      <c r="D205" s="84" t="s">
        <v>1779</v>
      </c>
      <c r="E205" s="70">
        <v>44581</v>
      </c>
      <c r="F205" s="84" t="s">
        <v>1611</v>
      </c>
      <c r="G205">
        <v>50000</v>
      </c>
      <c r="H205">
        <v>2480</v>
      </c>
      <c r="I205">
        <v>942</v>
      </c>
      <c r="J205">
        <v>87</v>
      </c>
      <c r="K205">
        <v>47520</v>
      </c>
      <c r="L205" s="84" t="s">
        <v>1289</v>
      </c>
      <c r="M205">
        <v>4</v>
      </c>
      <c r="N205" s="84" t="s">
        <v>1127</v>
      </c>
      <c r="O205" s="84" t="s">
        <v>2448</v>
      </c>
    </row>
    <row r="206" spans="1:15" x14ac:dyDescent="0.25">
      <c r="A206" s="84" t="s">
        <v>74</v>
      </c>
      <c r="B206" s="84" t="s">
        <v>361</v>
      </c>
      <c r="C206" s="84" t="s">
        <v>362</v>
      </c>
      <c r="D206" s="84" t="s">
        <v>1780</v>
      </c>
      <c r="E206" s="70">
        <v>44598</v>
      </c>
      <c r="F206" s="84" t="s">
        <v>1609</v>
      </c>
      <c r="G206">
        <v>0</v>
      </c>
      <c r="H206">
        <v>0</v>
      </c>
      <c r="I206">
        <v>0</v>
      </c>
      <c r="J206">
        <v>0</v>
      </c>
      <c r="K206">
        <v>0</v>
      </c>
      <c r="L206" s="84" t="s">
        <v>1290</v>
      </c>
      <c r="M206">
        <v>-1</v>
      </c>
      <c r="N206" s="84" t="s">
        <v>1127</v>
      </c>
      <c r="O206" s="84" t="s">
        <v>1128</v>
      </c>
    </row>
    <row r="207" spans="1:15" x14ac:dyDescent="0.25">
      <c r="A207" s="84" t="s">
        <v>238</v>
      </c>
      <c r="B207" s="84" t="s">
        <v>363</v>
      </c>
      <c r="C207" s="84" t="s">
        <v>364</v>
      </c>
      <c r="D207" s="84" t="s">
        <v>1781</v>
      </c>
      <c r="E207" s="70">
        <v>44601</v>
      </c>
      <c r="F207" s="84" t="s">
        <v>1609</v>
      </c>
      <c r="G207">
        <v>0</v>
      </c>
      <c r="H207">
        <v>0</v>
      </c>
      <c r="I207">
        <v>0</v>
      </c>
      <c r="J207">
        <v>0</v>
      </c>
      <c r="K207">
        <v>0</v>
      </c>
      <c r="L207" s="84" t="s">
        <v>1291</v>
      </c>
      <c r="M207">
        <v>-1</v>
      </c>
      <c r="N207" s="84" t="s">
        <v>1127</v>
      </c>
      <c r="O207" s="84" t="s">
        <v>1128</v>
      </c>
    </row>
    <row r="208" spans="1:15" x14ac:dyDescent="0.25">
      <c r="A208" s="84" t="s">
        <v>74</v>
      </c>
      <c r="B208" s="84" t="s">
        <v>365</v>
      </c>
      <c r="C208" s="84" t="s">
        <v>366</v>
      </c>
      <c r="D208" s="84" t="s">
        <v>1778</v>
      </c>
      <c r="E208" s="70">
        <v>44615</v>
      </c>
      <c r="F208" s="84" t="s">
        <v>1611</v>
      </c>
      <c r="G208">
        <v>50000</v>
      </c>
      <c r="H208">
        <v>42473</v>
      </c>
      <c r="I208">
        <v>42473</v>
      </c>
      <c r="J208">
        <v>134</v>
      </c>
      <c r="K208">
        <v>7527</v>
      </c>
      <c r="L208" s="84" t="s">
        <v>1292</v>
      </c>
      <c r="M208">
        <v>4</v>
      </c>
      <c r="N208" s="84" t="s">
        <v>1127</v>
      </c>
      <c r="O208" s="84" t="s">
        <v>2343</v>
      </c>
    </row>
    <row r="209" spans="1:15" x14ac:dyDescent="0.25">
      <c r="A209" s="84" t="s">
        <v>238</v>
      </c>
      <c r="B209" s="84" t="s">
        <v>367</v>
      </c>
      <c r="C209" s="84" t="s">
        <v>368</v>
      </c>
      <c r="D209" s="84" t="s">
        <v>1782</v>
      </c>
      <c r="E209" s="70">
        <v>44622</v>
      </c>
      <c r="F209" s="84" t="s">
        <v>1609</v>
      </c>
      <c r="G209">
        <v>0</v>
      </c>
      <c r="H209">
        <v>0</v>
      </c>
      <c r="I209">
        <v>0</v>
      </c>
      <c r="J209">
        <v>0</v>
      </c>
      <c r="K209">
        <v>0</v>
      </c>
      <c r="L209" s="84" t="s">
        <v>1293</v>
      </c>
      <c r="M209">
        <v>-1</v>
      </c>
      <c r="N209" s="84" t="s">
        <v>1127</v>
      </c>
      <c r="O209" s="84" t="s">
        <v>1128</v>
      </c>
    </row>
    <row r="210" spans="1:15" x14ac:dyDescent="0.25">
      <c r="A210" s="84" t="s">
        <v>238</v>
      </c>
      <c r="B210" s="84" t="s">
        <v>369</v>
      </c>
      <c r="C210" s="84" t="s">
        <v>370</v>
      </c>
      <c r="D210" s="84" t="s">
        <v>1783</v>
      </c>
      <c r="E210" s="70">
        <v>44625</v>
      </c>
      <c r="F210" s="84" t="s">
        <v>1611</v>
      </c>
      <c r="G210">
        <v>80000</v>
      </c>
      <c r="H210">
        <v>670</v>
      </c>
      <c r="I210">
        <v>0</v>
      </c>
      <c r="J210">
        <v>0</v>
      </c>
      <c r="K210">
        <v>80000</v>
      </c>
      <c r="L210" s="84" t="s">
        <v>1294</v>
      </c>
      <c r="M210">
        <v>4</v>
      </c>
      <c r="N210" s="84" t="s">
        <v>1127</v>
      </c>
      <c r="O210" s="84" t="s">
        <v>1128</v>
      </c>
    </row>
    <row r="211" spans="1:15" x14ac:dyDescent="0.25">
      <c r="A211" s="84" t="s">
        <v>74</v>
      </c>
      <c r="B211" s="84" t="s">
        <v>371</v>
      </c>
      <c r="C211" s="84" t="s">
        <v>372</v>
      </c>
      <c r="D211" s="84" t="s">
        <v>1784</v>
      </c>
      <c r="E211" s="70">
        <v>44633</v>
      </c>
      <c r="F211" s="84" t="s">
        <v>1609</v>
      </c>
      <c r="G211">
        <v>0</v>
      </c>
      <c r="H211">
        <v>0</v>
      </c>
      <c r="I211">
        <v>0</v>
      </c>
      <c r="J211">
        <v>0</v>
      </c>
      <c r="K211">
        <v>0</v>
      </c>
      <c r="L211" s="84" t="s">
        <v>1295</v>
      </c>
      <c r="M211">
        <v>-1</v>
      </c>
      <c r="N211" s="84" t="s">
        <v>1127</v>
      </c>
      <c r="O211" s="84" t="s">
        <v>1128</v>
      </c>
    </row>
    <row r="212" spans="1:15" x14ac:dyDescent="0.25">
      <c r="A212" s="84" t="s">
        <v>238</v>
      </c>
      <c r="B212" s="84" t="s">
        <v>373</v>
      </c>
      <c r="C212" s="84" t="s">
        <v>374</v>
      </c>
      <c r="D212" s="84" t="s">
        <v>1785</v>
      </c>
      <c r="E212" s="70">
        <v>44640</v>
      </c>
      <c r="F212" s="84" t="s">
        <v>1609</v>
      </c>
      <c r="G212">
        <v>0</v>
      </c>
      <c r="H212">
        <v>0</v>
      </c>
      <c r="I212">
        <v>0</v>
      </c>
      <c r="J212">
        <v>0</v>
      </c>
      <c r="K212">
        <v>0</v>
      </c>
      <c r="L212" s="84" t="s">
        <v>1296</v>
      </c>
      <c r="M212">
        <v>-1</v>
      </c>
      <c r="N212" s="84" t="s">
        <v>1127</v>
      </c>
      <c r="O212" s="84" t="s">
        <v>1128</v>
      </c>
    </row>
    <row r="213" spans="1:15" x14ac:dyDescent="0.25">
      <c r="A213" s="84" t="s">
        <v>74</v>
      </c>
      <c r="B213" s="84" t="s">
        <v>375</v>
      </c>
      <c r="C213" s="84" t="s">
        <v>376</v>
      </c>
      <c r="D213" s="84" t="s">
        <v>1778</v>
      </c>
      <c r="E213" s="70">
        <v>44675</v>
      </c>
      <c r="F213" s="84" t="s">
        <v>1611</v>
      </c>
      <c r="G213">
        <v>50000</v>
      </c>
      <c r="H213">
        <v>12186</v>
      </c>
      <c r="I213">
        <v>0</v>
      </c>
      <c r="J213">
        <v>0</v>
      </c>
      <c r="K213">
        <v>50000</v>
      </c>
      <c r="L213" s="84" t="s">
        <v>1297</v>
      </c>
      <c r="M213">
        <v>4</v>
      </c>
      <c r="N213" s="84" t="s">
        <v>1127</v>
      </c>
      <c r="O213" s="84" t="s">
        <v>1128</v>
      </c>
    </row>
    <row r="214" spans="1:15" x14ac:dyDescent="0.25">
      <c r="A214" s="84" t="s">
        <v>187</v>
      </c>
      <c r="B214" s="84" t="s">
        <v>377</v>
      </c>
      <c r="C214" s="84" t="s">
        <v>378</v>
      </c>
      <c r="D214" s="84" t="s">
        <v>1786</v>
      </c>
      <c r="E214" s="70">
        <v>43782</v>
      </c>
      <c r="F214" s="84" t="s">
        <v>1611</v>
      </c>
      <c r="G214">
        <v>100000</v>
      </c>
      <c r="H214">
        <v>-2583</v>
      </c>
      <c r="I214">
        <v>-2583</v>
      </c>
      <c r="J214">
        <v>964</v>
      </c>
      <c r="K214">
        <v>100000</v>
      </c>
      <c r="L214" s="84" t="s">
        <v>1298</v>
      </c>
      <c r="M214">
        <v>4</v>
      </c>
      <c r="N214" s="84" t="s">
        <v>1127</v>
      </c>
      <c r="O214" s="84" t="s">
        <v>1128</v>
      </c>
    </row>
    <row r="215" spans="1:15" x14ac:dyDescent="0.25">
      <c r="A215" s="84" t="s">
        <v>187</v>
      </c>
      <c r="B215" s="84" t="s">
        <v>379</v>
      </c>
      <c r="C215" s="84" t="s">
        <v>380</v>
      </c>
      <c r="D215" s="84" t="s">
        <v>1787</v>
      </c>
      <c r="E215" s="70">
        <v>43792</v>
      </c>
      <c r="F215" s="84" t="s">
        <v>1611</v>
      </c>
      <c r="G215">
        <v>72000</v>
      </c>
      <c r="H215">
        <v>0</v>
      </c>
      <c r="I215">
        <v>0</v>
      </c>
      <c r="J215">
        <v>0</v>
      </c>
      <c r="K215">
        <v>72000</v>
      </c>
      <c r="L215" s="84" t="s">
        <v>1299</v>
      </c>
      <c r="M215">
        <v>4</v>
      </c>
      <c r="N215" s="84" t="s">
        <v>1127</v>
      </c>
      <c r="O215" s="84" t="s">
        <v>1128</v>
      </c>
    </row>
    <row r="216" spans="1:15" x14ac:dyDescent="0.25">
      <c r="A216" s="84" t="s">
        <v>74</v>
      </c>
      <c r="B216" s="84" t="s">
        <v>381</v>
      </c>
      <c r="C216" s="84" t="s">
        <v>382</v>
      </c>
      <c r="D216" s="84" t="s">
        <v>1788</v>
      </c>
      <c r="E216" s="70">
        <v>43807</v>
      </c>
      <c r="F216" s="84" t="s">
        <v>1611</v>
      </c>
      <c r="G216">
        <v>240000</v>
      </c>
      <c r="H216">
        <v>2743</v>
      </c>
      <c r="I216">
        <v>2743</v>
      </c>
      <c r="J216">
        <v>80</v>
      </c>
      <c r="K216">
        <v>237257</v>
      </c>
      <c r="L216" s="84" t="s">
        <v>1300</v>
      </c>
      <c r="M216">
        <v>4</v>
      </c>
      <c r="N216" s="84" t="s">
        <v>1127</v>
      </c>
      <c r="O216" s="84" t="s">
        <v>2449</v>
      </c>
    </row>
    <row r="217" spans="1:15" x14ac:dyDescent="0.25">
      <c r="A217" s="84" t="s">
        <v>187</v>
      </c>
      <c r="B217" s="84" t="s">
        <v>383</v>
      </c>
      <c r="C217" s="84" t="s">
        <v>384</v>
      </c>
      <c r="D217" s="84" t="s">
        <v>1789</v>
      </c>
      <c r="E217" s="70">
        <v>43821</v>
      </c>
      <c r="F217" s="84" t="s">
        <v>1611</v>
      </c>
      <c r="G217">
        <v>30000</v>
      </c>
      <c r="H217">
        <v>0</v>
      </c>
      <c r="I217">
        <v>0</v>
      </c>
      <c r="J217">
        <v>0</v>
      </c>
      <c r="K217">
        <v>30000</v>
      </c>
      <c r="L217" s="84" t="s">
        <v>1301</v>
      </c>
      <c r="M217">
        <v>4</v>
      </c>
      <c r="N217" s="84" t="s">
        <v>1127</v>
      </c>
      <c r="O217" s="84" t="s">
        <v>1128</v>
      </c>
    </row>
    <row r="218" spans="1:15" x14ac:dyDescent="0.25">
      <c r="A218" s="84" t="s">
        <v>238</v>
      </c>
      <c r="B218" s="84" t="s">
        <v>385</v>
      </c>
      <c r="C218" s="84" t="s">
        <v>386</v>
      </c>
      <c r="D218" s="84" t="s">
        <v>1790</v>
      </c>
      <c r="E218" s="70">
        <v>44604</v>
      </c>
      <c r="F218" s="84" t="s">
        <v>1609</v>
      </c>
      <c r="G218">
        <v>0</v>
      </c>
      <c r="H218">
        <v>0</v>
      </c>
      <c r="I218">
        <v>0</v>
      </c>
      <c r="J218">
        <v>0</v>
      </c>
      <c r="K218">
        <v>0</v>
      </c>
      <c r="L218" s="84" t="s">
        <v>1302</v>
      </c>
      <c r="M218">
        <v>-1</v>
      </c>
      <c r="N218" s="84" t="s">
        <v>1127</v>
      </c>
      <c r="O218" s="84" t="s">
        <v>1128</v>
      </c>
    </row>
    <row r="219" spans="1:15" x14ac:dyDescent="0.25">
      <c r="A219" s="84" t="s">
        <v>187</v>
      </c>
      <c r="B219" s="84" t="s">
        <v>387</v>
      </c>
      <c r="C219" s="84" t="s">
        <v>388</v>
      </c>
      <c r="D219" s="84" t="s">
        <v>1791</v>
      </c>
      <c r="E219" s="70">
        <v>44016</v>
      </c>
      <c r="F219" s="84" t="s">
        <v>1609</v>
      </c>
      <c r="G219">
        <v>0</v>
      </c>
      <c r="H219">
        <v>0</v>
      </c>
      <c r="I219">
        <v>0</v>
      </c>
      <c r="J219">
        <v>0</v>
      </c>
      <c r="K219">
        <v>0</v>
      </c>
      <c r="L219" s="84" t="s">
        <v>1303</v>
      </c>
      <c r="M219">
        <v>-1</v>
      </c>
      <c r="N219" s="84" t="s">
        <v>1127</v>
      </c>
      <c r="O219" s="84" t="s">
        <v>1128</v>
      </c>
    </row>
    <row r="220" spans="1:15" x14ac:dyDescent="0.25">
      <c r="A220" s="84" t="s">
        <v>238</v>
      </c>
      <c r="B220" s="84" t="s">
        <v>389</v>
      </c>
      <c r="C220" s="84" t="s">
        <v>390</v>
      </c>
      <c r="D220" s="84" t="s">
        <v>1792</v>
      </c>
      <c r="E220" s="70">
        <v>44605</v>
      </c>
      <c r="F220" s="84" t="s">
        <v>1609</v>
      </c>
      <c r="G220">
        <v>0</v>
      </c>
      <c r="H220">
        <v>0</v>
      </c>
      <c r="I220">
        <v>0</v>
      </c>
      <c r="J220">
        <v>0</v>
      </c>
      <c r="K220">
        <v>0</v>
      </c>
      <c r="L220" s="84" t="s">
        <v>1304</v>
      </c>
      <c r="M220">
        <v>-1</v>
      </c>
      <c r="N220" s="84" t="s">
        <v>1127</v>
      </c>
      <c r="O220" s="84" t="s">
        <v>1128</v>
      </c>
    </row>
    <row r="221" spans="1:15" x14ac:dyDescent="0.25">
      <c r="A221" s="84" t="s">
        <v>187</v>
      </c>
      <c r="B221" s="84" t="s">
        <v>391</v>
      </c>
      <c r="C221" s="84" t="s">
        <v>392</v>
      </c>
      <c r="D221" s="84" t="s">
        <v>1793</v>
      </c>
      <c r="E221" s="70">
        <v>43823</v>
      </c>
      <c r="F221" s="84" t="s">
        <v>1611</v>
      </c>
      <c r="G221">
        <v>40000</v>
      </c>
      <c r="H221">
        <v>0</v>
      </c>
      <c r="I221">
        <v>0</v>
      </c>
      <c r="J221">
        <v>0</v>
      </c>
      <c r="K221">
        <v>40000</v>
      </c>
      <c r="L221" s="84" t="s">
        <v>1305</v>
      </c>
      <c r="M221">
        <v>4</v>
      </c>
      <c r="N221" s="84" t="s">
        <v>1127</v>
      </c>
      <c r="O221" s="84" t="s">
        <v>1128</v>
      </c>
    </row>
    <row r="222" spans="1:15" x14ac:dyDescent="0.25">
      <c r="A222" s="84" t="s">
        <v>238</v>
      </c>
      <c r="B222" s="84" t="s">
        <v>393</v>
      </c>
      <c r="C222" s="84" t="s">
        <v>394</v>
      </c>
      <c r="D222" s="84" t="s">
        <v>1794</v>
      </c>
      <c r="E222" s="70">
        <v>44520</v>
      </c>
      <c r="F222" s="84" t="s">
        <v>1609</v>
      </c>
      <c r="G222">
        <v>0</v>
      </c>
      <c r="H222">
        <v>0</v>
      </c>
      <c r="I222">
        <v>0</v>
      </c>
      <c r="J222">
        <v>0</v>
      </c>
      <c r="K222">
        <v>0</v>
      </c>
      <c r="L222" s="84" t="s">
        <v>1306</v>
      </c>
      <c r="M222">
        <v>-1</v>
      </c>
      <c r="N222" s="84" t="s">
        <v>1127</v>
      </c>
      <c r="O222" s="84" t="s">
        <v>1128</v>
      </c>
    </row>
    <row r="223" spans="1:15" x14ac:dyDescent="0.25">
      <c r="A223" s="84" t="s">
        <v>187</v>
      </c>
      <c r="B223" s="84" t="s">
        <v>395</v>
      </c>
      <c r="C223" s="84" t="s">
        <v>396</v>
      </c>
      <c r="D223" s="84"/>
      <c r="E223" s="70">
        <v>43852</v>
      </c>
      <c r="F223" s="84" t="s">
        <v>1611</v>
      </c>
      <c r="G223">
        <v>56000</v>
      </c>
      <c r="H223">
        <v>30888</v>
      </c>
      <c r="I223">
        <v>27156</v>
      </c>
      <c r="J223">
        <v>94</v>
      </c>
      <c r="K223">
        <v>25112</v>
      </c>
      <c r="L223" s="84" t="s">
        <v>1307</v>
      </c>
      <c r="M223">
        <v>4</v>
      </c>
      <c r="N223" s="84" t="s">
        <v>1127</v>
      </c>
      <c r="O223" s="84" t="s">
        <v>2450</v>
      </c>
    </row>
    <row r="224" spans="1:15" x14ac:dyDescent="0.25">
      <c r="A224" s="84" t="s">
        <v>187</v>
      </c>
      <c r="B224" s="84" t="s">
        <v>397</v>
      </c>
      <c r="C224" s="84" t="s">
        <v>398</v>
      </c>
      <c r="D224" s="84" t="s">
        <v>1708</v>
      </c>
      <c r="E224" s="70">
        <v>43916</v>
      </c>
      <c r="F224" s="84" t="s">
        <v>1611</v>
      </c>
      <c r="G224">
        <v>10000</v>
      </c>
      <c r="H224">
        <v>3998</v>
      </c>
      <c r="I224">
        <v>0</v>
      </c>
      <c r="J224">
        <v>0</v>
      </c>
      <c r="K224">
        <v>10000</v>
      </c>
      <c r="L224" s="84" t="s">
        <v>1308</v>
      </c>
      <c r="M224">
        <v>4</v>
      </c>
      <c r="N224" s="84" t="s">
        <v>1127</v>
      </c>
      <c r="O224" s="84" t="s">
        <v>1128</v>
      </c>
    </row>
    <row r="225" spans="1:15" x14ac:dyDescent="0.25">
      <c r="A225" s="84" t="s">
        <v>238</v>
      </c>
      <c r="B225" s="84" t="s">
        <v>399</v>
      </c>
      <c r="C225" s="84" t="s">
        <v>400</v>
      </c>
      <c r="D225" s="84" t="s">
        <v>1795</v>
      </c>
      <c r="E225" s="70">
        <v>44476</v>
      </c>
      <c r="F225" s="84" t="s">
        <v>1609</v>
      </c>
      <c r="G225">
        <v>0</v>
      </c>
      <c r="H225">
        <v>0</v>
      </c>
      <c r="I225">
        <v>0</v>
      </c>
      <c r="J225">
        <v>0</v>
      </c>
      <c r="K225">
        <v>0</v>
      </c>
      <c r="L225" s="84" t="s">
        <v>1309</v>
      </c>
      <c r="M225">
        <v>-1</v>
      </c>
      <c r="N225" s="84" t="s">
        <v>1127</v>
      </c>
      <c r="O225" s="84" t="s">
        <v>1128</v>
      </c>
    </row>
    <row r="226" spans="1:15" x14ac:dyDescent="0.25">
      <c r="A226" s="84" t="s">
        <v>238</v>
      </c>
      <c r="B226" s="84" t="s">
        <v>401</v>
      </c>
      <c r="C226" s="84" t="s">
        <v>402</v>
      </c>
      <c r="D226" s="84" t="s">
        <v>1796</v>
      </c>
      <c r="E226" s="70">
        <v>44489</v>
      </c>
      <c r="F226" s="84" t="s">
        <v>1611</v>
      </c>
      <c r="G226">
        <v>80000</v>
      </c>
      <c r="H226">
        <v>68367.05</v>
      </c>
      <c r="I226">
        <v>26135.05</v>
      </c>
      <c r="J226">
        <v>99</v>
      </c>
      <c r="K226">
        <v>11632.95</v>
      </c>
      <c r="L226" s="84" t="s">
        <v>1310</v>
      </c>
      <c r="M226">
        <v>4</v>
      </c>
      <c r="N226" s="84" t="s">
        <v>1127</v>
      </c>
      <c r="O226" s="84" t="s">
        <v>2451</v>
      </c>
    </row>
    <row r="227" spans="1:15" x14ac:dyDescent="0.25">
      <c r="A227" s="84" t="s">
        <v>238</v>
      </c>
      <c r="B227" s="84" t="s">
        <v>403</v>
      </c>
      <c r="C227" s="84" t="s">
        <v>404</v>
      </c>
      <c r="D227" s="84" t="s">
        <v>1796</v>
      </c>
      <c r="E227" s="70">
        <v>44689</v>
      </c>
      <c r="F227" s="84" t="s">
        <v>1611</v>
      </c>
      <c r="G227">
        <v>120000</v>
      </c>
      <c r="H227">
        <v>55187.29</v>
      </c>
      <c r="I227">
        <v>0.28999999999999998</v>
      </c>
      <c r="J227">
        <v>114</v>
      </c>
      <c r="K227">
        <v>64812.71</v>
      </c>
      <c r="L227" s="84" t="s">
        <v>1311</v>
      </c>
      <c r="M227">
        <v>4</v>
      </c>
      <c r="N227" s="84" t="s">
        <v>1127</v>
      </c>
      <c r="O227" s="84" t="s">
        <v>2452</v>
      </c>
    </row>
    <row r="228" spans="1:15" x14ac:dyDescent="0.25">
      <c r="A228" s="84" t="s">
        <v>238</v>
      </c>
      <c r="B228" s="84" t="s">
        <v>405</v>
      </c>
      <c r="C228" s="84" t="s">
        <v>406</v>
      </c>
      <c r="D228" s="84" t="s">
        <v>1797</v>
      </c>
      <c r="E228" s="70">
        <v>44206</v>
      </c>
      <c r="F228" s="84" t="s">
        <v>1609</v>
      </c>
      <c r="G228">
        <v>0</v>
      </c>
      <c r="H228">
        <v>0</v>
      </c>
      <c r="I228">
        <v>0</v>
      </c>
      <c r="J228">
        <v>0</v>
      </c>
      <c r="K228">
        <v>0</v>
      </c>
      <c r="L228" s="84" t="s">
        <v>1312</v>
      </c>
      <c r="M228">
        <v>-1</v>
      </c>
      <c r="N228" s="84" t="s">
        <v>1127</v>
      </c>
      <c r="O228" s="84" t="s">
        <v>1128</v>
      </c>
    </row>
    <row r="229" spans="1:15" x14ac:dyDescent="0.25">
      <c r="A229" s="84" t="s">
        <v>238</v>
      </c>
      <c r="B229" s="84" t="s">
        <v>407</v>
      </c>
      <c r="C229" s="84" t="s">
        <v>408</v>
      </c>
      <c r="D229" s="84" t="s">
        <v>1798</v>
      </c>
      <c r="E229" s="70">
        <v>44209</v>
      </c>
      <c r="F229" s="84" t="s">
        <v>1609</v>
      </c>
      <c r="G229">
        <v>0</v>
      </c>
      <c r="H229">
        <v>0</v>
      </c>
      <c r="I229">
        <v>0</v>
      </c>
      <c r="J229">
        <v>0</v>
      </c>
      <c r="K229">
        <v>0</v>
      </c>
      <c r="L229" s="84" t="s">
        <v>1313</v>
      </c>
      <c r="M229">
        <v>-1</v>
      </c>
      <c r="N229" s="84" t="s">
        <v>1127</v>
      </c>
      <c r="O229" s="84" t="s">
        <v>1128</v>
      </c>
    </row>
    <row r="230" spans="1:15" x14ac:dyDescent="0.25">
      <c r="A230" s="84" t="s">
        <v>74</v>
      </c>
      <c r="B230" s="84" t="s">
        <v>409</v>
      </c>
      <c r="C230" s="84" t="s">
        <v>1314</v>
      </c>
      <c r="D230" s="84" t="s">
        <v>1799</v>
      </c>
      <c r="E230" s="70">
        <v>44221</v>
      </c>
      <c r="F230" s="84" t="s">
        <v>1609</v>
      </c>
      <c r="G230">
        <v>0</v>
      </c>
      <c r="H230">
        <v>0</v>
      </c>
      <c r="I230">
        <v>0</v>
      </c>
      <c r="J230">
        <v>0</v>
      </c>
      <c r="K230">
        <v>0</v>
      </c>
      <c r="L230" s="84" t="s">
        <v>1315</v>
      </c>
      <c r="M230">
        <v>-1</v>
      </c>
      <c r="N230" s="84" t="s">
        <v>1127</v>
      </c>
      <c r="O230" s="84" t="s">
        <v>1128</v>
      </c>
    </row>
    <row r="231" spans="1:15" x14ac:dyDescent="0.25">
      <c r="A231" s="84" t="s">
        <v>238</v>
      </c>
      <c r="B231" s="84" t="s">
        <v>930</v>
      </c>
      <c r="C231" s="84" t="s">
        <v>955</v>
      </c>
      <c r="D231" s="84" t="s">
        <v>1800</v>
      </c>
      <c r="E231" s="70">
        <v>44957</v>
      </c>
      <c r="F231" s="84" t="s">
        <v>1611</v>
      </c>
      <c r="G231">
        <v>48000</v>
      </c>
      <c r="H231">
        <v>13068</v>
      </c>
      <c r="I231">
        <v>13068</v>
      </c>
      <c r="J231">
        <v>96</v>
      </c>
      <c r="K231">
        <v>34932</v>
      </c>
      <c r="L231" s="84" t="s">
        <v>1316</v>
      </c>
      <c r="M231">
        <v>4</v>
      </c>
      <c r="N231" s="84" t="s">
        <v>1127</v>
      </c>
      <c r="O231" s="84" t="s">
        <v>2453</v>
      </c>
    </row>
    <row r="232" spans="1:15" x14ac:dyDescent="0.25">
      <c r="A232" s="84" t="s">
        <v>238</v>
      </c>
      <c r="B232" s="84" t="s">
        <v>931</v>
      </c>
      <c r="C232" s="84" t="s">
        <v>956</v>
      </c>
      <c r="D232" s="84" t="s">
        <v>1800</v>
      </c>
      <c r="E232" s="70">
        <v>44957</v>
      </c>
      <c r="F232" s="84" t="s">
        <v>1611</v>
      </c>
      <c r="G232">
        <v>16000</v>
      </c>
      <c r="H232">
        <v>10247</v>
      </c>
      <c r="I232">
        <v>0</v>
      </c>
      <c r="J232">
        <v>0</v>
      </c>
      <c r="K232">
        <v>16000</v>
      </c>
      <c r="L232" s="84" t="s">
        <v>1316</v>
      </c>
      <c r="M232">
        <v>4</v>
      </c>
      <c r="N232" s="84" t="s">
        <v>1127</v>
      </c>
      <c r="O232" s="84" t="s">
        <v>1128</v>
      </c>
    </row>
    <row r="233" spans="1:15" x14ac:dyDescent="0.25">
      <c r="A233" s="84" t="s">
        <v>238</v>
      </c>
      <c r="B233" s="84" t="s">
        <v>410</v>
      </c>
      <c r="C233" s="84" t="s">
        <v>411</v>
      </c>
      <c r="D233" s="84" t="s">
        <v>1801</v>
      </c>
      <c r="E233" s="70">
        <v>44235</v>
      </c>
      <c r="F233" s="84" t="s">
        <v>1609</v>
      </c>
      <c r="G233">
        <v>0</v>
      </c>
      <c r="H233">
        <v>0</v>
      </c>
      <c r="I233">
        <v>0</v>
      </c>
      <c r="J233">
        <v>0</v>
      </c>
      <c r="K233">
        <v>0</v>
      </c>
      <c r="L233" s="84" t="s">
        <v>1317</v>
      </c>
      <c r="M233">
        <v>-1</v>
      </c>
      <c r="N233" s="84" t="s">
        <v>1127</v>
      </c>
      <c r="O233" s="84" t="s">
        <v>1128</v>
      </c>
    </row>
    <row r="234" spans="1:15" x14ac:dyDescent="0.25">
      <c r="A234" s="84" t="s">
        <v>1318</v>
      </c>
      <c r="B234" s="84" t="s">
        <v>1319</v>
      </c>
      <c r="C234" s="84" t="s">
        <v>1320</v>
      </c>
      <c r="D234" s="84" t="s">
        <v>1802</v>
      </c>
      <c r="E234" s="70">
        <v>44021</v>
      </c>
      <c r="F234" s="84" t="s">
        <v>1611</v>
      </c>
      <c r="G234">
        <v>0</v>
      </c>
      <c r="H234">
        <v>0</v>
      </c>
      <c r="I234">
        <v>0</v>
      </c>
      <c r="J234">
        <v>0</v>
      </c>
      <c r="K234">
        <v>0</v>
      </c>
      <c r="L234" s="84" t="s">
        <v>1321</v>
      </c>
      <c r="M234">
        <v>4</v>
      </c>
      <c r="N234" s="84" t="s">
        <v>1127</v>
      </c>
      <c r="O234" s="84" t="s">
        <v>1128</v>
      </c>
    </row>
    <row r="235" spans="1:15" x14ac:dyDescent="0.25">
      <c r="A235" s="84" t="s">
        <v>238</v>
      </c>
      <c r="B235" s="84" t="s">
        <v>412</v>
      </c>
      <c r="C235" s="84" t="s">
        <v>413</v>
      </c>
      <c r="D235" s="84" t="s">
        <v>1803</v>
      </c>
      <c r="E235" s="70">
        <v>44741</v>
      </c>
      <c r="F235" s="84" t="s">
        <v>1609</v>
      </c>
      <c r="G235">
        <v>0</v>
      </c>
      <c r="H235">
        <v>0</v>
      </c>
      <c r="I235">
        <v>0</v>
      </c>
      <c r="J235">
        <v>0</v>
      </c>
      <c r="K235">
        <v>0</v>
      </c>
      <c r="L235" s="84" t="s">
        <v>1322</v>
      </c>
      <c r="M235">
        <v>-1</v>
      </c>
      <c r="N235" s="84" t="s">
        <v>1127</v>
      </c>
      <c r="O235" s="84" t="s">
        <v>1128</v>
      </c>
    </row>
    <row r="236" spans="1:15" x14ac:dyDescent="0.25">
      <c r="A236" s="84" t="s">
        <v>238</v>
      </c>
      <c r="B236" s="84" t="s">
        <v>414</v>
      </c>
      <c r="C236" s="84" t="s">
        <v>415</v>
      </c>
      <c r="D236" s="84" t="s">
        <v>1804</v>
      </c>
      <c r="E236" s="70">
        <v>43890</v>
      </c>
      <c r="F236" s="84" t="s">
        <v>1611</v>
      </c>
      <c r="G236">
        <v>40000</v>
      </c>
      <c r="H236">
        <v>0.02</v>
      </c>
      <c r="I236">
        <v>0.02</v>
      </c>
      <c r="J236">
        <v>159</v>
      </c>
      <c r="K236">
        <v>39999.980000000003</v>
      </c>
      <c r="L236" s="84" t="s">
        <v>1323</v>
      </c>
      <c r="M236">
        <v>4</v>
      </c>
      <c r="N236" s="84" t="s">
        <v>1127</v>
      </c>
      <c r="O236" s="84" t="s">
        <v>2454</v>
      </c>
    </row>
    <row r="237" spans="1:15" x14ac:dyDescent="0.25">
      <c r="A237" s="84" t="s">
        <v>74</v>
      </c>
      <c r="B237" s="84" t="s">
        <v>416</v>
      </c>
      <c r="C237" s="84" t="s">
        <v>417</v>
      </c>
      <c r="D237" s="84" t="s">
        <v>1804</v>
      </c>
      <c r="E237" s="70">
        <v>44226</v>
      </c>
      <c r="F237" s="84" t="s">
        <v>1611</v>
      </c>
      <c r="G237">
        <v>40000</v>
      </c>
      <c r="H237">
        <v>2908</v>
      </c>
      <c r="I237">
        <v>0</v>
      </c>
      <c r="J237">
        <v>0</v>
      </c>
      <c r="K237">
        <v>40000</v>
      </c>
      <c r="L237" s="84" t="s">
        <v>1324</v>
      </c>
      <c r="M237">
        <v>4</v>
      </c>
      <c r="N237" s="84" t="s">
        <v>1127</v>
      </c>
      <c r="O237" s="84" t="s">
        <v>1128</v>
      </c>
    </row>
    <row r="238" spans="1:15" x14ac:dyDescent="0.25">
      <c r="A238" s="84" t="s">
        <v>187</v>
      </c>
      <c r="B238" s="84" t="s">
        <v>418</v>
      </c>
      <c r="C238" s="84" t="s">
        <v>419</v>
      </c>
      <c r="D238" s="84" t="s">
        <v>1805</v>
      </c>
      <c r="E238" s="70">
        <v>44165</v>
      </c>
      <c r="F238" s="84" t="s">
        <v>1611</v>
      </c>
      <c r="G238">
        <v>20000</v>
      </c>
      <c r="H238">
        <v>0</v>
      </c>
      <c r="I238">
        <v>0</v>
      </c>
      <c r="J238">
        <v>0</v>
      </c>
      <c r="K238">
        <v>20000</v>
      </c>
      <c r="L238" s="84" t="s">
        <v>1325</v>
      </c>
      <c r="M238">
        <v>4</v>
      </c>
      <c r="N238" s="84" t="s">
        <v>1127</v>
      </c>
      <c r="O238" s="84" t="s">
        <v>1128</v>
      </c>
    </row>
    <row r="239" spans="1:15" x14ac:dyDescent="0.25">
      <c r="A239" s="84" t="s">
        <v>187</v>
      </c>
      <c r="B239" s="84" t="s">
        <v>420</v>
      </c>
      <c r="C239" s="84" t="s">
        <v>421</v>
      </c>
      <c r="D239" s="84" t="s">
        <v>1806</v>
      </c>
      <c r="E239" s="70">
        <v>44263</v>
      </c>
      <c r="F239" s="84" t="s">
        <v>1611</v>
      </c>
      <c r="G239">
        <v>16000</v>
      </c>
      <c r="H239">
        <v>1196</v>
      </c>
      <c r="I239">
        <v>0</v>
      </c>
      <c r="J239">
        <v>0</v>
      </c>
      <c r="K239">
        <v>16000</v>
      </c>
      <c r="L239" s="84" t="s">
        <v>1326</v>
      </c>
      <c r="M239">
        <v>4</v>
      </c>
      <c r="N239" s="84" t="s">
        <v>1127</v>
      </c>
      <c r="O239" s="84" t="s">
        <v>1128</v>
      </c>
    </row>
    <row r="240" spans="1:15" x14ac:dyDescent="0.25">
      <c r="A240" s="84" t="s">
        <v>238</v>
      </c>
      <c r="B240" s="84" t="s">
        <v>422</v>
      </c>
      <c r="C240" s="84" t="s">
        <v>423</v>
      </c>
      <c r="D240" s="84" t="s">
        <v>1746</v>
      </c>
      <c r="E240" s="70">
        <v>44264</v>
      </c>
      <c r="F240" s="84" t="s">
        <v>1611</v>
      </c>
      <c r="G240">
        <v>80000</v>
      </c>
      <c r="H240">
        <v>4986</v>
      </c>
      <c r="I240">
        <v>0</v>
      </c>
      <c r="J240">
        <v>0</v>
      </c>
      <c r="K240">
        <v>80000</v>
      </c>
      <c r="L240" s="84" t="s">
        <v>1327</v>
      </c>
      <c r="M240">
        <v>4</v>
      </c>
      <c r="N240" s="84" t="s">
        <v>1127</v>
      </c>
      <c r="O240" s="84" t="s">
        <v>1128</v>
      </c>
    </row>
    <row r="241" spans="1:15" x14ac:dyDescent="0.25">
      <c r="A241" s="84" t="s">
        <v>238</v>
      </c>
      <c r="B241" s="84" t="s">
        <v>424</v>
      </c>
      <c r="C241" s="84" t="s">
        <v>425</v>
      </c>
      <c r="D241" s="84" t="s">
        <v>1807</v>
      </c>
      <c r="E241" s="70">
        <v>44203</v>
      </c>
      <c r="F241" s="84" t="s">
        <v>1609</v>
      </c>
      <c r="G241">
        <v>0</v>
      </c>
      <c r="H241">
        <v>0</v>
      </c>
      <c r="I241">
        <v>0</v>
      </c>
      <c r="J241">
        <v>0</v>
      </c>
      <c r="K241">
        <v>0</v>
      </c>
      <c r="L241" s="84" t="s">
        <v>1328</v>
      </c>
      <c r="M241">
        <v>-1</v>
      </c>
      <c r="N241" s="84" t="s">
        <v>1127</v>
      </c>
      <c r="O241" s="84" t="s">
        <v>1128</v>
      </c>
    </row>
    <row r="242" spans="1:15" x14ac:dyDescent="0.25">
      <c r="A242" s="84" t="s">
        <v>187</v>
      </c>
      <c r="B242" s="84" t="s">
        <v>426</v>
      </c>
      <c r="C242" s="84" t="s">
        <v>427</v>
      </c>
      <c r="D242" s="84" t="s">
        <v>1808</v>
      </c>
      <c r="E242" s="70">
        <v>44208</v>
      </c>
      <c r="F242" s="84" t="s">
        <v>1611</v>
      </c>
      <c r="G242">
        <v>10000</v>
      </c>
      <c r="H242">
        <v>0</v>
      </c>
      <c r="I242">
        <v>0</v>
      </c>
      <c r="J242">
        <v>0</v>
      </c>
      <c r="K242">
        <v>10000</v>
      </c>
      <c r="L242" s="84" t="s">
        <v>1329</v>
      </c>
      <c r="M242">
        <v>4</v>
      </c>
      <c r="N242" s="84" t="s">
        <v>1127</v>
      </c>
      <c r="O242" s="84" t="s">
        <v>1128</v>
      </c>
    </row>
    <row r="243" spans="1:15" x14ac:dyDescent="0.25">
      <c r="A243" s="84" t="s">
        <v>238</v>
      </c>
      <c r="B243" s="84" t="s">
        <v>428</v>
      </c>
      <c r="C243" s="84" t="s">
        <v>429</v>
      </c>
      <c r="D243" s="84" t="s">
        <v>1082</v>
      </c>
      <c r="E243" s="70">
        <v>44346</v>
      </c>
      <c r="F243" s="84" t="s">
        <v>1611</v>
      </c>
      <c r="G243">
        <v>80000</v>
      </c>
      <c r="H243">
        <v>63900</v>
      </c>
      <c r="I243">
        <v>63900</v>
      </c>
      <c r="J243">
        <v>777</v>
      </c>
      <c r="K243">
        <v>16100</v>
      </c>
      <c r="L243" s="84" t="s">
        <v>1330</v>
      </c>
      <c r="M243">
        <v>4</v>
      </c>
      <c r="N243" s="84" t="s">
        <v>1127</v>
      </c>
      <c r="O243" s="84" t="s">
        <v>2296</v>
      </c>
    </row>
    <row r="244" spans="1:15" x14ac:dyDescent="0.25">
      <c r="A244" s="84" t="s">
        <v>187</v>
      </c>
      <c r="B244" s="84" t="s">
        <v>430</v>
      </c>
      <c r="C244" s="84" t="s">
        <v>431</v>
      </c>
      <c r="D244" s="84" t="s">
        <v>1809</v>
      </c>
      <c r="E244" s="70">
        <v>44745</v>
      </c>
      <c r="F244" s="84" t="s">
        <v>1609</v>
      </c>
      <c r="G244">
        <v>0</v>
      </c>
      <c r="H244">
        <v>2434</v>
      </c>
      <c r="I244">
        <v>0</v>
      </c>
      <c r="J244">
        <v>0</v>
      </c>
      <c r="K244">
        <v>0</v>
      </c>
      <c r="L244" s="84" t="s">
        <v>1331</v>
      </c>
      <c r="M244">
        <v>-1</v>
      </c>
      <c r="N244" s="84" t="s">
        <v>1127</v>
      </c>
      <c r="O244" s="84" t="s">
        <v>1128</v>
      </c>
    </row>
    <row r="245" spans="1:15" x14ac:dyDescent="0.25">
      <c r="A245" s="84" t="s">
        <v>238</v>
      </c>
      <c r="B245" s="84" t="s">
        <v>432</v>
      </c>
      <c r="C245" s="84" t="s">
        <v>433</v>
      </c>
      <c r="D245" s="84" t="s">
        <v>1810</v>
      </c>
      <c r="E245" s="70">
        <v>43983</v>
      </c>
      <c r="F245" s="84" t="s">
        <v>1609</v>
      </c>
      <c r="G245">
        <v>0</v>
      </c>
      <c r="H245">
        <v>0</v>
      </c>
      <c r="I245">
        <v>0</v>
      </c>
      <c r="J245">
        <v>0</v>
      </c>
      <c r="K245">
        <v>0</v>
      </c>
      <c r="L245" s="84" t="s">
        <v>1332</v>
      </c>
      <c r="M245">
        <v>-1</v>
      </c>
      <c r="N245" s="84" t="s">
        <v>1127</v>
      </c>
      <c r="O245" s="84" t="s">
        <v>1128</v>
      </c>
    </row>
    <row r="246" spans="1:15" x14ac:dyDescent="0.25">
      <c r="A246" s="84" t="s">
        <v>74</v>
      </c>
      <c r="B246" s="84" t="s">
        <v>434</v>
      </c>
      <c r="C246" s="84" t="s">
        <v>1066</v>
      </c>
      <c r="D246" s="84" t="s">
        <v>1811</v>
      </c>
      <c r="E246" s="70">
        <v>43983</v>
      </c>
      <c r="F246" s="84" t="s">
        <v>1611</v>
      </c>
      <c r="G246">
        <v>80000</v>
      </c>
      <c r="H246">
        <v>21117</v>
      </c>
      <c r="I246">
        <v>21117</v>
      </c>
      <c r="J246">
        <v>127</v>
      </c>
      <c r="K246">
        <v>58883</v>
      </c>
      <c r="L246" s="84" t="s">
        <v>1333</v>
      </c>
      <c r="M246">
        <v>4</v>
      </c>
      <c r="N246" s="84" t="s">
        <v>1127</v>
      </c>
      <c r="O246" s="84" t="s">
        <v>2297</v>
      </c>
    </row>
    <row r="247" spans="1:15" x14ac:dyDescent="0.25">
      <c r="A247" s="84" t="s">
        <v>187</v>
      </c>
      <c r="B247" s="84" t="s">
        <v>435</v>
      </c>
      <c r="C247" s="84" t="s">
        <v>436</v>
      </c>
      <c r="D247" s="84" t="s">
        <v>1812</v>
      </c>
      <c r="E247" s="70">
        <v>44088</v>
      </c>
      <c r="F247" s="84" t="s">
        <v>1611</v>
      </c>
      <c r="G247">
        <v>75000</v>
      </c>
      <c r="H247">
        <v>4462.1000000000004</v>
      </c>
      <c r="I247">
        <v>0</v>
      </c>
      <c r="J247">
        <v>0</v>
      </c>
      <c r="K247">
        <v>75000</v>
      </c>
      <c r="L247" s="84" t="s">
        <v>1334</v>
      </c>
      <c r="M247">
        <v>4</v>
      </c>
      <c r="N247" s="84" t="s">
        <v>1127</v>
      </c>
      <c r="O247" s="84" t="s">
        <v>1128</v>
      </c>
    </row>
    <row r="248" spans="1:15" x14ac:dyDescent="0.25">
      <c r="A248" s="84" t="s">
        <v>74</v>
      </c>
      <c r="B248" s="84" t="s">
        <v>437</v>
      </c>
      <c r="C248" s="84" t="s">
        <v>438</v>
      </c>
      <c r="D248" s="84" t="s">
        <v>1813</v>
      </c>
      <c r="E248" s="70">
        <v>44114</v>
      </c>
      <c r="F248" s="84" t="s">
        <v>1609</v>
      </c>
      <c r="G248">
        <v>0</v>
      </c>
      <c r="H248">
        <v>-1</v>
      </c>
      <c r="I248">
        <v>-1</v>
      </c>
      <c r="J248">
        <v>117</v>
      </c>
      <c r="K248">
        <v>0</v>
      </c>
      <c r="L248" s="84" t="s">
        <v>1335</v>
      </c>
      <c r="M248">
        <v>-1</v>
      </c>
      <c r="N248" s="84" t="s">
        <v>1127</v>
      </c>
      <c r="O248" s="84" t="s">
        <v>1128</v>
      </c>
    </row>
    <row r="249" spans="1:15" x14ac:dyDescent="0.25">
      <c r="A249" s="84" t="s">
        <v>238</v>
      </c>
      <c r="B249" s="84" t="s">
        <v>439</v>
      </c>
      <c r="C249" s="84" t="s">
        <v>440</v>
      </c>
      <c r="D249" s="84" t="s">
        <v>1814</v>
      </c>
      <c r="E249" s="70">
        <v>44114</v>
      </c>
      <c r="F249" s="84" t="s">
        <v>1611</v>
      </c>
      <c r="G249">
        <v>40000</v>
      </c>
      <c r="H249">
        <v>0</v>
      </c>
      <c r="I249">
        <v>0</v>
      </c>
      <c r="J249">
        <v>0</v>
      </c>
      <c r="K249">
        <v>40000</v>
      </c>
      <c r="L249" s="84" t="s">
        <v>1336</v>
      </c>
      <c r="M249">
        <v>4</v>
      </c>
      <c r="N249" s="84" t="s">
        <v>1127</v>
      </c>
      <c r="O249" s="84" t="s">
        <v>1128</v>
      </c>
    </row>
    <row r="250" spans="1:15" x14ac:dyDescent="0.25">
      <c r="A250" s="84" t="s">
        <v>74</v>
      </c>
      <c r="B250" s="84" t="s">
        <v>441</v>
      </c>
      <c r="C250" s="84" t="s">
        <v>442</v>
      </c>
      <c r="D250" s="84" t="s">
        <v>2160</v>
      </c>
      <c r="E250" s="70">
        <v>44114</v>
      </c>
      <c r="F250" s="84" t="s">
        <v>1611</v>
      </c>
      <c r="G250">
        <v>13500</v>
      </c>
      <c r="H250">
        <v>0</v>
      </c>
      <c r="I250">
        <v>0</v>
      </c>
      <c r="J250">
        <v>0</v>
      </c>
      <c r="K250">
        <v>13500</v>
      </c>
      <c r="L250" s="84" t="s">
        <v>1335</v>
      </c>
      <c r="M250">
        <v>4</v>
      </c>
      <c r="N250" s="84" t="s">
        <v>1127</v>
      </c>
      <c r="O250" s="84" t="s">
        <v>1128</v>
      </c>
    </row>
    <row r="251" spans="1:15" x14ac:dyDescent="0.25">
      <c r="A251" s="84" t="s">
        <v>238</v>
      </c>
      <c r="B251" s="84" t="s">
        <v>443</v>
      </c>
      <c r="C251" s="84" t="s">
        <v>444</v>
      </c>
      <c r="D251" s="84" t="s">
        <v>1815</v>
      </c>
      <c r="E251" s="70">
        <v>44114</v>
      </c>
      <c r="F251" s="84" t="s">
        <v>1611</v>
      </c>
      <c r="G251">
        <v>80000</v>
      </c>
      <c r="H251">
        <v>0</v>
      </c>
      <c r="I251">
        <v>0</v>
      </c>
      <c r="J251">
        <v>0</v>
      </c>
      <c r="K251">
        <v>80000</v>
      </c>
      <c r="L251" s="84" t="s">
        <v>1336</v>
      </c>
      <c r="M251">
        <v>4</v>
      </c>
      <c r="N251" s="84" t="s">
        <v>1127</v>
      </c>
      <c r="O251" s="84" t="s">
        <v>1128</v>
      </c>
    </row>
    <row r="252" spans="1:15" x14ac:dyDescent="0.25">
      <c r="A252" s="84" t="s">
        <v>187</v>
      </c>
      <c r="B252" s="84" t="s">
        <v>445</v>
      </c>
      <c r="C252" s="84" t="s">
        <v>446</v>
      </c>
      <c r="D252" s="84" t="s">
        <v>1816</v>
      </c>
      <c r="E252" s="70">
        <v>44115</v>
      </c>
      <c r="F252" s="84" t="s">
        <v>1609</v>
      </c>
      <c r="G252">
        <v>0</v>
      </c>
      <c r="H252">
        <v>0</v>
      </c>
      <c r="I252">
        <v>0</v>
      </c>
      <c r="J252">
        <v>0</v>
      </c>
      <c r="K252">
        <v>0</v>
      </c>
      <c r="L252" s="84" t="s">
        <v>1337</v>
      </c>
      <c r="M252">
        <v>-1</v>
      </c>
      <c r="N252" s="84" t="s">
        <v>1127</v>
      </c>
      <c r="O252" s="84" t="s">
        <v>1128</v>
      </c>
    </row>
    <row r="253" spans="1:15" x14ac:dyDescent="0.25">
      <c r="A253" s="84" t="s">
        <v>74</v>
      </c>
      <c r="B253" s="84" t="s">
        <v>447</v>
      </c>
      <c r="C253" s="84" t="s">
        <v>448</v>
      </c>
      <c r="D253" s="84" t="s">
        <v>1817</v>
      </c>
      <c r="E253" s="70">
        <v>44135</v>
      </c>
      <c r="F253" s="84" t="s">
        <v>1609</v>
      </c>
      <c r="G253">
        <v>0</v>
      </c>
      <c r="H253">
        <v>0</v>
      </c>
      <c r="I253">
        <v>0</v>
      </c>
      <c r="J253">
        <v>0</v>
      </c>
      <c r="K253">
        <v>0</v>
      </c>
      <c r="L253" s="84" t="s">
        <v>1338</v>
      </c>
      <c r="M253">
        <v>-1</v>
      </c>
      <c r="N253" s="84" t="s">
        <v>1127</v>
      </c>
      <c r="O253" s="84" t="s">
        <v>1128</v>
      </c>
    </row>
    <row r="254" spans="1:15" x14ac:dyDescent="0.25">
      <c r="A254" s="84" t="s">
        <v>187</v>
      </c>
      <c r="B254" s="84" t="s">
        <v>449</v>
      </c>
      <c r="C254" s="84" t="s">
        <v>450</v>
      </c>
      <c r="D254" s="84" t="s">
        <v>1818</v>
      </c>
      <c r="E254" s="70">
        <v>44292</v>
      </c>
      <c r="F254" s="84" t="s">
        <v>1609</v>
      </c>
      <c r="G254">
        <v>0</v>
      </c>
      <c r="H254">
        <v>0</v>
      </c>
      <c r="I254">
        <v>0</v>
      </c>
      <c r="J254">
        <v>0</v>
      </c>
      <c r="K254">
        <v>0</v>
      </c>
      <c r="L254" s="84" t="s">
        <v>1339</v>
      </c>
      <c r="M254">
        <v>-1</v>
      </c>
      <c r="N254" s="84" t="s">
        <v>1127</v>
      </c>
      <c r="O254" s="84" t="s">
        <v>1128</v>
      </c>
    </row>
    <row r="255" spans="1:15" x14ac:dyDescent="0.25">
      <c r="A255" s="84" t="s">
        <v>187</v>
      </c>
      <c r="B255" s="84" t="s">
        <v>451</v>
      </c>
      <c r="C255" s="84" t="s">
        <v>452</v>
      </c>
      <c r="D255" s="84" t="s">
        <v>1819</v>
      </c>
      <c r="E255" s="70">
        <v>44518</v>
      </c>
      <c r="F255" s="84" t="s">
        <v>1611</v>
      </c>
      <c r="G255">
        <v>40000</v>
      </c>
      <c r="H255">
        <v>10000</v>
      </c>
      <c r="I255">
        <v>2480</v>
      </c>
      <c r="J255">
        <v>71</v>
      </c>
      <c r="K255">
        <v>30000</v>
      </c>
      <c r="L255" s="84" t="s">
        <v>1340</v>
      </c>
      <c r="M255">
        <v>4</v>
      </c>
      <c r="N255" s="84" t="s">
        <v>1127</v>
      </c>
      <c r="O255" s="84" t="s">
        <v>2455</v>
      </c>
    </row>
    <row r="256" spans="1:15" x14ac:dyDescent="0.25">
      <c r="A256" s="84" t="s">
        <v>187</v>
      </c>
      <c r="B256" s="84" t="s">
        <v>453</v>
      </c>
      <c r="C256" s="84" t="s">
        <v>454</v>
      </c>
      <c r="D256" s="84" t="s">
        <v>1820</v>
      </c>
      <c r="E256" s="70">
        <v>44195</v>
      </c>
      <c r="F256" s="84" t="s">
        <v>1611</v>
      </c>
      <c r="G256">
        <v>18000</v>
      </c>
      <c r="H256">
        <v>0</v>
      </c>
      <c r="I256">
        <v>0</v>
      </c>
      <c r="J256">
        <v>0</v>
      </c>
      <c r="K256">
        <v>18000</v>
      </c>
      <c r="L256" s="84" t="s">
        <v>1341</v>
      </c>
      <c r="M256">
        <v>4</v>
      </c>
      <c r="N256" s="84" t="s">
        <v>1127</v>
      </c>
      <c r="O256" s="84" t="s">
        <v>1128</v>
      </c>
    </row>
    <row r="257" spans="1:15" x14ac:dyDescent="0.25">
      <c r="A257" s="84" t="s">
        <v>238</v>
      </c>
      <c r="B257" s="84" t="s">
        <v>455</v>
      </c>
      <c r="C257" s="84" t="s">
        <v>1342</v>
      </c>
      <c r="D257" s="84" t="s">
        <v>1821</v>
      </c>
      <c r="E257" s="70">
        <v>44195</v>
      </c>
      <c r="F257" s="84" t="s">
        <v>1609</v>
      </c>
      <c r="G257">
        <v>0</v>
      </c>
      <c r="H257">
        <v>0</v>
      </c>
      <c r="I257">
        <v>0</v>
      </c>
      <c r="J257">
        <v>0</v>
      </c>
      <c r="K257">
        <v>0</v>
      </c>
      <c r="L257" s="84" t="s">
        <v>1343</v>
      </c>
      <c r="M257">
        <v>-1</v>
      </c>
      <c r="N257" s="84" t="s">
        <v>1127</v>
      </c>
      <c r="O257" s="84" t="s">
        <v>1128</v>
      </c>
    </row>
    <row r="258" spans="1:15" x14ac:dyDescent="0.25">
      <c r="A258" s="84" t="s">
        <v>238</v>
      </c>
      <c r="B258" s="84" t="s">
        <v>456</v>
      </c>
      <c r="C258" s="84" t="s">
        <v>457</v>
      </c>
      <c r="D258" s="84" t="s">
        <v>1822</v>
      </c>
      <c r="E258" s="70">
        <v>44195</v>
      </c>
      <c r="F258" s="84" t="s">
        <v>1611</v>
      </c>
      <c r="G258">
        <v>120000</v>
      </c>
      <c r="H258">
        <v>0</v>
      </c>
      <c r="I258">
        <v>0</v>
      </c>
      <c r="J258">
        <v>0</v>
      </c>
      <c r="K258">
        <v>120000</v>
      </c>
      <c r="L258" s="84" t="s">
        <v>1343</v>
      </c>
      <c r="M258">
        <v>4</v>
      </c>
      <c r="N258" s="84" t="s">
        <v>1127</v>
      </c>
      <c r="O258" s="84" t="s">
        <v>1128</v>
      </c>
    </row>
    <row r="259" spans="1:15" x14ac:dyDescent="0.25">
      <c r="A259" s="84" t="s">
        <v>238</v>
      </c>
      <c r="B259" s="84" t="s">
        <v>458</v>
      </c>
      <c r="C259" s="84" t="s">
        <v>459</v>
      </c>
      <c r="D259" s="84" t="s">
        <v>1823</v>
      </c>
      <c r="E259" s="70">
        <v>44552</v>
      </c>
      <c r="F259" s="84" t="s">
        <v>1609</v>
      </c>
      <c r="G259">
        <v>0</v>
      </c>
      <c r="H259">
        <v>-0.52</v>
      </c>
      <c r="I259">
        <v>-0.52</v>
      </c>
      <c r="J259">
        <v>404</v>
      </c>
      <c r="K259">
        <v>0</v>
      </c>
      <c r="L259" s="84" t="s">
        <v>1344</v>
      </c>
      <c r="M259">
        <v>-1</v>
      </c>
      <c r="N259" s="84" t="s">
        <v>1127</v>
      </c>
      <c r="O259" s="84" t="s">
        <v>1128</v>
      </c>
    </row>
    <row r="260" spans="1:15" x14ac:dyDescent="0.25">
      <c r="A260" s="84" t="s">
        <v>238</v>
      </c>
      <c r="B260" s="84" t="s">
        <v>460</v>
      </c>
      <c r="C260" s="84" t="s">
        <v>461</v>
      </c>
      <c r="D260" s="84" t="s">
        <v>1824</v>
      </c>
      <c r="E260" s="70">
        <v>44072</v>
      </c>
      <c r="F260" s="84" t="s">
        <v>1609</v>
      </c>
      <c r="G260">
        <v>0</v>
      </c>
      <c r="H260">
        <v>0</v>
      </c>
      <c r="I260">
        <v>0</v>
      </c>
      <c r="J260">
        <v>0</v>
      </c>
      <c r="K260">
        <v>0</v>
      </c>
      <c r="L260" s="84" t="s">
        <v>1345</v>
      </c>
      <c r="M260">
        <v>-1</v>
      </c>
      <c r="N260" s="84" t="s">
        <v>1127</v>
      </c>
      <c r="O260" s="84" t="s">
        <v>1128</v>
      </c>
    </row>
    <row r="261" spans="1:15" x14ac:dyDescent="0.25">
      <c r="A261" s="84" t="s">
        <v>187</v>
      </c>
      <c r="B261" s="84" t="s">
        <v>462</v>
      </c>
      <c r="C261" s="84" t="s">
        <v>463</v>
      </c>
      <c r="D261" s="84" t="s">
        <v>1825</v>
      </c>
      <c r="E261" s="70">
        <v>44598</v>
      </c>
      <c r="F261" s="84" t="s">
        <v>1609</v>
      </c>
      <c r="G261">
        <v>0</v>
      </c>
      <c r="H261">
        <v>0</v>
      </c>
      <c r="I261">
        <v>0</v>
      </c>
      <c r="J261">
        <v>0</v>
      </c>
      <c r="K261">
        <v>0</v>
      </c>
      <c r="L261" s="84" t="s">
        <v>1346</v>
      </c>
      <c r="M261">
        <v>-1</v>
      </c>
      <c r="N261" s="84" t="s">
        <v>1127</v>
      </c>
      <c r="O261" s="84" t="s">
        <v>1128</v>
      </c>
    </row>
    <row r="262" spans="1:15" x14ac:dyDescent="0.25">
      <c r="A262" s="84" t="s">
        <v>238</v>
      </c>
      <c r="B262" s="84" t="s">
        <v>464</v>
      </c>
      <c r="C262" s="84" t="s">
        <v>465</v>
      </c>
      <c r="D262" s="84" t="s">
        <v>1826</v>
      </c>
      <c r="E262" s="70">
        <v>44165</v>
      </c>
      <c r="F262" s="84" t="s">
        <v>1609</v>
      </c>
      <c r="G262">
        <v>0</v>
      </c>
      <c r="H262">
        <v>0</v>
      </c>
      <c r="I262">
        <v>0</v>
      </c>
      <c r="J262">
        <v>0</v>
      </c>
      <c r="K262">
        <v>0</v>
      </c>
      <c r="L262" s="84" t="s">
        <v>1347</v>
      </c>
      <c r="M262">
        <v>-1</v>
      </c>
      <c r="N262" s="84" t="s">
        <v>1127</v>
      </c>
      <c r="O262" s="84" t="s">
        <v>1128</v>
      </c>
    </row>
    <row r="263" spans="1:15" x14ac:dyDescent="0.25">
      <c r="A263" s="84" t="s">
        <v>187</v>
      </c>
      <c r="B263" s="84" t="s">
        <v>466</v>
      </c>
      <c r="C263" s="84" t="s">
        <v>467</v>
      </c>
      <c r="D263" s="84" t="s">
        <v>1827</v>
      </c>
      <c r="E263" s="70">
        <v>44601</v>
      </c>
      <c r="F263" s="84" t="s">
        <v>1611</v>
      </c>
      <c r="G263">
        <v>20000</v>
      </c>
      <c r="H263">
        <v>0</v>
      </c>
      <c r="I263">
        <v>0</v>
      </c>
      <c r="J263">
        <v>0</v>
      </c>
      <c r="K263">
        <v>20000</v>
      </c>
      <c r="L263" s="84" t="s">
        <v>1348</v>
      </c>
      <c r="M263">
        <v>4</v>
      </c>
      <c r="N263" s="84" t="s">
        <v>1127</v>
      </c>
      <c r="O263" s="84" t="s">
        <v>1128</v>
      </c>
    </row>
    <row r="264" spans="1:15" x14ac:dyDescent="0.25">
      <c r="A264" s="84" t="s">
        <v>187</v>
      </c>
      <c r="B264" s="84" t="s">
        <v>468</v>
      </c>
      <c r="C264" s="84" t="s">
        <v>469</v>
      </c>
      <c r="D264" s="84" t="s">
        <v>1828</v>
      </c>
      <c r="E264" s="70">
        <v>44643</v>
      </c>
      <c r="F264" s="84" t="s">
        <v>1609</v>
      </c>
      <c r="G264">
        <v>0</v>
      </c>
      <c r="H264">
        <v>0</v>
      </c>
      <c r="I264">
        <v>0</v>
      </c>
      <c r="J264">
        <v>0</v>
      </c>
      <c r="K264">
        <v>0</v>
      </c>
      <c r="L264" s="84" t="s">
        <v>1349</v>
      </c>
      <c r="M264">
        <v>-1</v>
      </c>
      <c r="N264" s="84" t="s">
        <v>1127</v>
      </c>
      <c r="O264" s="84" t="s">
        <v>1128</v>
      </c>
    </row>
    <row r="265" spans="1:15" x14ac:dyDescent="0.25">
      <c r="A265" s="84" t="s">
        <v>238</v>
      </c>
      <c r="B265" s="84" t="s">
        <v>470</v>
      </c>
      <c r="C265" s="84" t="s">
        <v>471</v>
      </c>
      <c r="D265" s="84" t="s">
        <v>1829</v>
      </c>
      <c r="E265" s="70">
        <v>44704</v>
      </c>
      <c r="F265" s="84" t="s">
        <v>1609</v>
      </c>
      <c r="G265">
        <v>0</v>
      </c>
      <c r="H265">
        <v>0</v>
      </c>
      <c r="I265">
        <v>0</v>
      </c>
      <c r="J265">
        <v>0</v>
      </c>
      <c r="K265">
        <v>0</v>
      </c>
      <c r="L265" s="84" t="s">
        <v>1350</v>
      </c>
      <c r="M265">
        <v>-1</v>
      </c>
      <c r="N265" s="84" t="s">
        <v>1127</v>
      </c>
      <c r="O265" s="84" t="s">
        <v>1128</v>
      </c>
    </row>
    <row r="266" spans="1:15" x14ac:dyDescent="0.25">
      <c r="A266" s="84" t="s">
        <v>238</v>
      </c>
      <c r="B266" s="84" t="s">
        <v>472</v>
      </c>
      <c r="C266" s="84" t="s">
        <v>473</v>
      </c>
      <c r="D266" s="84" t="s">
        <v>1830</v>
      </c>
      <c r="E266" s="70">
        <v>44704</v>
      </c>
      <c r="F266" s="84" t="s">
        <v>1609</v>
      </c>
      <c r="G266">
        <v>0</v>
      </c>
      <c r="H266">
        <v>0</v>
      </c>
      <c r="I266">
        <v>0</v>
      </c>
      <c r="J266">
        <v>0</v>
      </c>
      <c r="K266">
        <v>0</v>
      </c>
      <c r="L266" s="84" t="s">
        <v>1350</v>
      </c>
      <c r="M266">
        <v>-1</v>
      </c>
      <c r="N266" s="84" t="s">
        <v>1127</v>
      </c>
      <c r="O266" s="84" t="s">
        <v>1128</v>
      </c>
    </row>
    <row r="267" spans="1:15" x14ac:dyDescent="0.25">
      <c r="A267" s="84" t="s">
        <v>187</v>
      </c>
      <c r="B267" s="84" t="s">
        <v>474</v>
      </c>
      <c r="C267" s="84" t="s">
        <v>475</v>
      </c>
      <c r="D267" s="84" t="s">
        <v>1791</v>
      </c>
      <c r="E267" s="70">
        <v>44704</v>
      </c>
      <c r="F267" s="84" t="s">
        <v>1609</v>
      </c>
      <c r="G267">
        <v>0</v>
      </c>
      <c r="H267">
        <v>0</v>
      </c>
      <c r="I267">
        <v>0</v>
      </c>
      <c r="J267">
        <v>0</v>
      </c>
      <c r="K267">
        <v>0</v>
      </c>
      <c r="L267" s="84" t="s">
        <v>1351</v>
      </c>
      <c r="M267">
        <v>-1</v>
      </c>
      <c r="N267" s="84" t="s">
        <v>1127</v>
      </c>
      <c r="O267" s="84" t="s">
        <v>1128</v>
      </c>
    </row>
    <row r="268" spans="1:15" x14ac:dyDescent="0.25">
      <c r="A268" s="84" t="s">
        <v>74</v>
      </c>
      <c r="B268" s="84" t="s">
        <v>476</v>
      </c>
      <c r="C268" s="84" t="s">
        <v>477</v>
      </c>
      <c r="D268" s="84" t="s">
        <v>1831</v>
      </c>
      <c r="E268" s="70">
        <v>44705</v>
      </c>
      <c r="F268" s="84" t="s">
        <v>1609</v>
      </c>
      <c r="G268">
        <v>0</v>
      </c>
      <c r="H268">
        <v>0</v>
      </c>
      <c r="I268">
        <v>0</v>
      </c>
      <c r="J268">
        <v>0</v>
      </c>
      <c r="K268">
        <v>0</v>
      </c>
      <c r="L268" s="84" t="s">
        <v>1352</v>
      </c>
      <c r="M268">
        <v>-1</v>
      </c>
      <c r="N268" s="84" t="s">
        <v>1127</v>
      </c>
      <c r="O268" s="84" t="s">
        <v>1128</v>
      </c>
    </row>
    <row r="269" spans="1:15" x14ac:dyDescent="0.25">
      <c r="A269" s="84" t="s">
        <v>238</v>
      </c>
      <c r="B269" s="84" t="s">
        <v>478</v>
      </c>
      <c r="C269" s="84" t="s">
        <v>479</v>
      </c>
      <c r="D269" s="84" t="s">
        <v>1832</v>
      </c>
      <c r="E269" s="70">
        <v>44812</v>
      </c>
      <c r="F269" s="84" t="s">
        <v>1609</v>
      </c>
      <c r="G269">
        <v>0</v>
      </c>
      <c r="H269">
        <v>0</v>
      </c>
      <c r="I269">
        <v>0</v>
      </c>
      <c r="J269">
        <v>0</v>
      </c>
      <c r="K269">
        <v>0</v>
      </c>
      <c r="L269" s="84" t="s">
        <v>1353</v>
      </c>
      <c r="M269">
        <v>-1</v>
      </c>
      <c r="N269" s="84" t="s">
        <v>1127</v>
      </c>
      <c r="O269" s="84" t="s">
        <v>1128</v>
      </c>
    </row>
    <row r="270" spans="1:15" x14ac:dyDescent="0.25">
      <c r="A270" s="84" t="s">
        <v>238</v>
      </c>
      <c r="B270" s="84" t="s">
        <v>480</v>
      </c>
      <c r="C270" s="84" t="s">
        <v>481</v>
      </c>
      <c r="D270" s="84" t="s">
        <v>1833</v>
      </c>
      <c r="E270" s="70">
        <v>44816</v>
      </c>
      <c r="F270" s="84" t="s">
        <v>1609</v>
      </c>
      <c r="G270">
        <v>0</v>
      </c>
      <c r="H270">
        <v>0</v>
      </c>
      <c r="I270">
        <v>0</v>
      </c>
      <c r="J270">
        <v>0</v>
      </c>
      <c r="K270">
        <v>0</v>
      </c>
      <c r="L270" s="84" t="s">
        <v>1354</v>
      </c>
      <c r="M270">
        <v>-1</v>
      </c>
      <c r="N270" s="84" t="s">
        <v>1127</v>
      </c>
      <c r="O270" s="84" t="s">
        <v>1128</v>
      </c>
    </row>
    <row r="271" spans="1:15" x14ac:dyDescent="0.25">
      <c r="A271" s="84" t="s">
        <v>238</v>
      </c>
      <c r="B271" s="84" t="s">
        <v>482</v>
      </c>
      <c r="C271" s="84" t="s">
        <v>483</v>
      </c>
      <c r="D271" s="84" t="s">
        <v>1834</v>
      </c>
      <c r="E271" s="70">
        <v>44817</v>
      </c>
      <c r="F271" s="84" t="s">
        <v>1609</v>
      </c>
      <c r="G271">
        <v>0</v>
      </c>
      <c r="H271">
        <v>-599</v>
      </c>
      <c r="I271">
        <v>-599</v>
      </c>
      <c r="J271">
        <v>247</v>
      </c>
      <c r="K271">
        <v>0</v>
      </c>
      <c r="L271" s="84" t="s">
        <v>1355</v>
      </c>
      <c r="M271">
        <v>-1</v>
      </c>
      <c r="N271" s="84" t="s">
        <v>1127</v>
      </c>
      <c r="O271" s="84" t="s">
        <v>1128</v>
      </c>
    </row>
    <row r="272" spans="1:15" x14ac:dyDescent="0.25">
      <c r="A272" s="84" t="s">
        <v>238</v>
      </c>
      <c r="B272" s="84" t="s">
        <v>484</v>
      </c>
      <c r="C272" s="84" t="s">
        <v>485</v>
      </c>
      <c r="D272" s="84" t="s">
        <v>1835</v>
      </c>
      <c r="E272" s="70">
        <v>44853</v>
      </c>
      <c r="F272" s="84" t="s">
        <v>1611</v>
      </c>
      <c r="G272">
        <v>40000</v>
      </c>
      <c r="H272">
        <v>1362</v>
      </c>
      <c r="I272">
        <v>232</v>
      </c>
      <c r="J272">
        <v>89</v>
      </c>
      <c r="K272">
        <v>38638</v>
      </c>
      <c r="L272" s="84" t="s">
        <v>1356</v>
      </c>
      <c r="M272">
        <v>4</v>
      </c>
      <c r="N272" s="84" t="s">
        <v>1127</v>
      </c>
      <c r="O272" s="84" t="s">
        <v>2344</v>
      </c>
    </row>
    <row r="273" spans="1:15" x14ac:dyDescent="0.25">
      <c r="A273" s="84" t="s">
        <v>74</v>
      </c>
      <c r="B273" s="84" t="s">
        <v>486</v>
      </c>
      <c r="C273" s="84" t="s">
        <v>487</v>
      </c>
      <c r="D273" s="84" t="s">
        <v>1836</v>
      </c>
      <c r="E273" s="70">
        <v>44884</v>
      </c>
      <c r="F273" s="84" t="s">
        <v>1609</v>
      </c>
      <c r="G273">
        <v>0</v>
      </c>
      <c r="H273">
        <v>27</v>
      </c>
      <c r="I273">
        <v>27</v>
      </c>
      <c r="J273">
        <v>154</v>
      </c>
      <c r="K273">
        <v>-27</v>
      </c>
      <c r="L273" s="84" t="s">
        <v>1357</v>
      </c>
      <c r="M273">
        <v>-1</v>
      </c>
      <c r="N273" s="84" t="s">
        <v>1240</v>
      </c>
      <c r="O273" s="84" t="s">
        <v>2161</v>
      </c>
    </row>
    <row r="274" spans="1:15" x14ac:dyDescent="0.25">
      <c r="A274" s="84" t="s">
        <v>238</v>
      </c>
      <c r="B274" s="84" t="s">
        <v>488</v>
      </c>
      <c r="C274" s="84" t="s">
        <v>489</v>
      </c>
      <c r="D274" s="84" t="s">
        <v>1837</v>
      </c>
      <c r="E274" s="70">
        <v>44907</v>
      </c>
      <c r="F274" s="84" t="s">
        <v>1609</v>
      </c>
      <c r="G274">
        <v>0</v>
      </c>
      <c r="H274">
        <v>0</v>
      </c>
      <c r="I274">
        <v>0</v>
      </c>
      <c r="J274">
        <v>0</v>
      </c>
      <c r="K274">
        <v>0</v>
      </c>
      <c r="L274" s="84" t="s">
        <v>1358</v>
      </c>
      <c r="M274">
        <v>-1</v>
      </c>
      <c r="N274" s="84" t="s">
        <v>1127</v>
      </c>
      <c r="O274" s="84" t="s">
        <v>1128</v>
      </c>
    </row>
    <row r="275" spans="1:15" x14ac:dyDescent="0.25">
      <c r="A275" s="84" t="s">
        <v>238</v>
      </c>
      <c r="B275" s="84" t="s">
        <v>490</v>
      </c>
      <c r="C275" s="84" t="s">
        <v>491</v>
      </c>
      <c r="D275" s="84" t="s">
        <v>1838</v>
      </c>
      <c r="E275" s="70">
        <v>44913</v>
      </c>
      <c r="F275" s="84" t="s">
        <v>1609</v>
      </c>
      <c r="G275">
        <v>0</v>
      </c>
      <c r="H275">
        <v>0</v>
      </c>
      <c r="I275">
        <v>0</v>
      </c>
      <c r="J275">
        <v>0</v>
      </c>
      <c r="K275">
        <v>0</v>
      </c>
      <c r="L275" s="84" t="s">
        <v>1359</v>
      </c>
      <c r="M275">
        <v>-1</v>
      </c>
      <c r="N275" s="84" t="s">
        <v>1127</v>
      </c>
      <c r="O275" s="84" t="s">
        <v>1128</v>
      </c>
    </row>
    <row r="276" spans="1:15" x14ac:dyDescent="0.25">
      <c r="A276" s="84" t="s">
        <v>238</v>
      </c>
      <c r="B276" s="84" t="s">
        <v>492</v>
      </c>
      <c r="C276" s="84" t="s">
        <v>493</v>
      </c>
      <c r="D276" s="84" t="s">
        <v>1839</v>
      </c>
      <c r="E276" s="70">
        <v>44933</v>
      </c>
      <c r="F276" s="84" t="s">
        <v>1611</v>
      </c>
      <c r="G276">
        <v>48000</v>
      </c>
      <c r="H276">
        <v>15665</v>
      </c>
      <c r="I276">
        <v>15665</v>
      </c>
      <c r="J276">
        <v>253</v>
      </c>
      <c r="K276">
        <v>32335</v>
      </c>
      <c r="L276" s="84" t="s">
        <v>1360</v>
      </c>
      <c r="M276">
        <v>4</v>
      </c>
      <c r="N276" s="84" t="s">
        <v>1127</v>
      </c>
      <c r="O276" s="84" t="s">
        <v>1361</v>
      </c>
    </row>
    <row r="277" spans="1:15" x14ac:dyDescent="0.25">
      <c r="A277" s="84" t="s">
        <v>238</v>
      </c>
      <c r="B277" s="84" t="s">
        <v>932</v>
      </c>
      <c r="C277" s="84" t="s">
        <v>957</v>
      </c>
      <c r="D277" s="84" t="s">
        <v>1840</v>
      </c>
      <c r="E277" s="70">
        <v>44966</v>
      </c>
      <c r="F277" s="84" t="s">
        <v>1609</v>
      </c>
      <c r="G277">
        <v>0</v>
      </c>
      <c r="H277">
        <v>-1</v>
      </c>
      <c r="I277">
        <v>-1</v>
      </c>
      <c r="J277">
        <v>196</v>
      </c>
      <c r="K277">
        <v>0</v>
      </c>
      <c r="L277" s="84" t="s">
        <v>1362</v>
      </c>
      <c r="M277">
        <v>-1</v>
      </c>
      <c r="N277" s="84" t="s">
        <v>1127</v>
      </c>
      <c r="O277" s="84" t="s">
        <v>1128</v>
      </c>
    </row>
    <row r="278" spans="1:15" x14ac:dyDescent="0.25">
      <c r="A278" s="84" t="s">
        <v>238</v>
      </c>
      <c r="B278" s="84" t="s">
        <v>933</v>
      </c>
      <c r="C278" s="84" t="s">
        <v>958</v>
      </c>
      <c r="D278" s="84" t="s">
        <v>1841</v>
      </c>
      <c r="E278" s="70">
        <v>44976</v>
      </c>
      <c r="F278" s="84" t="s">
        <v>1611</v>
      </c>
      <c r="G278">
        <v>80000</v>
      </c>
      <c r="H278">
        <v>4640</v>
      </c>
      <c r="I278">
        <v>0</v>
      </c>
      <c r="J278">
        <v>0</v>
      </c>
      <c r="K278">
        <v>80000</v>
      </c>
      <c r="L278" s="84" t="s">
        <v>1363</v>
      </c>
      <c r="M278">
        <v>4</v>
      </c>
      <c r="N278" s="84" t="s">
        <v>1127</v>
      </c>
      <c r="O278" s="84" t="s">
        <v>1128</v>
      </c>
    </row>
    <row r="279" spans="1:15" x14ac:dyDescent="0.25">
      <c r="A279" s="84" t="s">
        <v>238</v>
      </c>
      <c r="B279" s="84" t="s">
        <v>934</v>
      </c>
      <c r="C279" s="84" t="s">
        <v>959</v>
      </c>
      <c r="D279" s="84" t="s">
        <v>1842</v>
      </c>
      <c r="E279" s="70">
        <v>44977</v>
      </c>
      <c r="F279" s="84" t="s">
        <v>1611</v>
      </c>
      <c r="G279">
        <v>80000</v>
      </c>
      <c r="H279">
        <v>0</v>
      </c>
      <c r="I279">
        <v>0</v>
      </c>
      <c r="J279">
        <v>0</v>
      </c>
      <c r="K279">
        <v>80000</v>
      </c>
      <c r="L279" s="84" t="s">
        <v>1364</v>
      </c>
      <c r="M279">
        <v>4</v>
      </c>
      <c r="N279" s="84" t="s">
        <v>1127</v>
      </c>
      <c r="O279" s="84" t="s">
        <v>1128</v>
      </c>
    </row>
    <row r="280" spans="1:15" x14ac:dyDescent="0.25">
      <c r="A280" s="84" t="s">
        <v>238</v>
      </c>
      <c r="B280" s="84" t="s">
        <v>935</v>
      </c>
      <c r="C280" s="84" t="s">
        <v>960</v>
      </c>
      <c r="D280" s="84" t="s">
        <v>1843</v>
      </c>
      <c r="E280" s="70">
        <v>44982</v>
      </c>
      <c r="F280" s="84" t="s">
        <v>1609</v>
      </c>
      <c r="G280">
        <v>0</v>
      </c>
      <c r="H280">
        <v>0</v>
      </c>
      <c r="I280">
        <v>0</v>
      </c>
      <c r="J280">
        <v>0</v>
      </c>
      <c r="K280">
        <v>0</v>
      </c>
      <c r="L280" s="84" t="s">
        <v>1365</v>
      </c>
      <c r="M280">
        <v>-1</v>
      </c>
      <c r="N280" s="84" t="s">
        <v>1127</v>
      </c>
      <c r="O280" s="84" t="s">
        <v>1128</v>
      </c>
    </row>
    <row r="281" spans="1:15" x14ac:dyDescent="0.25">
      <c r="A281" s="84" t="s">
        <v>238</v>
      </c>
      <c r="B281" s="84" t="s">
        <v>936</v>
      </c>
      <c r="C281" s="84" t="s">
        <v>994</v>
      </c>
      <c r="D281" s="84" t="s">
        <v>1844</v>
      </c>
      <c r="E281" s="70">
        <v>44982</v>
      </c>
      <c r="F281" s="84" t="s">
        <v>1609</v>
      </c>
      <c r="G281">
        <v>0</v>
      </c>
      <c r="H281">
        <v>0</v>
      </c>
      <c r="I281">
        <v>0</v>
      </c>
      <c r="J281">
        <v>0</v>
      </c>
      <c r="K281">
        <v>0</v>
      </c>
      <c r="L281" s="84" t="s">
        <v>1365</v>
      </c>
      <c r="M281">
        <v>-1</v>
      </c>
      <c r="N281" s="84" t="s">
        <v>1127</v>
      </c>
      <c r="O281" s="84" t="s">
        <v>1128</v>
      </c>
    </row>
    <row r="282" spans="1:15" x14ac:dyDescent="0.25">
      <c r="A282" s="84" t="s">
        <v>238</v>
      </c>
      <c r="B282" s="84" t="s">
        <v>980</v>
      </c>
      <c r="C282" s="84" t="s">
        <v>983</v>
      </c>
      <c r="D282" s="84" t="s">
        <v>1758</v>
      </c>
      <c r="E282" s="70">
        <v>45012</v>
      </c>
      <c r="F282" s="84" t="s">
        <v>1611</v>
      </c>
      <c r="G282">
        <v>10000</v>
      </c>
      <c r="H282">
        <v>679</v>
      </c>
      <c r="I282">
        <v>0</v>
      </c>
      <c r="J282">
        <v>0</v>
      </c>
      <c r="K282">
        <v>10000</v>
      </c>
      <c r="L282" s="84" t="s">
        <v>1366</v>
      </c>
      <c r="M282">
        <v>4</v>
      </c>
      <c r="N282" s="84" t="s">
        <v>1127</v>
      </c>
      <c r="O282" s="84" t="s">
        <v>1128</v>
      </c>
    </row>
    <row r="283" spans="1:15" x14ac:dyDescent="0.25">
      <c r="A283" s="84" t="s">
        <v>238</v>
      </c>
      <c r="B283" s="84" t="s">
        <v>981</v>
      </c>
      <c r="C283" s="84" t="s">
        <v>984</v>
      </c>
      <c r="D283" s="84" t="s">
        <v>1727</v>
      </c>
      <c r="E283" s="70">
        <v>45012</v>
      </c>
      <c r="F283" s="84" t="s">
        <v>1611</v>
      </c>
      <c r="G283">
        <v>9000</v>
      </c>
      <c r="H283">
        <v>873</v>
      </c>
      <c r="I283">
        <v>1</v>
      </c>
      <c r="J283">
        <v>166</v>
      </c>
      <c r="K283">
        <v>8127</v>
      </c>
      <c r="L283" s="84" t="s">
        <v>1366</v>
      </c>
      <c r="M283">
        <v>4</v>
      </c>
      <c r="N283" s="84" t="s">
        <v>1127</v>
      </c>
      <c r="O283" s="84" t="s">
        <v>1282</v>
      </c>
    </row>
    <row r="284" spans="1:15" x14ac:dyDescent="0.25">
      <c r="A284" s="84" t="s">
        <v>238</v>
      </c>
      <c r="B284" s="84" t="s">
        <v>982</v>
      </c>
      <c r="C284" s="84" t="s">
        <v>985</v>
      </c>
      <c r="D284" s="84" t="s">
        <v>1727</v>
      </c>
      <c r="E284" s="70">
        <v>45012</v>
      </c>
      <c r="F284" s="84" t="s">
        <v>1611</v>
      </c>
      <c r="G284">
        <v>7000</v>
      </c>
      <c r="H284">
        <v>3920</v>
      </c>
      <c r="I284">
        <v>3920</v>
      </c>
      <c r="J284">
        <v>133</v>
      </c>
      <c r="K284">
        <v>3080</v>
      </c>
      <c r="L284" s="84" t="s">
        <v>1366</v>
      </c>
      <c r="M284">
        <v>4</v>
      </c>
      <c r="N284" s="84" t="s">
        <v>1127</v>
      </c>
      <c r="O284" s="84" t="s">
        <v>2298</v>
      </c>
    </row>
    <row r="285" spans="1:15" x14ac:dyDescent="0.25">
      <c r="A285" s="84" t="s">
        <v>238</v>
      </c>
      <c r="B285" s="84" t="s">
        <v>1109</v>
      </c>
      <c r="C285" s="84" t="s">
        <v>2281</v>
      </c>
      <c r="D285" s="84" t="s">
        <v>1845</v>
      </c>
      <c r="E285" s="70">
        <v>45070</v>
      </c>
      <c r="F285" s="84" t="s">
        <v>1611</v>
      </c>
      <c r="G285">
        <v>25000</v>
      </c>
      <c r="H285">
        <v>18043</v>
      </c>
      <c r="I285">
        <v>18043</v>
      </c>
      <c r="J285">
        <v>118</v>
      </c>
      <c r="K285">
        <v>6957</v>
      </c>
      <c r="L285" s="84" t="s">
        <v>2162</v>
      </c>
      <c r="M285">
        <v>4</v>
      </c>
      <c r="N285" s="84" t="s">
        <v>1127</v>
      </c>
      <c r="O285" s="84" t="s">
        <v>2456</v>
      </c>
    </row>
    <row r="286" spans="1:15" x14ac:dyDescent="0.25">
      <c r="A286" s="84" t="s">
        <v>238</v>
      </c>
      <c r="B286" s="84" t="s">
        <v>1846</v>
      </c>
      <c r="C286" s="84" t="s">
        <v>1847</v>
      </c>
      <c r="D286" s="84" t="s">
        <v>1848</v>
      </c>
      <c r="E286" s="70">
        <v>45078</v>
      </c>
      <c r="F286" s="84" t="s">
        <v>1609</v>
      </c>
      <c r="G286">
        <v>0</v>
      </c>
      <c r="H286">
        <v>2957</v>
      </c>
      <c r="I286">
        <v>0</v>
      </c>
      <c r="J286">
        <v>0</v>
      </c>
      <c r="K286">
        <v>0</v>
      </c>
      <c r="L286" s="84" t="s">
        <v>2163</v>
      </c>
      <c r="M286">
        <v>-1</v>
      </c>
      <c r="N286" s="84" t="s">
        <v>1127</v>
      </c>
      <c r="O286" s="84" t="s">
        <v>1128</v>
      </c>
    </row>
    <row r="287" spans="1:15" x14ac:dyDescent="0.25">
      <c r="A287" s="84" t="s">
        <v>238</v>
      </c>
      <c r="B287" s="84" t="s">
        <v>2068</v>
      </c>
      <c r="C287" s="84" t="s">
        <v>2164</v>
      </c>
      <c r="D287" s="84" t="s">
        <v>2165</v>
      </c>
      <c r="E287" s="70">
        <v>45083</v>
      </c>
      <c r="F287" s="84" t="s">
        <v>1611</v>
      </c>
      <c r="G287">
        <v>40000</v>
      </c>
      <c r="H287">
        <v>1130</v>
      </c>
      <c r="I287">
        <v>1130</v>
      </c>
      <c r="J287">
        <v>104</v>
      </c>
      <c r="K287">
        <v>38870</v>
      </c>
      <c r="L287" s="84" t="s">
        <v>2166</v>
      </c>
      <c r="M287">
        <v>4</v>
      </c>
      <c r="N287" s="84" t="s">
        <v>1127</v>
      </c>
      <c r="O287" s="84" t="s">
        <v>2299</v>
      </c>
    </row>
    <row r="288" spans="1:15" x14ac:dyDescent="0.25">
      <c r="A288" s="84" t="s">
        <v>74</v>
      </c>
      <c r="B288" s="84" t="s">
        <v>2154</v>
      </c>
      <c r="C288" s="84" t="s">
        <v>2155</v>
      </c>
      <c r="D288" s="84" t="s">
        <v>2167</v>
      </c>
      <c r="E288" s="70">
        <v>45094</v>
      </c>
      <c r="F288" s="84" t="s">
        <v>1609</v>
      </c>
      <c r="G288">
        <v>0</v>
      </c>
      <c r="H288">
        <v>0</v>
      </c>
      <c r="I288">
        <v>0</v>
      </c>
      <c r="J288">
        <v>0</v>
      </c>
      <c r="K288">
        <v>0</v>
      </c>
      <c r="L288" s="84" t="s">
        <v>2168</v>
      </c>
      <c r="M288">
        <v>-1</v>
      </c>
      <c r="N288" s="84" t="s">
        <v>1127</v>
      </c>
      <c r="O288" s="84" t="s">
        <v>1128</v>
      </c>
    </row>
    <row r="289" spans="1:15" x14ac:dyDescent="0.25">
      <c r="A289" s="84" t="s">
        <v>238</v>
      </c>
      <c r="B289" s="84" t="s">
        <v>2202</v>
      </c>
      <c r="C289" s="84" t="s">
        <v>2253</v>
      </c>
      <c r="D289" s="84" t="s">
        <v>2254</v>
      </c>
      <c r="E289" s="70">
        <v>45113</v>
      </c>
      <c r="F289" s="84" t="s">
        <v>1609</v>
      </c>
      <c r="G289">
        <v>0</v>
      </c>
      <c r="H289">
        <v>-31</v>
      </c>
      <c r="I289">
        <v>0</v>
      </c>
      <c r="J289">
        <v>0</v>
      </c>
      <c r="K289">
        <v>0</v>
      </c>
      <c r="L289" s="84" t="s">
        <v>2166</v>
      </c>
      <c r="M289">
        <v>-1</v>
      </c>
      <c r="N289" s="84" t="s">
        <v>1127</v>
      </c>
      <c r="O289" s="84" t="s">
        <v>1128</v>
      </c>
    </row>
    <row r="290" spans="1:15" x14ac:dyDescent="0.25">
      <c r="A290" s="84" t="s">
        <v>238</v>
      </c>
      <c r="B290" s="84" t="s">
        <v>2279</v>
      </c>
      <c r="C290" s="84" t="s">
        <v>2282</v>
      </c>
      <c r="D290" s="84" t="s">
        <v>1845</v>
      </c>
      <c r="E290" s="70">
        <v>45129</v>
      </c>
      <c r="F290" s="84" t="s">
        <v>1611</v>
      </c>
      <c r="G290">
        <v>15000</v>
      </c>
      <c r="H290">
        <v>3337</v>
      </c>
      <c r="I290">
        <v>0</v>
      </c>
      <c r="J290">
        <v>0</v>
      </c>
      <c r="K290">
        <v>15000</v>
      </c>
      <c r="L290" s="84" t="s">
        <v>2162</v>
      </c>
      <c r="M290">
        <v>4</v>
      </c>
      <c r="N290" s="84" t="s">
        <v>1127</v>
      </c>
      <c r="O290" s="84" t="s">
        <v>1128</v>
      </c>
    </row>
    <row r="291" spans="1:15" x14ac:dyDescent="0.25">
      <c r="A291" s="84" t="s">
        <v>187</v>
      </c>
      <c r="B291" s="84" t="s">
        <v>494</v>
      </c>
      <c r="C291" s="84" t="s">
        <v>2345</v>
      </c>
      <c r="D291" s="84"/>
      <c r="E291" s="70">
        <v>43581</v>
      </c>
      <c r="F291" s="84" t="s">
        <v>1609</v>
      </c>
      <c r="G291">
        <v>0</v>
      </c>
      <c r="H291">
        <v>0</v>
      </c>
      <c r="I291">
        <v>0</v>
      </c>
      <c r="J291">
        <v>0</v>
      </c>
      <c r="K291">
        <v>0</v>
      </c>
      <c r="L291" s="84" t="s">
        <v>1367</v>
      </c>
      <c r="M291">
        <v>-1</v>
      </c>
      <c r="N291" s="84" t="s">
        <v>1127</v>
      </c>
      <c r="O291" s="84" t="s">
        <v>1128</v>
      </c>
    </row>
    <row r="292" spans="1:15" x14ac:dyDescent="0.25">
      <c r="A292" s="84" t="s">
        <v>187</v>
      </c>
      <c r="B292" s="84" t="s">
        <v>495</v>
      </c>
      <c r="C292" s="84" t="s">
        <v>2346</v>
      </c>
      <c r="D292" s="84"/>
      <c r="E292" s="70">
        <v>43581</v>
      </c>
      <c r="F292" s="84" t="s">
        <v>1609</v>
      </c>
      <c r="G292">
        <v>0</v>
      </c>
      <c r="H292">
        <v>0</v>
      </c>
      <c r="I292">
        <v>0</v>
      </c>
      <c r="J292">
        <v>0</v>
      </c>
      <c r="K292">
        <v>0</v>
      </c>
      <c r="L292" s="84" t="s">
        <v>1367</v>
      </c>
      <c r="M292">
        <v>-1</v>
      </c>
      <c r="N292" s="84" t="s">
        <v>1127</v>
      </c>
      <c r="O292" s="84" t="s">
        <v>1128</v>
      </c>
    </row>
    <row r="293" spans="1:15" x14ac:dyDescent="0.25">
      <c r="A293" s="84" t="s">
        <v>187</v>
      </c>
      <c r="B293" s="84" t="s">
        <v>496</v>
      </c>
      <c r="C293" s="84" t="s">
        <v>2347</v>
      </c>
      <c r="D293" s="84"/>
      <c r="E293" s="70">
        <v>43581</v>
      </c>
      <c r="F293" s="84" t="s">
        <v>1609</v>
      </c>
      <c r="G293">
        <v>0</v>
      </c>
      <c r="H293">
        <v>0</v>
      </c>
      <c r="I293">
        <v>0</v>
      </c>
      <c r="J293">
        <v>0</v>
      </c>
      <c r="K293">
        <v>0</v>
      </c>
      <c r="L293" s="84" t="s">
        <v>1367</v>
      </c>
      <c r="M293">
        <v>-1</v>
      </c>
      <c r="N293" s="84" t="s">
        <v>1127</v>
      </c>
      <c r="O293" s="84" t="s">
        <v>1128</v>
      </c>
    </row>
    <row r="294" spans="1:15" x14ac:dyDescent="0.25">
      <c r="A294" s="84" t="s">
        <v>187</v>
      </c>
      <c r="B294" s="84" t="s">
        <v>497</v>
      </c>
      <c r="C294" s="84" t="s">
        <v>498</v>
      </c>
      <c r="D294" s="84" t="s">
        <v>1849</v>
      </c>
      <c r="E294" s="70">
        <v>43581</v>
      </c>
      <c r="F294" s="84" t="s">
        <v>1611</v>
      </c>
      <c r="G294">
        <v>12000</v>
      </c>
      <c r="H294">
        <v>0</v>
      </c>
      <c r="I294">
        <v>0</v>
      </c>
      <c r="J294">
        <v>0</v>
      </c>
      <c r="K294">
        <v>12000</v>
      </c>
      <c r="L294" s="84" t="s">
        <v>1367</v>
      </c>
      <c r="M294">
        <v>4</v>
      </c>
      <c r="N294" s="84" t="s">
        <v>1127</v>
      </c>
      <c r="O294" s="84" t="s">
        <v>1128</v>
      </c>
    </row>
    <row r="295" spans="1:15" x14ac:dyDescent="0.25">
      <c r="A295" s="84" t="s">
        <v>187</v>
      </c>
      <c r="B295" s="84" t="s">
        <v>499</v>
      </c>
      <c r="C295" s="84" t="s">
        <v>500</v>
      </c>
      <c r="D295" s="84"/>
      <c r="E295" s="70">
        <v>43581</v>
      </c>
      <c r="F295" s="84" t="s">
        <v>1611</v>
      </c>
      <c r="G295">
        <v>16000</v>
      </c>
      <c r="H295">
        <v>0</v>
      </c>
      <c r="I295">
        <v>0</v>
      </c>
      <c r="J295">
        <v>0</v>
      </c>
      <c r="K295">
        <v>16000</v>
      </c>
      <c r="L295" s="84" t="s">
        <v>1367</v>
      </c>
      <c r="M295">
        <v>4</v>
      </c>
      <c r="N295" s="84" t="s">
        <v>1127</v>
      </c>
      <c r="O295" s="84" t="s">
        <v>1128</v>
      </c>
    </row>
    <row r="296" spans="1:15" x14ac:dyDescent="0.25">
      <c r="A296" s="84" t="s">
        <v>187</v>
      </c>
      <c r="B296" s="84" t="s">
        <v>501</v>
      </c>
      <c r="C296" s="84" t="s">
        <v>502</v>
      </c>
      <c r="D296" s="84" t="s">
        <v>1850</v>
      </c>
      <c r="E296" s="70">
        <v>44549</v>
      </c>
      <c r="F296" s="84" t="s">
        <v>1609</v>
      </c>
      <c r="G296">
        <v>0</v>
      </c>
      <c r="H296">
        <v>0</v>
      </c>
      <c r="I296">
        <v>0</v>
      </c>
      <c r="J296">
        <v>0</v>
      </c>
      <c r="K296">
        <v>0</v>
      </c>
      <c r="L296" s="84" t="s">
        <v>1368</v>
      </c>
      <c r="M296">
        <v>-1</v>
      </c>
      <c r="N296" s="84" t="s">
        <v>1127</v>
      </c>
      <c r="O296" s="84" t="s">
        <v>1128</v>
      </c>
    </row>
    <row r="297" spans="1:15" x14ac:dyDescent="0.25">
      <c r="A297" s="84" t="s">
        <v>187</v>
      </c>
      <c r="B297" s="84" t="s">
        <v>503</v>
      </c>
      <c r="C297" s="84" t="s">
        <v>2348</v>
      </c>
      <c r="D297" s="84"/>
      <c r="E297" s="70">
        <v>43581</v>
      </c>
      <c r="F297" s="84" t="s">
        <v>1609</v>
      </c>
      <c r="G297">
        <v>0</v>
      </c>
      <c r="H297">
        <v>0</v>
      </c>
      <c r="I297">
        <v>0</v>
      </c>
      <c r="J297">
        <v>0</v>
      </c>
      <c r="K297">
        <v>0</v>
      </c>
      <c r="L297" s="84" t="s">
        <v>1367</v>
      </c>
      <c r="M297">
        <v>-1</v>
      </c>
      <c r="N297" s="84" t="s">
        <v>1127</v>
      </c>
      <c r="O297" s="84" t="s">
        <v>1128</v>
      </c>
    </row>
    <row r="298" spans="1:15" x14ac:dyDescent="0.25">
      <c r="A298" s="84" t="s">
        <v>187</v>
      </c>
      <c r="B298" s="84" t="s">
        <v>504</v>
      </c>
      <c r="C298" s="84" t="s">
        <v>505</v>
      </c>
      <c r="D298" s="84" t="s">
        <v>1851</v>
      </c>
      <c r="E298" s="70">
        <v>43581</v>
      </c>
      <c r="F298" s="84" t="s">
        <v>1611</v>
      </c>
      <c r="G298">
        <v>24000</v>
      </c>
      <c r="H298">
        <v>0</v>
      </c>
      <c r="I298">
        <v>0</v>
      </c>
      <c r="J298">
        <v>0</v>
      </c>
      <c r="K298">
        <v>24000</v>
      </c>
      <c r="L298" s="84" t="s">
        <v>1367</v>
      </c>
      <c r="M298">
        <v>4</v>
      </c>
      <c r="N298" s="84" t="s">
        <v>1127</v>
      </c>
      <c r="O298" s="84" t="s">
        <v>1128</v>
      </c>
    </row>
    <row r="299" spans="1:15" x14ac:dyDescent="0.25">
      <c r="A299" s="84" t="s">
        <v>187</v>
      </c>
      <c r="B299" s="84" t="s">
        <v>506</v>
      </c>
      <c r="C299" s="84" t="s">
        <v>507</v>
      </c>
      <c r="D299" s="84" t="s">
        <v>1852</v>
      </c>
      <c r="E299" s="70">
        <v>43698</v>
      </c>
      <c r="F299" s="84" t="s">
        <v>1611</v>
      </c>
      <c r="G299">
        <v>40000</v>
      </c>
      <c r="H299">
        <v>0</v>
      </c>
      <c r="I299">
        <v>0</v>
      </c>
      <c r="J299">
        <v>0</v>
      </c>
      <c r="K299">
        <v>40000</v>
      </c>
      <c r="L299" s="84" t="s">
        <v>1369</v>
      </c>
      <c r="M299">
        <v>4</v>
      </c>
      <c r="N299" s="84" t="s">
        <v>1127</v>
      </c>
      <c r="O299" s="84" t="s">
        <v>1128</v>
      </c>
    </row>
    <row r="300" spans="1:15" x14ac:dyDescent="0.25">
      <c r="A300" s="84" t="s">
        <v>187</v>
      </c>
      <c r="B300" s="84" t="s">
        <v>508</v>
      </c>
      <c r="C300" s="84" t="s">
        <v>509</v>
      </c>
      <c r="D300" s="84" t="s">
        <v>1853</v>
      </c>
      <c r="E300" s="70">
        <v>43581</v>
      </c>
      <c r="F300" s="84" t="s">
        <v>1611</v>
      </c>
      <c r="G300">
        <v>25000</v>
      </c>
      <c r="H300">
        <v>0</v>
      </c>
      <c r="I300">
        <v>0</v>
      </c>
      <c r="J300">
        <v>0</v>
      </c>
      <c r="K300">
        <v>25000</v>
      </c>
      <c r="L300" s="84" t="s">
        <v>1367</v>
      </c>
      <c r="M300">
        <v>4</v>
      </c>
      <c r="N300" s="84" t="s">
        <v>1127</v>
      </c>
      <c r="O300" s="84" t="s">
        <v>1128</v>
      </c>
    </row>
    <row r="301" spans="1:15" x14ac:dyDescent="0.25">
      <c r="A301" s="84" t="s">
        <v>187</v>
      </c>
      <c r="B301" s="84" t="s">
        <v>510</v>
      </c>
      <c r="C301" s="84" t="s">
        <v>2349</v>
      </c>
      <c r="D301" s="84"/>
      <c r="E301" s="70">
        <v>43581</v>
      </c>
      <c r="F301" s="84" t="s">
        <v>1609</v>
      </c>
      <c r="G301">
        <v>0</v>
      </c>
      <c r="H301">
        <v>0</v>
      </c>
      <c r="I301">
        <v>0</v>
      </c>
      <c r="J301">
        <v>0</v>
      </c>
      <c r="K301">
        <v>0</v>
      </c>
      <c r="L301" s="84" t="s">
        <v>1367</v>
      </c>
      <c r="M301">
        <v>-1</v>
      </c>
      <c r="N301" s="84" t="s">
        <v>1127</v>
      </c>
      <c r="O301" s="84" t="s">
        <v>1128</v>
      </c>
    </row>
    <row r="302" spans="1:15" x14ac:dyDescent="0.25">
      <c r="A302" s="84" t="s">
        <v>187</v>
      </c>
      <c r="B302" s="84" t="s">
        <v>511</v>
      </c>
      <c r="C302" s="84" t="s">
        <v>512</v>
      </c>
      <c r="D302" s="84" t="s">
        <v>1854</v>
      </c>
      <c r="E302" s="70">
        <v>43581</v>
      </c>
      <c r="F302" s="84" t="s">
        <v>1611</v>
      </c>
      <c r="G302">
        <v>40000</v>
      </c>
      <c r="H302">
        <v>0</v>
      </c>
      <c r="I302">
        <v>0</v>
      </c>
      <c r="J302">
        <v>0</v>
      </c>
      <c r="K302">
        <v>40000</v>
      </c>
      <c r="L302" s="84" t="s">
        <v>1367</v>
      </c>
      <c r="M302">
        <v>4</v>
      </c>
      <c r="N302" s="84" t="s">
        <v>1127</v>
      </c>
      <c r="O302" s="84" t="s">
        <v>1128</v>
      </c>
    </row>
    <row r="303" spans="1:15" x14ac:dyDescent="0.25">
      <c r="A303" s="84" t="s">
        <v>187</v>
      </c>
      <c r="B303" s="84" t="s">
        <v>513</v>
      </c>
      <c r="C303" s="84" t="s">
        <v>2350</v>
      </c>
      <c r="D303" s="84"/>
      <c r="E303" s="70">
        <v>43581</v>
      </c>
      <c r="F303" s="84" t="s">
        <v>1609</v>
      </c>
      <c r="G303">
        <v>0</v>
      </c>
      <c r="H303">
        <v>0</v>
      </c>
      <c r="I303">
        <v>0</v>
      </c>
      <c r="J303">
        <v>0</v>
      </c>
      <c r="K303">
        <v>0</v>
      </c>
      <c r="L303" s="84" t="s">
        <v>1367</v>
      </c>
      <c r="M303">
        <v>-1</v>
      </c>
      <c r="N303" s="84" t="s">
        <v>1127</v>
      </c>
      <c r="O303" s="84" t="s">
        <v>1128</v>
      </c>
    </row>
    <row r="304" spans="1:15" x14ac:dyDescent="0.25">
      <c r="A304" s="84" t="s">
        <v>187</v>
      </c>
      <c r="B304" s="84" t="s">
        <v>514</v>
      </c>
      <c r="C304" s="84" t="s">
        <v>515</v>
      </c>
      <c r="D304" s="84"/>
      <c r="E304" s="70">
        <v>43589</v>
      </c>
      <c r="F304" s="84" t="s">
        <v>1609</v>
      </c>
      <c r="G304">
        <v>0</v>
      </c>
      <c r="H304">
        <v>0</v>
      </c>
      <c r="I304">
        <v>0</v>
      </c>
      <c r="J304">
        <v>0</v>
      </c>
      <c r="K304">
        <v>0</v>
      </c>
      <c r="L304" s="84" t="s">
        <v>1370</v>
      </c>
      <c r="M304">
        <v>-1</v>
      </c>
      <c r="N304" s="84" t="s">
        <v>1127</v>
      </c>
      <c r="O304" s="84" t="s">
        <v>1128</v>
      </c>
    </row>
    <row r="305" spans="1:15" x14ac:dyDescent="0.25">
      <c r="A305" s="84" t="s">
        <v>187</v>
      </c>
      <c r="B305" s="84" t="s">
        <v>516</v>
      </c>
      <c r="C305" s="84" t="s">
        <v>1051</v>
      </c>
      <c r="D305" s="84" t="s">
        <v>1855</v>
      </c>
      <c r="E305" s="70">
        <v>43589</v>
      </c>
      <c r="F305" s="84" t="s">
        <v>1611</v>
      </c>
      <c r="G305">
        <v>40000</v>
      </c>
      <c r="H305">
        <v>31324</v>
      </c>
      <c r="I305">
        <v>14011</v>
      </c>
      <c r="J305">
        <v>99</v>
      </c>
      <c r="K305">
        <v>8676</v>
      </c>
      <c r="L305" s="84" t="s">
        <v>1370</v>
      </c>
      <c r="M305">
        <v>4</v>
      </c>
      <c r="N305" s="84" t="s">
        <v>1127</v>
      </c>
      <c r="O305" s="84" t="s">
        <v>2457</v>
      </c>
    </row>
    <row r="306" spans="1:15" x14ac:dyDescent="0.25">
      <c r="A306" s="84" t="s">
        <v>187</v>
      </c>
      <c r="B306" s="84" t="s">
        <v>517</v>
      </c>
      <c r="C306" s="84" t="s">
        <v>2351</v>
      </c>
      <c r="D306" s="84"/>
      <c r="E306" s="70">
        <v>43581</v>
      </c>
      <c r="F306" s="84" t="s">
        <v>1609</v>
      </c>
      <c r="G306">
        <v>0</v>
      </c>
      <c r="H306">
        <v>0</v>
      </c>
      <c r="I306">
        <v>0</v>
      </c>
      <c r="J306">
        <v>0</v>
      </c>
      <c r="K306">
        <v>0</v>
      </c>
      <c r="L306" s="84" t="s">
        <v>1367</v>
      </c>
      <c r="M306">
        <v>-1</v>
      </c>
      <c r="N306" s="84" t="s">
        <v>1127</v>
      </c>
      <c r="O306" s="84" t="s">
        <v>1128</v>
      </c>
    </row>
    <row r="307" spans="1:15" x14ac:dyDescent="0.25">
      <c r="A307" s="84" t="s">
        <v>187</v>
      </c>
      <c r="B307" s="84" t="s">
        <v>518</v>
      </c>
      <c r="C307" s="84" t="s">
        <v>519</v>
      </c>
      <c r="D307" s="84" t="s">
        <v>1856</v>
      </c>
      <c r="E307" s="70">
        <v>43589</v>
      </c>
      <c r="F307" s="84" t="s">
        <v>1609</v>
      </c>
      <c r="G307">
        <v>0</v>
      </c>
      <c r="H307">
        <v>0</v>
      </c>
      <c r="I307">
        <v>0</v>
      </c>
      <c r="J307">
        <v>0</v>
      </c>
      <c r="K307">
        <v>0</v>
      </c>
      <c r="L307" s="84" t="s">
        <v>1370</v>
      </c>
      <c r="M307">
        <v>-1</v>
      </c>
      <c r="N307" s="84" t="s">
        <v>1127</v>
      </c>
      <c r="O307" s="84" t="s">
        <v>1128</v>
      </c>
    </row>
    <row r="308" spans="1:15" x14ac:dyDescent="0.25">
      <c r="A308" s="84" t="s">
        <v>187</v>
      </c>
      <c r="B308" s="84" t="s">
        <v>520</v>
      </c>
      <c r="C308" s="84" t="s">
        <v>521</v>
      </c>
      <c r="D308" s="84" t="s">
        <v>1857</v>
      </c>
      <c r="E308" s="70">
        <v>43589</v>
      </c>
      <c r="F308" s="84" t="s">
        <v>1611</v>
      </c>
      <c r="G308">
        <v>10000</v>
      </c>
      <c r="H308">
        <v>16188</v>
      </c>
      <c r="I308">
        <v>1</v>
      </c>
      <c r="J308">
        <v>132</v>
      </c>
      <c r="K308">
        <v>-6188</v>
      </c>
      <c r="L308" s="84" t="s">
        <v>1370</v>
      </c>
      <c r="M308">
        <v>4</v>
      </c>
      <c r="N308" s="84" t="s">
        <v>1240</v>
      </c>
      <c r="O308" s="84" t="s">
        <v>1282</v>
      </c>
    </row>
    <row r="309" spans="1:15" x14ac:dyDescent="0.25">
      <c r="A309" s="84" t="s">
        <v>187</v>
      </c>
      <c r="B309" s="84" t="s">
        <v>522</v>
      </c>
      <c r="C309" s="84" t="s">
        <v>523</v>
      </c>
      <c r="D309" s="84"/>
      <c r="E309" s="70">
        <v>43587</v>
      </c>
      <c r="F309" s="84" t="s">
        <v>1611</v>
      </c>
      <c r="G309">
        <v>50000</v>
      </c>
      <c r="H309">
        <v>0</v>
      </c>
      <c r="I309">
        <v>0</v>
      </c>
      <c r="J309">
        <v>0</v>
      </c>
      <c r="K309">
        <v>50000</v>
      </c>
      <c r="L309" s="84" t="s">
        <v>1371</v>
      </c>
      <c r="M309">
        <v>4</v>
      </c>
      <c r="N309" s="84" t="s">
        <v>1127</v>
      </c>
      <c r="O309" s="84" t="s">
        <v>1128</v>
      </c>
    </row>
    <row r="310" spans="1:15" x14ac:dyDescent="0.25">
      <c r="A310" s="84" t="s">
        <v>187</v>
      </c>
      <c r="B310" s="84" t="s">
        <v>524</v>
      </c>
      <c r="C310" s="84" t="s">
        <v>525</v>
      </c>
      <c r="D310" s="84" t="s">
        <v>1858</v>
      </c>
      <c r="E310" s="70">
        <v>43589</v>
      </c>
      <c r="F310" s="84" t="s">
        <v>1611</v>
      </c>
      <c r="G310">
        <v>28000</v>
      </c>
      <c r="H310">
        <v>7477</v>
      </c>
      <c r="I310">
        <v>7477</v>
      </c>
      <c r="J310">
        <v>155</v>
      </c>
      <c r="K310">
        <v>20523</v>
      </c>
      <c r="L310" s="84" t="s">
        <v>1370</v>
      </c>
      <c r="M310">
        <v>4</v>
      </c>
      <c r="N310" s="84" t="s">
        <v>1127</v>
      </c>
      <c r="O310" s="84" t="s">
        <v>2400</v>
      </c>
    </row>
    <row r="311" spans="1:15" x14ac:dyDescent="0.25">
      <c r="A311" s="84" t="s">
        <v>187</v>
      </c>
      <c r="B311" s="84" t="s">
        <v>526</v>
      </c>
      <c r="C311" s="84" t="s">
        <v>527</v>
      </c>
      <c r="D311" s="84"/>
      <c r="E311" s="70">
        <v>43643</v>
      </c>
      <c r="F311" s="84" t="s">
        <v>1609</v>
      </c>
      <c r="G311">
        <v>0</v>
      </c>
      <c r="H311">
        <v>-71.89</v>
      </c>
      <c r="I311">
        <v>-71.89</v>
      </c>
      <c r="J311">
        <v>1524</v>
      </c>
      <c r="K311">
        <v>0</v>
      </c>
      <c r="L311" s="84" t="s">
        <v>1372</v>
      </c>
      <c r="M311">
        <v>-1</v>
      </c>
      <c r="N311" s="84" t="s">
        <v>1127</v>
      </c>
      <c r="O311" s="84" t="s">
        <v>1128</v>
      </c>
    </row>
    <row r="312" spans="1:15" x14ac:dyDescent="0.25">
      <c r="A312" s="84" t="s">
        <v>187</v>
      </c>
      <c r="B312" s="84" t="s">
        <v>528</v>
      </c>
      <c r="C312" s="84" t="s">
        <v>529</v>
      </c>
      <c r="D312" s="84" t="s">
        <v>1859</v>
      </c>
      <c r="E312" s="70">
        <v>43589</v>
      </c>
      <c r="F312" s="84" t="s">
        <v>1611</v>
      </c>
      <c r="G312">
        <v>160000</v>
      </c>
      <c r="H312">
        <v>51957.38</v>
      </c>
      <c r="I312">
        <v>3929.38</v>
      </c>
      <c r="J312">
        <v>66</v>
      </c>
      <c r="K312">
        <v>108042.62</v>
      </c>
      <c r="L312" s="84" t="s">
        <v>1370</v>
      </c>
      <c r="M312">
        <v>4</v>
      </c>
      <c r="N312" s="84" t="s">
        <v>1127</v>
      </c>
      <c r="O312" s="84" t="s">
        <v>2458</v>
      </c>
    </row>
    <row r="313" spans="1:15" x14ac:dyDescent="0.25">
      <c r="A313" s="84" t="s">
        <v>187</v>
      </c>
      <c r="B313" s="84" t="s">
        <v>530</v>
      </c>
      <c r="C313" s="84" t="s">
        <v>531</v>
      </c>
      <c r="D313" s="84" t="s">
        <v>1860</v>
      </c>
      <c r="E313" s="70">
        <v>43589</v>
      </c>
      <c r="F313" s="84" t="s">
        <v>1611</v>
      </c>
      <c r="G313">
        <v>20000</v>
      </c>
      <c r="H313">
        <v>0</v>
      </c>
      <c r="I313">
        <v>0</v>
      </c>
      <c r="J313">
        <v>0</v>
      </c>
      <c r="K313">
        <v>20000</v>
      </c>
      <c r="L313" s="84" t="s">
        <v>1370</v>
      </c>
      <c r="M313">
        <v>4</v>
      </c>
      <c r="N313" s="84" t="s">
        <v>1127</v>
      </c>
      <c r="O313" s="84" t="s">
        <v>1128</v>
      </c>
    </row>
    <row r="314" spans="1:15" x14ac:dyDescent="0.25">
      <c r="A314" s="84" t="s">
        <v>187</v>
      </c>
      <c r="B314" s="84" t="s">
        <v>532</v>
      </c>
      <c r="C314" s="84" t="s">
        <v>533</v>
      </c>
      <c r="D314" s="84" t="s">
        <v>1857</v>
      </c>
      <c r="E314" s="70">
        <v>43589</v>
      </c>
      <c r="F314" s="84" t="s">
        <v>1611</v>
      </c>
      <c r="G314">
        <v>10000</v>
      </c>
      <c r="H314">
        <v>11139</v>
      </c>
      <c r="I314">
        <v>11139</v>
      </c>
      <c r="J314">
        <v>114</v>
      </c>
      <c r="K314">
        <v>-1139</v>
      </c>
      <c r="L314" s="84" t="s">
        <v>1370</v>
      </c>
      <c r="M314">
        <v>4</v>
      </c>
      <c r="N314" s="84" t="s">
        <v>1240</v>
      </c>
      <c r="O314" s="84" t="s">
        <v>2459</v>
      </c>
    </row>
    <row r="315" spans="1:15" x14ac:dyDescent="0.25">
      <c r="A315" s="84" t="s">
        <v>187</v>
      </c>
      <c r="B315" s="84" t="s">
        <v>534</v>
      </c>
      <c r="C315" s="84" t="s">
        <v>2352</v>
      </c>
      <c r="D315" s="84"/>
      <c r="E315" s="70">
        <v>43643</v>
      </c>
      <c r="F315" s="84" t="s">
        <v>1609</v>
      </c>
      <c r="G315">
        <v>0</v>
      </c>
      <c r="H315">
        <v>0</v>
      </c>
      <c r="I315">
        <v>0</v>
      </c>
      <c r="J315">
        <v>0</v>
      </c>
      <c r="K315">
        <v>0</v>
      </c>
      <c r="L315" s="84" t="s">
        <v>1372</v>
      </c>
      <c r="M315">
        <v>-1</v>
      </c>
      <c r="N315" s="84" t="s">
        <v>1127</v>
      </c>
      <c r="O315" s="84" t="s">
        <v>1128</v>
      </c>
    </row>
    <row r="316" spans="1:15" x14ac:dyDescent="0.25">
      <c r="A316" s="84" t="s">
        <v>187</v>
      </c>
      <c r="B316" s="84" t="s">
        <v>535</v>
      </c>
      <c r="C316" s="84" t="s">
        <v>536</v>
      </c>
      <c r="D316" s="84" t="s">
        <v>1861</v>
      </c>
      <c r="E316" s="70">
        <v>44536</v>
      </c>
      <c r="F316" s="84" t="s">
        <v>1609</v>
      </c>
      <c r="G316">
        <v>0</v>
      </c>
      <c r="H316">
        <v>-96.51</v>
      </c>
      <c r="I316">
        <v>-96.51</v>
      </c>
      <c r="J316">
        <v>166</v>
      </c>
      <c r="K316">
        <v>0</v>
      </c>
      <c r="L316" s="84" t="s">
        <v>1373</v>
      </c>
      <c r="M316">
        <v>-1</v>
      </c>
      <c r="N316" s="84" t="s">
        <v>1127</v>
      </c>
      <c r="O316" s="84" t="s">
        <v>1128</v>
      </c>
    </row>
    <row r="317" spans="1:15" x14ac:dyDescent="0.25">
      <c r="A317" s="84" t="s">
        <v>187</v>
      </c>
      <c r="B317" s="84" t="s">
        <v>537</v>
      </c>
      <c r="C317" s="84" t="s">
        <v>538</v>
      </c>
      <c r="D317" s="84" t="s">
        <v>1862</v>
      </c>
      <c r="E317" s="70">
        <v>44536</v>
      </c>
      <c r="F317" s="84" t="s">
        <v>1611</v>
      </c>
      <c r="G317">
        <v>40000</v>
      </c>
      <c r="H317">
        <v>0</v>
      </c>
      <c r="I317">
        <v>0</v>
      </c>
      <c r="J317">
        <v>0</v>
      </c>
      <c r="K317">
        <v>40000</v>
      </c>
      <c r="L317" s="84" t="s">
        <v>1373</v>
      </c>
      <c r="M317">
        <v>4</v>
      </c>
      <c r="N317" s="84" t="s">
        <v>1127</v>
      </c>
      <c r="O317" s="84" t="s">
        <v>1128</v>
      </c>
    </row>
    <row r="318" spans="1:15" x14ac:dyDescent="0.25">
      <c r="A318" s="84" t="s">
        <v>187</v>
      </c>
      <c r="B318" s="84" t="s">
        <v>539</v>
      </c>
      <c r="C318" s="84" t="s">
        <v>540</v>
      </c>
      <c r="D318" s="84" t="s">
        <v>1863</v>
      </c>
      <c r="E318" s="70">
        <v>44531</v>
      </c>
      <c r="F318" s="84" t="s">
        <v>1609</v>
      </c>
      <c r="G318">
        <v>0</v>
      </c>
      <c r="H318">
        <v>113</v>
      </c>
      <c r="I318">
        <v>0</v>
      </c>
      <c r="J318">
        <v>0</v>
      </c>
      <c r="K318">
        <v>0</v>
      </c>
      <c r="L318" s="84" t="s">
        <v>1374</v>
      </c>
      <c r="M318">
        <v>-1</v>
      </c>
      <c r="N318" s="84" t="s">
        <v>1127</v>
      </c>
      <c r="O318" s="84" t="s">
        <v>1128</v>
      </c>
    </row>
    <row r="319" spans="1:15" x14ac:dyDescent="0.25">
      <c r="A319" s="84" t="s">
        <v>187</v>
      </c>
      <c r="B319" s="84" t="s">
        <v>541</v>
      </c>
      <c r="C319" s="84" t="s">
        <v>2353</v>
      </c>
      <c r="D319" s="84" t="s">
        <v>1864</v>
      </c>
      <c r="E319" s="70">
        <v>43591</v>
      </c>
      <c r="F319" s="84" t="s">
        <v>1609</v>
      </c>
      <c r="G319">
        <v>0</v>
      </c>
      <c r="H319">
        <v>0</v>
      </c>
      <c r="I319">
        <v>0</v>
      </c>
      <c r="J319">
        <v>0</v>
      </c>
      <c r="K319">
        <v>0</v>
      </c>
      <c r="L319" s="84" t="s">
        <v>1375</v>
      </c>
      <c r="M319">
        <v>-1</v>
      </c>
      <c r="N319" s="84" t="s">
        <v>1127</v>
      </c>
      <c r="O319" s="84" t="s">
        <v>1128</v>
      </c>
    </row>
    <row r="320" spans="1:15" x14ac:dyDescent="0.25">
      <c r="A320" s="84" t="s">
        <v>187</v>
      </c>
      <c r="B320" s="84" t="s">
        <v>542</v>
      </c>
      <c r="C320" s="84" t="s">
        <v>543</v>
      </c>
      <c r="D320" s="84" t="s">
        <v>1865</v>
      </c>
      <c r="E320" s="70">
        <v>43656</v>
      </c>
      <c r="F320" s="84" t="s">
        <v>1611</v>
      </c>
      <c r="G320">
        <v>40000</v>
      </c>
      <c r="H320">
        <v>0</v>
      </c>
      <c r="I320">
        <v>0</v>
      </c>
      <c r="J320">
        <v>0</v>
      </c>
      <c r="K320">
        <v>40000</v>
      </c>
      <c r="L320" s="84" t="s">
        <v>1376</v>
      </c>
      <c r="M320">
        <v>4</v>
      </c>
      <c r="N320" s="84" t="s">
        <v>1127</v>
      </c>
      <c r="O320" s="84" t="s">
        <v>1128</v>
      </c>
    </row>
    <row r="321" spans="1:15" x14ac:dyDescent="0.25">
      <c r="A321" s="84" t="s">
        <v>880</v>
      </c>
      <c r="B321" s="84" t="s">
        <v>1377</v>
      </c>
      <c r="C321" s="84" t="s">
        <v>1378</v>
      </c>
      <c r="D321" s="84" t="s">
        <v>1866</v>
      </c>
      <c r="E321" s="70">
        <v>43680</v>
      </c>
      <c r="F321" s="84" t="s">
        <v>1609</v>
      </c>
      <c r="G321">
        <v>0</v>
      </c>
      <c r="H321">
        <v>4121</v>
      </c>
      <c r="I321">
        <v>3946</v>
      </c>
      <c r="J321">
        <v>189</v>
      </c>
      <c r="K321">
        <v>-4121</v>
      </c>
      <c r="L321" s="84" t="s">
        <v>1379</v>
      </c>
      <c r="M321">
        <v>-1</v>
      </c>
      <c r="N321" s="84" t="s">
        <v>1240</v>
      </c>
      <c r="O321" s="84" t="s">
        <v>2460</v>
      </c>
    </row>
    <row r="322" spans="1:15" x14ac:dyDescent="0.25">
      <c r="A322" s="84" t="s">
        <v>187</v>
      </c>
      <c r="B322" s="84" t="s">
        <v>544</v>
      </c>
      <c r="C322" s="84" t="s">
        <v>2308</v>
      </c>
      <c r="D322" s="84" t="s">
        <v>2309</v>
      </c>
      <c r="E322" s="70">
        <v>43747</v>
      </c>
      <c r="F322" s="84" t="s">
        <v>1611</v>
      </c>
      <c r="G322">
        <v>50000</v>
      </c>
      <c r="H322">
        <v>1898</v>
      </c>
      <c r="I322">
        <v>0</v>
      </c>
      <c r="J322">
        <v>0</v>
      </c>
      <c r="K322">
        <v>50000</v>
      </c>
      <c r="L322" s="84" t="s">
        <v>1380</v>
      </c>
      <c r="M322">
        <v>4</v>
      </c>
      <c r="N322" s="84" t="s">
        <v>1127</v>
      </c>
      <c r="O322" s="84" t="s">
        <v>1128</v>
      </c>
    </row>
    <row r="323" spans="1:15" x14ac:dyDescent="0.25">
      <c r="A323" s="84" t="s">
        <v>187</v>
      </c>
      <c r="B323" s="84" t="s">
        <v>545</v>
      </c>
      <c r="C323" s="84" t="s">
        <v>546</v>
      </c>
      <c r="D323" s="84" t="s">
        <v>1867</v>
      </c>
      <c r="E323" s="70">
        <v>43750</v>
      </c>
      <c r="F323" s="84" t="s">
        <v>1611</v>
      </c>
      <c r="G323">
        <v>40000</v>
      </c>
      <c r="H323">
        <v>0</v>
      </c>
      <c r="I323">
        <v>0</v>
      </c>
      <c r="J323">
        <v>0</v>
      </c>
      <c r="K323">
        <v>40000</v>
      </c>
      <c r="L323" s="84" t="s">
        <v>1381</v>
      </c>
      <c r="M323">
        <v>4</v>
      </c>
      <c r="N323" s="84" t="s">
        <v>1127</v>
      </c>
      <c r="O323" s="84" t="s">
        <v>1128</v>
      </c>
    </row>
    <row r="324" spans="1:15" x14ac:dyDescent="0.25">
      <c r="A324" s="84" t="s">
        <v>187</v>
      </c>
      <c r="B324" s="84" t="s">
        <v>547</v>
      </c>
      <c r="C324" s="84" t="s">
        <v>548</v>
      </c>
      <c r="D324" s="84" t="s">
        <v>1868</v>
      </c>
      <c r="E324" s="70">
        <v>43765</v>
      </c>
      <c r="F324" s="84" t="s">
        <v>1611</v>
      </c>
      <c r="G324">
        <v>24000</v>
      </c>
      <c r="H324">
        <v>0</v>
      </c>
      <c r="I324">
        <v>0</v>
      </c>
      <c r="J324">
        <v>0</v>
      </c>
      <c r="K324">
        <v>24000</v>
      </c>
      <c r="L324" s="84" t="s">
        <v>1382</v>
      </c>
      <c r="M324">
        <v>4</v>
      </c>
      <c r="N324" s="84" t="s">
        <v>1127</v>
      </c>
      <c r="O324" s="84" t="s">
        <v>1128</v>
      </c>
    </row>
    <row r="325" spans="1:15" x14ac:dyDescent="0.25">
      <c r="A325" s="84" t="s">
        <v>187</v>
      </c>
      <c r="B325" s="84" t="s">
        <v>549</v>
      </c>
      <c r="C325" s="84" t="s">
        <v>550</v>
      </c>
      <c r="D325" s="84"/>
      <c r="E325" s="70">
        <v>43794</v>
      </c>
      <c r="F325" s="84" t="s">
        <v>1611</v>
      </c>
      <c r="G325">
        <v>12000</v>
      </c>
      <c r="H325">
        <v>0</v>
      </c>
      <c r="I325">
        <v>0</v>
      </c>
      <c r="J325">
        <v>0</v>
      </c>
      <c r="K325">
        <v>12000</v>
      </c>
      <c r="L325" s="84" t="s">
        <v>1383</v>
      </c>
      <c r="M325">
        <v>4</v>
      </c>
      <c r="N325" s="84" t="s">
        <v>1127</v>
      </c>
      <c r="O325" s="84" t="s">
        <v>1128</v>
      </c>
    </row>
    <row r="326" spans="1:15" x14ac:dyDescent="0.25">
      <c r="A326" s="84" t="s">
        <v>187</v>
      </c>
      <c r="B326" s="84" t="s">
        <v>551</v>
      </c>
      <c r="C326" s="84" t="s">
        <v>552</v>
      </c>
      <c r="D326" s="84" t="s">
        <v>1869</v>
      </c>
      <c r="E326" s="70">
        <v>43853</v>
      </c>
      <c r="F326" s="84" t="s">
        <v>1611</v>
      </c>
      <c r="G326">
        <v>18000</v>
      </c>
      <c r="H326">
        <v>0</v>
      </c>
      <c r="I326">
        <v>0</v>
      </c>
      <c r="J326">
        <v>0</v>
      </c>
      <c r="K326">
        <v>18000</v>
      </c>
      <c r="L326" s="84" t="s">
        <v>1384</v>
      </c>
      <c r="M326">
        <v>4</v>
      </c>
      <c r="N326" s="84" t="s">
        <v>1127</v>
      </c>
      <c r="O326" s="84" t="s">
        <v>1128</v>
      </c>
    </row>
    <row r="327" spans="1:15" x14ac:dyDescent="0.25">
      <c r="A327" s="84" t="s">
        <v>187</v>
      </c>
      <c r="B327" s="84" t="s">
        <v>553</v>
      </c>
      <c r="C327" s="84" t="s">
        <v>554</v>
      </c>
      <c r="D327" s="84" t="s">
        <v>1760</v>
      </c>
      <c r="E327" s="70">
        <v>43971</v>
      </c>
      <c r="F327" s="84" t="s">
        <v>1611</v>
      </c>
      <c r="G327">
        <v>40000</v>
      </c>
      <c r="H327">
        <v>10209</v>
      </c>
      <c r="I327">
        <v>6793</v>
      </c>
      <c r="J327">
        <v>78</v>
      </c>
      <c r="K327">
        <v>29791</v>
      </c>
      <c r="L327" s="84" t="s">
        <v>1385</v>
      </c>
      <c r="M327">
        <v>4</v>
      </c>
      <c r="N327" s="84" t="s">
        <v>1127</v>
      </c>
      <c r="O327" s="84" t="s">
        <v>2461</v>
      </c>
    </row>
    <row r="328" spans="1:15" x14ac:dyDescent="0.25">
      <c r="A328" s="84" t="s">
        <v>187</v>
      </c>
      <c r="B328" s="84" t="s">
        <v>555</v>
      </c>
      <c r="C328" s="84" t="s">
        <v>556</v>
      </c>
      <c r="D328" s="84" t="s">
        <v>1870</v>
      </c>
      <c r="E328" s="70">
        <v>43983</v>
      </c>
      <c r="F328" s="84" t="s">
        <v>1611</v>
      </c>
      <c r="G328">
        <v>40000</v>
      </c>
      <c r="H328">
        <v>13319</v>
      </c>
      <c r="I328">
        <v>0</v>
      </c>
      <c r="J328">
        <v>0</v>
      </c>
      <c r="K328">
        <v>40000</v>
      </c>
      <c r="L328" s="84" t="s">
        <v>1386</v>
      </c>
      <c r="M328">
        <v>4</v>
      </c>
      <c r="N328" s="84" t="s">
        <v>1127</v>
      </c>
      <c r="O328" s="84" t="s">
        <v>1128</v>
      </c>
    </row>
    <row r="329" spans="1:15" x14ac:dyDescent="0.25">
      <c r="A329" s="84" t="s">
        <v>187</v>
      </c>
      <c r="B329" s="84" t="s">
        <v>557</v>
      </c>
      <c r="C329" s="84" t="s">
        <v>558</v>
      </c>
      <c r="D329" s="84" t="s">
        <v>1871</v>
      </c>
      <c r="E329" s="70">
        <v>44054</v>
      </c>
      <c r="F329" s="84" t="s">
        <v>1609</v>
      </c>
      <c r="G329">
        <v>0</v>
      </c>
      <c r="H329">
        <v>0</v>
      </c>
      <c r="I329">
        <v>0</v>
      </c>
      <c r="J329">
        <v>0</v>
      </c>
      <c r="K329">
        <v>0</v>
      </c>
      <c r="L329" s="84" t="s">
        <v>1387</v>
      </c>
      <c r="M329">
        <v>-1</v>
      </c>
      <c r="N329" s="84" t="s">
        <v>1127</v>
      </c>
      <c r="O329" s="84" t="s">
        <v>1128</v>
      </c>
    </row>
    <row r="330" spans="1:15" x14ac:dyDescent="0.25">
      <c r="A330" s="84" t="s">
        <v>187</v>
      </c>
      <c r="B330" s="84" t="s">
        <v>559</v>
      </c>
      <c r="C330" s="84" t="s">
        <v>2354</v>
      </c>
      <c r="D330" s="84" t="s">
        <v>1872</v>
      </c>
      <c r="E330" s="70">
        <v>44059</v>
      </c>
      <c r="F330" s="84" t="s">
        <v>1609</v>
      </c>
      <c r="G330">
        <v>0</v>
      </c>
      <c r="H330">
        <v>0</v>
      </c>
      <c r="I330">
        <v>0</v>
      </c>
      <c r="J330">
        <v>0</v>
      </c>
      <c r="K330">
        <v>0</v>
      </c>
      <c r="L330" s="84" t="s">
        <v>1388</v>
      </c>
      <c r="M330">
        <v>-1</v>
      </c>
      <c r="N330" s="84" t="s">
        <v>1127</v>
      </c>
      <c r="O330" s="84" t="s">
        <v>1128</v>
      </c>
    </row>
    <row r="331" spans="1:15" x14ac:dyDescent="0.25">
      <c r="A331" s="84" t="s">
        <v>187</v>
      </c>
      <c r="B331" s="84" t="s">
        <v>560</v>
      </c>
      <c r="C331" s="84" t="s">
        <v>561</v>
      </c>
      <c r="D331" s="84" t="s">
        <v>1873</v>
      </c>
      <c r="E331" s="70">
        <v>44088</v>
      </c>
      <c r="F331" s="84" t="s">
        <v>1611</v>
      </c>
      <c r="G331">
        <v>40000</v>
      </c>
      <c r="H331">
        <v>0</v>
      </c>
      <c r="I331">
        <v>0</v>
      </c>
      <c r="J331">
        <v>0</v>
      </c>
      <c r="K331">
        <v>40000</v>
      </c>
      <c r="L331" s="84" t="s">
        <v>1389</v>
      </c>
      <c r="M331">
        <v>4</v>
      </c>
      <c r="N331" s="84" t="s">
        <v>1127</v>
      </c>
      <c r="O331" s="84" t="s">
        <v>1128</v>
      </c>
    </row>
    <row r="332" spans="1:15" x14ac:dyDescent="0.25">
      <c r="A332" s="84" t="s">
        <v>187</v>
      </c>
      <c r="B332" s="84" t="s">
        <v>562</v>
      </c>
      <c r="C332" s="84" t="s">
        <v>563</v>
      </c>
      <c r="D332" s="84" t="s">
        <v>1874</v>
      </c>
      <c r="E332" s="70">
        <v>44143</v>
      </c>
      <c r="F332" s="84" t="s">
        <v>1611</v>
      </c>
      <c r="G332">
        <v>24000</v>
      </c>
      <c r="H332">
        <v>2440</v>
      </c>
      <c r="I332">
        <v>0</v>
      </c>
      <c r="J332">
        <v>0</v>
      </c>
      <c r="K332">
        <v>24000</v>
      </c>
      <c r="L332" s="84" t="s">
        <v>1390</v>
      </c>
      <c r="M332">
        <v>4</v>
      </c>
      <c r="N332" s="84" t="s">
        <v>1127</v>
      </c>
      <c r="O332" s="84" t="s">
        <v>1128</v>
      </c>
    </row>
    <row r="333" spans="1:15" x14ac:dyDescent="0.25">
      <c r="A333" s="84" t="s">
        <v>187</v>
      </c>
      <c r="B333" s="84" t="s">
        <v>564</v>
      </c>
      <c r="C333" s="84" t="s">
        <v>565</v>
      </c>
      <c r="D333" s="84" t="s">
        <v>1082</v>
      </c>
      <c r="E333" s="70">
        <v>44160</v>
      </c>
      <c r="F333" s="84" t="s">
        <v>1609</v>
      </c>
      <c r="G333">
        <v>0</v>
      </c>
      <c r="H333">
        <v>0</v>
      </c>
      <c r="I333">
        <v>0</v>
      </c>
      <c r="J333">
        <v>0</v>
      </c>
      <c r="K333">
        <v>0</v>
      </c>
      <c r="L333" s="84" t="s">
        <v>1391</v>
      </c>
      <c r="M333">
        <v>-1</v>
      </c>
      <c r="N333" s="84" t="s">
        <v>1127</v>
      </c>
      <c r="O333" s="84" t="s">
        <v>1128</v>
      </c>
    </row>
    <row r="334" spans="1:15" x14ac:dyDescent="0.25">
      <c r="A334" s="84" t="s">
        <v>187</v>
      </c>
      <c r="B334" s="84" t="s">
        <v>566</v>
      </c>
      <c r="C334" s="84" t="s">
        <v>567</v>
      </c>
      <c r="D334" s="84" t="s">
        <v>1875</v>
      </c>
      <c r="E334" s="70">
        <v>44550</v>
      </c>
      <c r="F334" s="84" t="s">
        <v>1609</v>
      </c>
      <c r="G334">
        <v>0</v>
      </c>
      <c r="H334">
        <v>0</v>
      </c>
      <c r="I334">
        <v>0</v>
      </c>
      <c r="J334">
        <v>0</v>
      </c>
      <c r="K334">
        <v>0</v>
      </c>
      <c r="L334" s="84" t="s">
        <v>1392</v>
      </c>
      <c r="M334">
        <v>-1</v>
      </c>
      <c r="N334" s="84" t="s">
        <v>1127</v>
      </c>
      <c r="O334" s="84" t="s">
        <v>1128</v>
      </c>
    </row>
    <row r="335" spans="1:15" x14ac:dyDescent="0.25">
      <c r="A335" s="84" t="s">
        <v>187</v>
      </c>
      <c r="B335" s="84" t="s">
        <v>568</v>
      </c>
      <c r="C335" s="84" t="s">
        <v>569</v>
      </c>
      <c r="D335" s="84" t="s">
        <v>1876</v>
      </c>
      <c r="E335" s="70">
        <v>44156</v>
      </c>
      <c r="F335" s="84" t="s">
        <v>1611</v>
      </c>
      <c r="G335">
        <v>8000</v>
      </c>
      <c r="H335">
        <v>0</v>
      </c>
      <c r="I335">
        <v>0</v>
      </c>
      <c r="J335">
        <v>0</v>
      </c>
      <c r="K335">
        <v>8000</v>
      </c>
      <c r="L335" s="84" t="s">
        <v>1393</v>
      </c>
      <c r="M335">
        <v>4</v>
      </c>
      <c r="N335" s="84" t="s">
        <v>1127</v>
      </c>
      <c r="O335" s="84" t="s">
        <v>1128</v>
      </c>
    </row>
    <row r="336" spans="1:15" x14ac:dyDescent="0.25">
      <c r="A336" s="84" t="s">
        <v>187</v>
      </c>
      <c r="B336" s="84" t="s">
        <v>570</v>
      </c>
      <c r="C336" s="84" t="s">
        <v>571</v>
      </c>
      <c r="D336" s="84" t="s">
        <v>1877</v>
      </c>
      <c r="E336" s="70">
        <v>44156</v>
      </c>
      <c r="F336" s="84" t="s">
        <v>1611</v>
      </c>
      <c r="G336">
        <v>12000</v>
      </c>
      <c r="H336">
        <v>0</v>
      </c>
      <c r="I336">
        <v>0</v>
      </c>
      <c r="J336">
        <v>0</v>
      </c>
      <c r="K336">
        <v>12000</v>
      </c>
      <c r="L336" s="84" t="s">
        <v>1393</v>
      </c>
      <c r="M336">
        <v>4</v>
      </c>
      <c r="N336" s="84" t="s">
        <v>1127</v>
      </c>
      <c r="O336" s="84" t="s">
        <v>1128</v>
      </c>
    </row>
    <row r="337" spans="1:15" x14ac:dyDescent="0.25">
      <c r="A337" s="84" t="s">
        <v>187</v>
      </c>
      <c r="B337" s="84" t="s">
        <v>572</v>
      </c>
      <c r="C337" s="84" t="s">
        <v>573</v>
      </c>
      <c r="D337" s="84" t="s">
        <v>1878</v>
      </c>
      <c r="E337" s="70">
        <v>44161</v>
      </c>
      <c r="F337" s="84" t="s">
        <v>1611</v>
      </c>
      <c r="G337">
        <v>24000</v>
      </c>
      <c r="H337">
        <v>0</v>
      </c>
      <c r="I337">
        <v>0</v>
      </c>
      <c r="J337">
        <v>0</v>
      </c>
      <c r="K337">
        <v>24000</v>
      </c>
      <c r="L337" s="84" t="s">
        <v>1394</v>
      </c>
      <c r="M337">
        <v>4</v>
      </c>
      <c r="N337" s="84" t="s">
        <v>1127</v>
      </c>
      <c r="O337" s="84" t="s">
        <v>1128</v>
      </c>
    </row>
    <row r="338" spans="1:15" x14ac:dyDescent="0.25">
      <c r="A338" s="84" t="s">
        <v>187</v>
      </c>
      <c r="B338" s="84" t="s">
        <v>574</v>
      </c>
      <c r="C338" s="84" t="s">
        <v>575</v>
      </c>
      <c r="D338" s="84" t="s">
        <v>1082</v>
      </c>
      <c r="E338" s="70">
        <v>44165</v>
      </c>
      <c r="F338" s="84" t="s">
        <v>1609</v>
      </c>
      <c r="G338">
        <v>0</v>
      </c>
      <c r="H338">
        <v>0</v>
      </c>
      <c r="I338">
        <v>0</v>
      </c>
      <c r="J338">
        <v>0</v>
      </c>
      <c r="K338">
        <v>0</v>
      </c>
      <c r="L338" s="84" t="s">
        <v>1395</v>
      </c>
      <c r="M338">
        <v>-1</v>
      </c>
      <c r="N338" s="84" t="s">
        <v>1127</v>
      </c>
      <c r="O338" s="84" t="s">
        <v>1128</v>
      </c>
    </row>
    <row r="339" spans="1:15" x14ac:dyDescent="0.25">
      <c r="A339" s="84" t="s">
        <v>187</v>
      </c>
      <c r="B339" s="84" t="s">
        <v>576</v>
      </c>
      <c r="C339" s="84" t="s">
        <v>577</v>
      </c>
      <c r="D339" s="84" t="s">
        <v>1879</v>
      </c>
      <c r="E339" s="70">
        <v>44187</v>
      </c>
      <c r="F339" s="84" t="s">
        <v>1609</v>
      </c>
      <c r="G339">
        <v>0</v>
      </c>
      <c r="H339">
        <v>0</v>
      </c>
      <c r="I339">
        <v>0</v>
      </c>
      <c r="J339">
        <v>0</v>
      </c>
      <c r="K339">
        <v>0</v>
      </c>
      <c r="L339" s="84" t="s">
        <v>1396</v>
      </c>
      <c r="M339">
        <v>-1</v>
      </c>
      <c r="N339" s="84" t="s">
        <v>1127</v>
      </c>
      <c r="O339" s="84" t="s">
        <v>1128</v>
      </c>
    </row>
    <row r="340" spans="1:15" x14ac:dyDescent="0.25">
      <c r="A340" s="84" t="s">
        <v>187</v>
      </c>
      <c r="B340" s="84" t="s">
        <v>578</v>
      </c>
      <c r="C340" s="84" t="s">
        <v>579</v>
      </c>
      <c r="D340" s="84" t="s">
        <v>1082</v>
      </c>
      <c r="E340" s="70">
        <v>44178</v>
      </c>
      <c r="F340" s="84" t="s">
        <v>1611</v>
      </c>
      <c r="G340">
        <v>40000</v>
      </c>
      <c r="H340">
        <v>0</v>
      </c>
      <c r="I340">
        <v>0</v>
      </c>
      <c r="J340">
        <v>0</v>
      </c>
      <c r="K340">
        <v>40000</v>
      </c>
      <c r="L340" s="84" t="s">
        <v>1397</v>
      </c>
      <c r="M340">
        <v>4</v>
      </c>
      <c r="N340" s="84" t="s">
        <v>1127</v>
      </c>
      <c r="O340" s="84" t="s">
        <v>1128</v>
      </c>
    </row>
    <row r="341" spans="1:15" x14ac:dyDescent="0.25">
      <c r="A341" s="84" t="s">
        <v>187</v>
      </c>
      <c r="B341" s="84" t="s">
        <v>580</v>
      </c>
      <c r="C341" s="84" t="s">
        <v>581</v>
      </c>
      <c r="D341" s="84" t="s">
        <v>1880</v>
      </c>
      <c r="E341" s="70">
        <v>44362</v>
      </c>
      <c r="F341" s="84" t="s">
        <v>1611</v>
      </c>
      <c r="G341">
        <v>80000</v>
      </c>
      <c r="H341">
        <v>0</v>
      </c>
      <c r="I341">
        <v>0</v>
      </c>
      <c r="J341">
        <v>0</v>
      </c>
      <c r="K341">
        <v>80000</v>
      </c>
      <c r="L341" s="84" t="s">
        <v>1398</v>
      </c>
      <c r="M341">
        <v>4</v>
      </c>
      <c r="N341" s="84" t="s">
        <v>1127</v>
      </c>
      <c r="O341" s="84" t="s">
        <v>1128</v>
      </c>
    </row>
    <row r="342" spans="1:15" x14ac:dyDescent="0.25">
      <c r="A342" s="84" t="s">
        <v>187</v>
      </c>
      <c r="B342" s="84" t="s">
        <v>582</v>
      </c>
      <c r="C342" s="84" t="s">
        <v>583</v>
      </c>
      <c r="D342" s="84" t="s">
        <v>1881</v>
      </c>
      <c r="E342" s="70">
        <v>44382</v>
      </c>
      <c r="F342" s="84" t="s">
        <v>1611</v>
      </c>
      <c r="G342">
        <v>40000</v>
      </c>
      <c r="H342">
        <v>932</v>
      </c>
      <c r="I342">
        <v>0</v>
      </c>
      <c r="J342">
        <v>0</v>
      </c>
      <c r="K342">
        <v>40000</v>
      </c>
      <c r="L342" s="84" t="s">
        <v>1399</v>
      </c>
      <c r="M342">
        <v>4</v>
      </c>
      <c r="N342" s="84" t="s">
        <v>1127</v>
      </c>
      <c r="O342" s="84" t="s">
        <v>1128</v>
      </c>
    </row>
    <row r="343" spans="1:15" x14ac:dyDescent="0.25">
      <c r="A343" s="84" t="s">
        <v>187</v>
      </c>
      <c r="B343" s="84" t="s">
        <v>584</v>
      </c>
      <c r="C343" s="84" t="s">
        <v>585</v>
      </c>
      <c r="D343" s="84" t="s">
        <v>1882</v>
      </c>
      <c r="E343" s="70">
        <v>44475</v>
      </c>
      <c r="F343" s="84" t="s">
        <v>1609</v>
      </c>
      <c r="G343">
        <v>0</v>
      </c>
      <c r="H343">
        <v>0</v>
      </c>
      <c r="I343">
        <v>0</v>
      </c>
      <c r="J343">
        <v>0</v>
      </c>
      <c r="K343">
        <v>0</v>
      </c>
      <c r="L343" s="84" t="s">
        <v>1400</v>
      </c>
      <c r="M343">
        <v>-1</v>
      </c>
      <c r="N343" s="84" t="s">
        <v>1127</v>
      </c>
      <c r="O343" s="84" t="s">
        <v>1128</v>
      </c>
    </row>
    <row r="344" spans="1:15" x14ac:dyDescent="0.25">
      <c r="A344" s="84" t="s">
        <v>187</v>
      </c>
      <c r="B344" s="84" t="s">
        <v>586</v>
      </c>
      <c r="C344" s="84" t="s">
        <v>587</v>
      </c>
      <c r="D344" s="84" t="s">
        <v>1883</v>
      </c>
      <c r="E344" s="70">
        <v>44516</v>
      </c>
      <c r="F344" s="84" t="s">
        <v>1609</v>
      </c>
      <c r="G344">
        <v>0</v>
      </c>
      <c r="H344">
        <v>0</v>
      </c>
      <c r="I344">
        <v>0</v>
      </c>
      <c r="J344">
        <v>0</v>
      </c>
      <c r="K344">
        <v>0</v>
      </c>
      <c r="L344" s="84" t="s">
        <v>1401</v>
      </c>
      <c r="M344">
        <v>-1</v>
      </c>
      <c r="N344" s="84" t="s">
        <v>1127</v>
      </c>
      <c r="O344" s="84" t="s">
        <v>1128</v>
      </c>
    </row>
    <row r="345" spans="1:15" x14ac:dyDescent="0.25">
      <c r="A345" s="84" t="s">
        <v>187</v>
      </c>
      <c r="B345" s="84" t="s">
        <v>588</v>
      </c>
      <c r="C345" s="84" t="s">
        <v>589</v>
      </c>
      <c r="D345" s="84" t="s">
        <v>1884</v>
      </c>
      <c r="E345" s="70">
        <v>44597</v>
      </c>
      <c r="F345" s="84" t="s">
        <v>1609</v>
      </c>
      <c r="G345">
        <v>0</v>
      </c>
      <c r="H345">
        <v>0</v>
      </c>
      <c r="I345">
        <v>0</v>
      </c>
      <c r="J345">
        <v>0</v>
      </c>
      <c r="K345">
        <v>0</v>
      </c>
      <c r="L345" s="84" t="s">
        <v>1402</v>
      </c>
      <c r="M345">
        <v>-1</v>
      </c>
      <c r="N345" s="84" t="s">
        <v>1127</v>
      </c>
      <c r="O345" s="84" t="s">
        <v>1128</v>
      </c>
    </row>
    <row r="346" spans="1:15" x14ac:dyDescent="0.25">
      <c r="A346" s="84" t="s">
        <v>187</v>
      </c>
      <c r="B346" s="84" t="s">
        <v>590</v>
      </c>
      <c r="C346" s="84" t="s">
        <v>591</v>
      </c>
      <c r="D346" s="84" t="s">
        <v>1885</v>
      </c>
      <c r="E346" s="70">
        <v>44691</v>
      </c>
      <c r="F346" s="84" t="s">
        <v>1609</v>
      </c>
      <c r="G346">
        <v>0</v>
      </c>
      <c r="H346">
        <v>0</v>
      </c>
      <c r="I346">
        <v>0</v>
      </c>
      <c r="J346">
        <v>0</v>
      </c>
      <c r="K346">
        <v>0</v>
      </c>
      <c r="L346" s="84" t="s">
        <v>1403</v>
      </c>
      <c r="M346">
        <v>-1</v>
      </c>
      <c r="N346" s="84" t="s">
        <v>1127</v>
      </c>
      <c r="O346" s="84" t="s">
        <v>1128</v>
      </c>
    </row>
    <row r="347" spans="1:15" x14ac:dyDescent="0.25">
      <c r="A347" s="84" t="s">
        <v>187</v>
      </c>
      <c r="B347" s="84" t="s">
        <v>2306</v>
      </c>
      <c r="C347" s="84" t="s">
        <v>2310</v>
      </c>
      <c r="D347" s="84" t="s">
        <v>2311</v>
      </c>
      <c r="E347" s="70">
        <v>45153</v>
      </c>
      <c r="F347" s="84" t="s">
        <v>1609</v>
      </c>
      <c r="G347">
        <v>0</v>
      </c>
      <c r="H347">
        <v>0</v>
      </c>
      <c r="I347">
        <v>0</v>
      </c>
      <c r="J347">
        <v>0</v>
      </c>
      <c r="K347">
        <v>0</v>
      </c>
      <c r="L347" s="84" t="s">
        <v>2312</v>
      </c>
      <c r="M347">
        <v>-1</v>
      </c>
      <c r="N347" s="84" t="s">
        <v>1127</v>
      </c>
      <c r="O347" s="84" t="s">
        <v>1128</v>
      </c>
    </row>
    <row r="348" spans="1:15" x14ac:dyDescent="0.25">
      <c r="A348" s="84" t="s">
        <v>187</v>
      </c>
      <c r="B348" s="84" t="s">
        <v>2392</v>
      </c>
      <c r="C348" s="84" t="s">
        <v>2401</v>
      </c>
      <c r="D348" s="84" t="s">
        <v>2402</v>
      </c>
      <c r="E348" s="70">
        <v>45164</v>
      </c>
      <c r="F348" s="84" t="s">
        <v>1609</v>
      </c>
      <c r="G348">
        <v>0</v>
      </c>
      <c r="H348">
        <v>0</v>
      </c>
      <c r="I348">
        <v>0</v>
      </c>
      <c r="J348">
        <v>0</v>
      </c>
      <c r="K348">
        <v>0</v>
      </c>
      <c r="L348" s="84" t="s">
        <v>2403</v>
      </c>
      <c r="M348">
        <v>-1</v>
      </c>
      <c r="N348" s="84" t="s">
        <v>1127</v>
      </c>
      <c r="O348" s="84" t="s">
        <v>1128</v>
      </c>
    </row>
    <row r="349" spans="1:15" x14ac:dyDescent="0.25">
      <c r="A349" s="84" t="s">
        <v>187</v>
      </c>
      <c r="B349" s="84" t="s">
        <v>592</v>
      </c>
      <c r="C349" s="84" t="s">
        <v>2355</v>
      </c>
      <c r="D349" s="84" t="s">
        <v>1886</v>
      </c>
      <c r="E349" s="70">
        <v>44562</v>
      </c>
      <c r="F349" s="84" t="s">
        <v>1609</v>
      </c>
      <c r="G349">
        <v>0</v>
      </c>
      <c r="H349">
        <v>0</v>
      </c>
      <c r="I349">
        <v>0</v>
      </c>
      <c r="J349">
        <v>0</v>
      </c>
      <c r="K349">
        <v>0</v>
      </c>
      <c r="L349" s="84" t="s">
        <v>1404</v>
      </c>
      <c r="M349">
        <v>-1</v>
      </c>
      <c r="N349" s="84" t="s">
        <v>1127</v>
      </c>
      <c r="O349" s="84" t="s">
        <v>1128</v>
      </c>
    </row>
    <row r="350" spans="1:15" x14ac:dyDescent="0.25">
      <c r="A350" s="84" t="s">
        <v>595</v>
      </c>
      <c r="B350" s="84" t="s">
        <v>593</v>
      </c>
      <c r="C350" s="84" t="s">
        <v>594</v>
      </c>
      <c r="D350" s="84" t="s">
        <v>1887</v>
      </c>
      <c r="E350" s="70">
        <v>44221</v>
      </c>
      <c r="F350" s="84" t="s">
        <v>1609</v>
      </c>
      <c r="G350">
        <v>0</v>
      </c>
      <c r="H350">
        <v>0</v>
      </c>
      <c r="I350">
        <v>0</v>
      </c>
      <c r="J350">
        <v>0</v>
      </c>
      <c r="K350">
        <v>0</v>
      </c>
      <c r="L350" s="84" t="s">
        <v>1523</v>
      </c>
      <c r="M350">
        <v>-1</v>
      </c>
      <c r="N350" s="84" t="s">
        <v>1127</v>
      </c>
      <c r="O350" s="84" t="s">
        <v>1128</v>
      </c>
    </row>
    <row r="351" spans="1:15" x14ac:dyDescent="0.25">
      <c r="A351" s="84" t="s">
        <v>595</v>
      </c>
      <c r="B351" s="84" t="s">
        <v>596</v>
      </c>
      <c r="C351" s="84" t="s">
        <v>597</v>
      </c>
      <c r="D351" s="84" t="s">
        <v>1888</v>
      </c>
      <c r="E351" s="70">
        <v>44221</v>
      </c>
      <c r="F351" s="84" t="s">
        <v>1609</v>
      </c>
      <c r="G351">
        <v>0</v>
      </c>
      <c r="H351">
        <v>0</v>
      </c>
      <c r="I351">
        <v>0</v>
      </c>
      <c r="J351">
        <v>0</v>
      </c>
      <c r="K351">
        <v>0</v>
      </c>
      <c r="L351" s="84" t="s">
        <v>1523</v>
      </c>
      <c r="M351">
        <v>-1</v>
      </c>
      <c r="N351" s="84" t="s">
        <v>1127</v>
      </c>
      <c r="O351" s="84" t="s">
        <v>1128</v>
      </c>
    </row>
    <row r="352" spans="1:15" x14ac:dyDescent="0.25">
      <c r="A352" s="84" t="s">
        <v>595</v>
      </c>
      <c r="B352" s="84" t="s">
        <v>598</v>
      </c>
      <c r="C352" s="84" t="s">
        <v>599</v>
      </c>
      <c r="D352" s="84" t="s">
        <v>1889</v>
      </c>
      <c r="E352" s="70">
        <v>44223</v>
      </c>
      <c r="F352" s="84" t="s">
        <v>1609</v>
      </c>
      <c r="G352">
        <v>0</v>
      </c>
      <c r="H352">
        <v>0</v>
      </c>
      <c r="I352">
        <v>0</v>
      </c>
      <c r="J352">
        <v>0</v>
      </c>
      <c r="K352">
        <v>0</v>
      </c>
      <c r="L352" s="84" t="s">
        <v>1524</v>
      </c>
      <c r="M352">
        <v>-1</v>
      </c>
      <c r="N352" s="84" t="s">
        <v>1127</v>
      </c>
      <c r="O352" s="84" t="s">
        <v>1128</v>
      </c>
    </row>
    <row r="353" spans="1:15" x14ac:dyDescent="0.25">
      <c r="A353" s="84" t="s">
        <v>595</v>
      </c>
      <c r="B353" s="84" t="s">
        <v>600</v>
      </c>
      <c r="C353" s="84" t="s">
        <v>601</v>
      </c>
      <c r="D353" s="84" t="s">
        <v>1082</v>
      </c>
      <c r="E353" s="70">
        <v>44223</v>
      </c>
      <c r="F353" s="84" t="s">
        <v>1609</v>
      </c>
      <c r="G353">
        <v>0</v>
      </c>
      <c r="H353">
        <v>0</v>
      </c>
      <c r="I353">
        <v>0</v>
      </c>
      <c r="J353">
        <v>0</v>
      </c>
      <c r="K353">
        <v>0</v>
      </c>
      <c r="L353" s="84" t="s">
        <v>1524</v>
      </c>
      <c r="M353">
        <v>-1</v>
      </c>
      <c r="N353" s="84" t="s">
        <v>1127</v>
      </c>
      <c r="O353" s="84" t="s">
        <v>1128</v>
      </c>
    </row>
    <row r="354" spans="1:15" x14ac:dyDescent="0.25">
      <c r="A354" s="84" t="s">
        <v>595</v>
      </c>
      <c r="B354" s="84" t="s">
        <v>602</v>
      </c>
      <c r="C354" s="84" t="s">
        <v>603</v>
      </c>
      <c r="D354" s="84" t="s">
        <v>1890</v>
      </c>
      <c r="E354" s="70">
        <v>44223</v>
      </c>
      <c r="F354" s="84" t="s">
        <v>1611</v>
      </c>
      <c r="G354">
        <v>32000</v>
      </c>
      <c r="H354">
        <v>2778</v>
      </c>
      <c r="I354">
        <v>2778</v>
      </c>
      <c r="J354">
        <v>780</v>
      </c>
      <c r="K354">
        <v>29222</v>
      </c>
      <c r="L354" s="84" t="s">
        <v>1524</v>
      </c>
      <c r="M354">
        <v>4</v>
      </c>
      <c r="N354" s="84" t="s">
        <v>1127</v>
      </c>
      <c r="O354" s="84" t="s">
        <v>2462</v>
      </c>
    </row>
    <row r="355" spans="1:15" x14ac:dyDescent="0.25">
      <c r="A355" s="84" t="s">
        <v>595</v>
      </c>
      <c r="B355" s="84" t="s">
        <v>604</v>
      </c>
      <c r="C355" s="84" t="s">
        <v>1104</v>
      </c>
      <c r="D355" s="84" t="s">
        <v>1891</v>
      </c>
      <c r="E355" s="70">
        <v>44224</v>
      </c>
      <c r="F355" s="84" t="s">
        <v>1609</v>
      </c>
      <c r="G355">
        <v>0</v>
      </c>
      <c r="H355">
        <v>-494</v>
      </c>
      <c r="I355">
        <v>-494</v>
      </c>
      <c r="J355">
        <v>138</v>
      </c>
      <c r="K355">
        <v>0</v>
      </c>
      <c r="L355" s="84" t="s">
        <v>1525</v>
      </c>
      <c r="M355">
        <v>-1</v>
      </c>
      <c r="N355" s="84" t="s">
        <v>1127</v>
      </c>
      <c r="O355" s="84" t="s">
        <v>1128</v>
      </c>
    </row>
    <row r="356" spans="1:15" x14ac:dyDescent="0.25">
      <c r="A356" s="84" t="s">
        <v>752</v>
      </c>
      <c r="B356" s="84" t="s">
        <v>605</v>
      </c>
      <c r="C356" s="84" t="s">
        <v>606</v>
      </c>
      <c r="D356" s="84" t="s">
        <v>2255</v>
      </c>
      <c r="E356" s="70">
        <v>44224</v>
      </c>
      <c r="F356" s="84" t="s">
        <v>1611</v>
      </c>
      <c r="G356">
        <v>24000</v>
      </c>
      <c r="H356">
        <v>1709</v>
      </c>
      <c r="I356">
        <v>1709</v>
      </c>
      <c r="J356">
        <v>947</v>
      </c>
      <c r="K356">
        <v>22291</v>
      </c>
      <c r="L356" s="84" t="s">
        <v>1526</v>
      </c>
      <c r="M356">
        <v>4</v>
      </c>
      <c r="N356" s="84" t="s">
        <v>1127</v>
      </c>
      <c r="O356" s="84" t="s">
        <v>2463</v>
      </c>
    </row>
    <row r="357" spans="1:15" x14ac:dyDescent="0.25">
      <c r="A357" s="84" t="s">
        <v>752</v>
      </c>
      <c r="B357" s="84" t="s">
        <v>607</v>
      </c>
      <c r="C357" s="84" t="s">
        <v>608</v>
      </c>
      <c r="D357" s="84" t="s">
        <v>1892</v>
      </c>
      <c r="E357" s="70">
        <v>44224</v>
      </c>
      <c r="F357" s="84" t="s">
        <v>1611</v>
      </c>
      <c r="G357">
        <v>30000</v>
      </c>
      <c r="H357">
        <v>5322</v>
      </c>
      <c r="I357">
        <v>5322</v>
      </c>
      <c r="J357">
        <v>875</v>
      </c>
      <c r="K357">
        <v>24678</v>
      </c>
      <c r="L357" s="84" t="s">
        <v>1526</v>
      </c>
      <c r="M357">
        <v>4</v>
      </c>
      <c r="N357" s="84" t="s">
        <v>1127</v>
      </c>
      <c r="O357" s="84" t="s">
        <v>1405</v>
      </c>
    </row>
    <row r="358" spans="1:15" x14ac:dyDescent="0.25">
      <c r="A358" s="84" t="s">
        <v>752</v>
      </c>
      <c r="B358" s="84" t="s">
        <v>609</v>
      </c>
      <c r="C358" s="84" t="s">
        <v>610</v>
      </c>
      <c r="D358" s="84" t="s">
        <v>1082</v>
      </c>
      <c r="E358" s="70">
        <v>44224</v>
      </c>
      <c r="F358" s="84" t="s">
        <v>1611</v>
      </c>
      <c r="G358">
        <v>16000</v>
      </c>
      <c r="H358">
        <v>1082</v>
      </c>
      <c r="I358">
        <v>0</v>
      </c>
      <c r="J358">
        <v>0</v>
      </c>
      <c r="K358">
        <v>16000</v>
      </c>
      <c r="L358" s="84" t="s">
        <v>1526</v>
      </c>
      <c r="M358">
        <v>4</v>
      </c>
      <c r="N358" s="84" t="s">
        <v>1127</v>
      </c>
      <c r="O358" s="84" t="s">
        <v>1128</v>
      </c>
    </row>
    <row r="359" spans="1:15" x14ac:dyDescent="0.25">
      <c r="A359" s="84" t="s">
        <v>595</v>
      </c>
      <c r="B359" s="84" t="s">
        <v>611</v>
      </c>
      <c r="C359" s="84" t="s">
        <v>612</v>
      </c>
      <c r="D359" s="84" t="s">
        <v>1893</v>
      </c>
      <c r="E359" s="70">
        <v>44229</v>
      </c>
      <c r="F359" s="84" t="s">
        <v>1609</v>
      </c>
      <c r="G359">
        <v>0</v>
      </c>
      <c r="H359">
        <v>0</v>
      </c>
      <c r="I359">
        <v>0</v>
      </c>
      <c r="J359">
        <v>0</v>
      </c>
      <c r="K359">
        <v>0</v>
      </c>
      <c r="L359" s="84" t="s">
        <v>1527</v>
      </c>
      <c r="M359">
        <v>-1</v>
      </c>
      <c r="N359" s="84" t="s">
        <v>1127</v>
      </c>
      <c r="O359" s="84" t="s">
        <v>1128</v>
      </c>
    </row>
    <row r="360" spans="1:15" x14ac:dyDescent="0.25">
      <c r="A360" s="84" t="s">
        <v>595</v>
      </c>
      <c r="B360" s="84" t="s">
        <v>613</v>
      </c>
      <c r="C360" s="84" t="s">
        <v>614</v>
      </c>
      <c r="D360" s="84" t="s">
        <v>1894</v>
      </c>
      <c r="E360" s="70">
        <v>44229</v>
      </c>
      <c r="F360" s="84" t="s">
        <v>1611</v>
      </c>
      <c r="G360">
        <v>16000</v>
      </c>
      <c r="H360">
        <v>0</v>
      </c>
      <c r="I360">
        <v>0</v>
      </c>
      <c r="J360">
        <v>0</v>
      </c>
      <c r="K360">
        <v>16000</v>
      </c>
      <c r="L360" s="84" t="s">
        <v>1527</v>
      </c>
      <c r="M360">
        <v>4</v>
      </c>
      <c r="N360" s="84" t="s">
        <v>1127</v>
      </c>
      <c r="O360" s="84" t="s">
        <v>1128</v>
      </c>
    </row>
    <row r="361" spans="1:15" x14ac:dyDescent="0.25">
      <c r="A361" s="84" t="s">
        <v>595</v>
      </c>
      <c r="B361" s="84" t="s">
        <v>615</v>
      </c>
      <c r="C361" s="84" t="s">
        <v>616</v>
      </c>
      <c r="D361" s="84" t="s">
        <v>1895</v>
      </c>
      <c r="E361" s="70">
        <v>44229</v>
      </c>
      <c r="F361" s="84" t="s">
        <v>1609</v>
      </c>
      <c r="G361">
        <v>0</v>
      </c>
      <c r="H361">
        <v>0</v>
      </c>
      <c r="I361">
        <v>0</v>
      </c>
      <c r="J361">
        <v>0</v>
      </c>
      <c r="K361">
        <v>0</v>
      </c>
      <c r="L361" s="84" t="s">
        <v>1527</v>
      </c>
      <c r="M361">
        <v>-1</v>
      </c>
      <c r="N361" s="84" t="s">
        <v>1127</v>
      </c>
      <c r="O361" s="84" t="s">
        <v>1128</v>
      </c>
    </row>
    <row r="362" spans="1:15" x14ac:dyDescent="0.25">
      <c r="A362" s="84" t="s">
        <v>752</v>
      </c>
      <c r="B362" s="84" t="s">
        <v>617</v>
      </c>
      <c r="C362" s="84" t="s">
        <v>618</v>
      </c>
      <c r="D362" s="84" t="s">
        <v>1896</v>
      </c>
      <c r="E362" s="70">
        <v>44229</v>
      </c>
      <c r="F362" s="84" t="s">
        <v>1609</v>
      </c>
      <c r="G362">
        <v>0</v>
      </c>
      <c r="H362">
        <v>0</v>
      </c>
      <c r="I362">
        <v>0</v>
      </c>
      <c r="J362">
        <v>0</v>
      </c>
      <c r="K362">
        <v>0</v>
      </c>
      <c r="L362" s="84" t="s">
        <v>1528</v>
      </c>
      <c r="M362">
        <v>-1</v>
      </c>
      <c r="N362" s="84" t="s">
        <v>1127</v>
      </c>
      <c r="O362" s="84" t="s">
        <v>1128</v>
      </c>
    </row>
    <row r="363" spans="1:15" x14ac:dyDescent="0.25">
      <c r="A363" s="84" t="s">
        <v>595</v>
      </c>
      <c r="B363" s="84" t="s">
        <v>619</v>
      </c>
      <c r="C363" s="84" t="s">
        <v>620</v>
      </c>
      <c r="D363" s="84" t="s">
        <v>1897</v>
      </c>
      <c r="E363" s="70">
        <v>44249</v>
      </c>
      <c r="F363" s="84" t="s">
        <v>1609</v>
      </c>
      <c r="G363">
        <v>0</v>
      </c>
      <c r="H363">
        <v>0</v>
      </c>
      <c r="I363">
        <v>0</v>
      </c>
      <c r="J363">
        <v>0</v>
      </c>
      <c r="K363">
        <v>0</v>
      </c>
      <c r="L363" s="84" t="s">
        <v>1529</v>
      </c>
      <c r="M363">
        <v>-1</v>
      </c>
      <c r="N363" s="84" t="s">
        <v>1127</v>
      </c>
      <c r="O363" s="84" t="s">
        <v>1128</v>
      </c>
    </row>
    <row r="364" spans="1:15" x14ac:dyDescent="0.25">
      <c r="A364" s="84" t="s">
        <v>595</v>
      </c>
      <c r="B364" s="84" t="s">
        <v>621</v>
      </c>
      <c r="C364" s="84" t="s">
        <v>622</v>
      </c>
      <c r="D364" s="84" t="s">
        <v>1898</v>
      </c>
      <c r="E364" s="70">
        <v>44229</v>
      </c>
      <c r="F364" s="84" t="s">
        <v>1609</v>
      </c>
      <c r="G364">
        <v>0</v>
      </c>
      <c r="H364">
        <v>0</v>
      </c>
      <c r="I364">
        <v>0</v>
      </c>
      <c r="J364">
        <v>0</v>
      </c>
      <c r="K364">
        <v>0</v>
      </c>
      <c r="L364" s="84" t="s">
        <v>1527</v>
      </c>
      <c r="M364">
        <v>-1</v>
      </c>
      <c r="N364" s="84" t="s">
        <v>1127</v>
      </c>
      <c r="O364" s="84" t="s">
        <v>1128</v>
      </c>
    </row>
    <row r="365" spans="1:15" x14ac:dyDescent="0.25">
      <c r="A365" s="84" t="s">
        <v>595</v>
      </c>
      <c r="B365" s="84" t="s">
        <v>623</v>
      </c>
      <c r="C365" s="84" t="s">
        <v>624</v>
      </c>
      <c r="D365" s="84" t="s">
        <v>1899</v>
      </c>
      <c r="E365" s="70">
        <v>44249</v>
      </c>
      <c r="F365" s="84" t="s">
        <v>1609</v>
      </c>
      <c r="G365">
        <v>0</v>
      </c>
      <c r="H365">
        <v>4397</v>
      </c>
      <c r="I365">
        <v>251</v>
      </c>
      <c r="J365">
        <v>106</v>
      </c>
      <c r="K365">
        <v>-4397</v>
      </c>
      <c r="L365" s="84" t="s">
        <v>1529</v>
      </c>
      <c r="M365">
        <v>-1</v>
      </c>
      <c r="N365" s="84" t="s">
        <v>1240</v>
      </c>
      <c r="O365" s="84" t="s">
        <v>2356</v>
      </c>
    </row>
    <row r="366" spans="1:15" x14ac:dyDescent="0.25">
      <c r="A366" s="84" t="s">
        <v>595</v>
      </c>
      <c r="B366" s="84" t="s">
        <v>625</v>
      </c>
      <c r="C366" s="84" t="s">
        <v>626</v>
      </c>
      <c r="D366" s="84" t="s">
        <v>1900</v>
      </c>
      <c r="E366" s="70">
        <v>44249</v>
      </c>
      <c r="F366" s="84" t="s">
        <v>1609</v>
      </c>
      <c r="G366">
        <v>0</v>
      </c>
      <c r="H366">
        <v>0</v>
      </c>
      <c r="I366">
        <v>0</v>
      </c>
      <c r="J366">
        <v>0</v>
      </c>
      <c r="K366">
        <v>0</v>
      </c>
      <c r="L366" s="84" t="s">
        <v>1529</v>
      </c>
      <c r="M366">
        <v>-1</v>
      </c>
      <c r="N366" s="84" t="s">
        <v>1127</v>
      </c>
      <c r="O366" s="84" t="s">
        <v>1128</v>
      </c>
    </row>
    <row r="367" spans="1:15" x14ac:dyDescent="0.25">
      <c r="A367" s="84" t="s">
        <v>595</v>
      </c>
      <c r="B367" s="84" t="s">
        <v>1406</v>
      </c>
      <c r="C367" s="84" t="s">
        <v>1407</v>
      </c>
      <c r="D367" s="84" t="s">
        <v>1901</v>
      </c>
      <c r="E367" s="70">
        <v>44305</v>
      </c>
      <c r="F367" s="84" t="s">
        <v>1609</v>
      </c>
      <c r="G367">
        <v>0</v>
      </c>
      <c r="H367">
        <v>166</v>
      </c>
      <c r="I367">
        <v>166</v>
      </c>
      <c r="J367">
        <v>477</v>
      </c>
      <c r="K367">
        <v>-166</v>
      </c>
      <c r="L367" s="84" t="s">
        <v>1530</v>
      </c>
      <c r="M367">
        <v>-1</v>
      </c>
      <c r="N367" s="84" t="s">
        <v>1240</v>
      </c>
      <c r="O367" s="84" t="s">
        <v>2464</v>
      </c>
    </row>
    <row r="368" spans="1:15" x14ac:dyDescent="0.25">
      <c r="A368" s="84" t="s">
        <v>595</v>
      </c>
      <c r="B368" s="84" t="s">
        <v>627</v>
      </c>
      <c r="C368" s="84" t="s">
        <v>628</v>
      </c>
      <c r="D368" s="84" t="s">
        <v>1891</v>
      </c>
      <c r="E368" s="70">
        <v>44349</v>
      </c>
      <c r="F368" s="84" t="s">
        <v>1609</v>
      </c>
      <c r="G368">
        <v>0</v>
      </c>
      <c r="H368">
        <v>0</v>
      </c>
      <c r="I368">
        <v>0</v>
      </c>
      <c r="J368">
        <v>0</v>
      </c>
      <c r="K368">
        <v>0</v>
      </c>
      <c r="L368" s="84" t="s">
        <v>1531</v>
      </c>
      <c r="M368">
        <v>-1</v>
      </c>
      <c r="N368" s="84" t="s">
        <v>1127</v>
      </c>
      <c r="O368" s="84" t="s">
        <v>1128</v>
      </c>
    </row>
    <row r="369" spans="1:15" x14ac:dyDescent="0.25">
      <c r="A369" s="84" t="s">
        <v>595</v>
      </c>
      <c r="B369" s="84" t="s">
        <v>629</v>
      </c>
      <c r="C369" s="84" t="s">
        <v>1064</v>
      </c>
      <c r="D369" s="84" t="s">
        <v>1902</v>
      </c>
      <c r="E369" s="70">
        <v>44359</v>
      </c>
      <c r="F369" s="84" t="s">
        <v>1609</v>
      </c>
      <c r="G369">
        <v>0</v>
      </c>
      <c r="H369">
        <v>-127</v>
      </c>
      <c r="I369">
        <v>0</v>
      </c>
      <c r="J369">
        <v>0</v>
      </c>
      <c r="K369">
        <v>0</v>
      </c>
      <c r="L369" s="84" t="s">
        <v>1532</v>
      </c>
      <c r="M369">
        <v>-1</v>
      </c>
      <c r="N369" s="84" t="s">
        <v>1127</v>
      </c>
      <c r="O369" s="84" t="s">
        <v>1128</v>
      </c>
    </row>
    <row r="370" spans="1:15" x14ac:dyDescent="0.25">
      <c r="A370" s="84" t="s">
        <v>595</v>
      </c>
      <c r="B370" s="84" t="s">
        <v>630</v>
      </c>
      <c r="C370" s="84" t="s">
        <v>631</v>
      </c>
      <c r="D370" s="84" t="s">
        <v>1903</v>
      </c>
      <c r="E370" s="70">
        <v>44377</v>
      </c>
      <c r="F370" s="84" t="s">
        <v>1609</v>
      </c>
      <c r="G370">
        <v>0</v>
      </c>
      <c r="H370">
        <v>0</v>
      </c>
      <c r="I370">
        <v>0</v>
      </c>
      <c r="J370">
        <v>0</v>
      </c>
      <c r="K370">
        <v>0</v>
      </c>
      <c r="L370" s="84" t="s">
        <v>1533</v>
      </c>
      <c r="M370">
        <v>-1</v>
      </c>
      <c r="N370" s="84" t="s">
        <v>1127</v>
      </c>
      <c r="O370" s="84" t="s">
        <v>1128</v>
      </c>
    </row>
    <row r="371" spans="1:15" x14ac:dyDescent="0.25">
      <c r="A371" s="84" t="s">
        <v>595</v>
      </c>
      <c r="B371" s="84" t="s">
        <v>632</v>
      </c>
      <c r="C371" s="84" t="s">
        <v>633</v>
      </c>
      <c r="D371" s="84" t="s">
        <v>1904</v>
      </c>
      <c r="E371" s="70">
        <v>44377</v>
      </c>
      <c r="F371" s="84" t="s">
        <v>1611</v>
      </c>
      <c r="G371">
        <v>16000</v>
      </c>
      <c r="H371">
        <v>3269</v>
      </c>
      <c r="I371">
        <v>3090</v>
      </c>
      <c r="J371">
        <v>184</v>
      </c>
      <c r="K371">
        <v>12731</v>
      </c>
      <c r="L371" s="84" t="s">
        <v>1533</v>
      </c>
      <c r="M371">
        <v>4</v>
      </c>
      <c r="N371" s="84" t="s">
        <v>1127</v>
      </c>
      <c r="O371" s="84" t="s">
        <v>2465</v>
      </c>
    </row>
    <row r="372" spans="1:15" x14ac:dyDescent="0.25">
      <c r="A372" s="84" t="s">
        <v>595</v>
      </c>
      <c r="B372" s="84" t="s">
        <v>634</v>
      </c>
      <c r="C372" s="84" t="s">
        <v>635</v>
      </c>
      <c r="D372" s="84" t="s">
        <v>1905</v>
      </c>
      <c r="E372" s="70">
        <v>44377</v>
      </c>
      <c r="F372" s="84" t="s">
        <v>1609</v>
      </c>
      <c r="G372">
        <v>0</v>
      </c>
      <c r="H372">
        <v>0</v>
      </c>
      <c r="I372">
        <v>0</v>
      </c>
      <c r="J372">
        <v>0</v>
      </c>
      <c r="K372">
        <v>0</v>
      </c>
      <c r="L372" s="84" t="s">
        <v>1533</v>
      </c>
      <c r="M372">
        <v>-1</v>
      </c>
      <c r="N372" s="84" t="s">
        <v>1127</v>
      </c>
      <c r="O372" s="84" t="s">
        <v>1128</v>
      </c>
    </row>
    <row r="373" spans="1:15" x14ac:dyDescent="0.25">
      <c r="A373" s="84" t="s">
        <v>595</v>
      </c>
      <c r="B373" s="84" t="s">
        <v>636</v>
      </c>
      <c r="C373" s="84" t="s">
        <v>637</v>
      </c>
      <c r="D373" s="84" t="s">
        <v>1906</v>
      </c>
      <c r="E373" s="70">
        <v>44380</v>
      </c>
      <c r="F373" s="84" t="s">
        <v>1609</v>
      </c>
      <c r="G373">
        <v>0</v>
      </c>
      <c r="H373">
        <v>0</v>
      </c>
      <c r="I373">
        <v>0</v>
      </c>
      <c r="J373">
        <v>0</v>
      </c>
      <c r="K373">
        <v>0</v>
      </c>
      <c r="L373" s="84" t="s">
        <v>1534</v>
      </c>
      <c r="M373">
        <v>-1</v>
      </c>
      <c r="N373" s="84" t="s">
        <v>1127</v>
      </c>
      <c r="O373" s="84" t="s">
        <v>1128</v>
      </c>
    </row>
    <row r="374" spans="1:15" x14ac:dyDescent="0.25">
      <c r="A374" s="84" t="s">
        <v>752</v>
      </c>
      <c r="B374" s="84" t="s">
        <v>638</v>
      </c>
      <c r="C374" s="84" t="s">
        <v>639</v>
      </c>
      <c r="D374" s="84" t="s">
        <v>1907</v>
      </c>
      <c r="E374" s="70">
        <v>44380</v>
      </c>
      <c r="F374" s="84" t="s">
        <v>1611</v>
      </c>
      <c r="G374">
        <v>8000</v>
      </c>
      <c r="H374">
        <v>2232</v>
      </c>
      <c r="I374">
        <v>2232</v>
      </c>
      <c r="J374">
        <v>723</v>
      </c>
      <c r="K374">
        <v>5768</v>
      </c>
      <c r="L374" s="84" t="s">
        <v>1535</v>
      </c>
      <c r="M374">
        <v>4</v>
      </c>
      <c r="N374" s="84" t="s">
        <v>1127</v>
      </c>
      <c r="O374" s="84" t="s">
        <v>1408</v>
      </c>
    </row>
    <row r="375" spans="1:15" x14ac:dyDescent="0.25">
      <c r="A375" s="84" t="s">
        <v>6</v>
      </c>
      <c r="B375" s="84" t="s">
        <v>640</v>
      </c>
      <c r="C375" s="84" t="s">
        <v>641</v>
      </c>
      <c r="D375" s="84" t="s">
        <v>1908</v>
      </c>
      <c r="E375" s="70">
        <v>44387</v>
      </c>
      <c r="F375" s="84" t="s">
        <v>1609</v>
      </c>
      <c r="G375">
        <v>0</v>
      </c>
      <c r="H375">
        <v>-7.01</v>
      </c>
      <c r="I375">
        <v>-7.01</v>
      </c>
      <c r="J375">
        <v>281</v>
      </c>
      <c r="K375">
        <v>0</v>
      </c>
      <c r="L375" s="84" t="s">
        <v>1409</v>
      </c>
      <c r="M375">
        <v>-1</v>
      </c>
      <c r="N375" s="84" t="s">
        <v>1127</v>
      </c>
      <c r="O375" s="84" t="s">
        <v>1128</v>
      </c>
    </row>
    <row r="376" spans="1:15" x14ac:dyDescent="0.25">
      <c r="A376" s="84" t="s">
        <v>595</v>
      </c>
      <c r="B376" s="84" t="s">
        <v>642</v>
      </c>
      <c r="C376" s="84" t="s">
        <v>643</v>
      </c>
      <c r="D376" s="84" t="s">
        <v>1909</v>
      </c>
      <c r="E376" s="70">
        <v>44409</v>
      </c>
      <c r="F376" s="84" t="s">
        <v>1609</v>
      </c>
      <c r="G376">
        <v>0</v>
      </c>
      <c r="H376">
        <v>0</v>
      </c>
      <c r="I376">
        <v>0</v>
      </c>
      <c r="J376">
        <v>0</v>
      </c>
      <c r="K376">
        <v>0</v>
      </c>
      <c r="L376" s="84" t="s">
        <v>1536</v>
      </c>
      <c r="M376">
        <v>-1</v>
      </c>
      <c r="N376" s="84" t="s">
        <v>1127</v>
      </c>
      <c r="O376" s="84" t="s">
        <v>1128</v>
      </c>
    </row>
    <row r="377" spans="1:15" x14ac:dyDescent="0.25">
      <c r="A377" s="84" t="s">
        <v>595</v>
      </c>
      <c r="B377" s="84" t="s">
        <v>644</v>
      </c>
      <c r="C377" s="84" t="s">
        <v>645</v>
      </c>
      <c r="D377" s="84" t="s">
        <v>1910</v>
      </c>
      <c r="E377" s="70">
        <v>44409</v>
      </c>
      <c r="F377" s="84" t="s">
        <v>1611</v>
      </c>
      <c r="G377">
        <v>50000</v>
      </c>
      <c r="H377">
        <v>14409</v>
      </c>
      <c r="I377">
        <v>14409</v>
      </c>
      <c r="J377">
        <v>231</v>
      </c>
      <c r="K377">
        <v>35591</v>
      </c>
      <c r="L377" s="84" t="s">
        <v>1536</v>
      </c>
      <c r="M377">
        <v>4</v>
      </c>
      <c r="N377" s="84" t="s">
        <v>1127</v>
      </c>
      <c r="O377" s="84" t="s">
        <v>2466</v>
      </c>
    </row>
    <row r="378" spans="1:15" x14ac:dyDescent="0.25">
      <c r="A378" s="84" t="s">
        <v>595</v>
      </c>
      <c r="B378" s="84" t="s">
        <v>646</v>
      </c>
      <c r="C378" s="84" t="s">
        <v>647</v>
      </c>
      <c r="D378" s="84" t="s">
        <v>1911</v>
      </c>
      <c r="E378" s="70">
        <v>44410</v>
      </c>
      <c r="F378" s="84" t="s">
        <v>1611</v>
      </c>
      <c r="G378">
        <v>80000</v>
      </c>
      <c r="H378">
        <v>0</v>
      </c>
      <c r="I378">
        <v>0</v>
      </c>
      <c r="J378">
        <v>0</v>
      </c>
      <c r="K378">
        <v>80000</v>
      </c>
      <c r="L378" s="84" t="s">
        <v>1537</v>
      </c>
      <c r="M378">
        <v>4</v>
      </c>
      <c r="N378" s="84" t="s">
        <v>1127</v>
      </c>
      <c r="O378" s="84" t="s">
        <v>1128</v>
      </c>
    </row>
    <row r="379" spans="1:15" x14ac:dyDescent="0.25">
      <c r="A379" s="84" t="s">
        <v>595</v>
      </c>
      <c r="B379" s="84" t="s">
        <v>648</v>
      </c>
      <c r="C379" s="84" t="s">
        <v>649</v>
      </c>
      <c r="D379" s="84" t="s">
        <v>1912</v>
      </c>
      <c r="E379" s="70">
        <v>44412</v>
      </c>
      <c r="F379" s="84" t="s">
        <v>1611</v>
      </c>
      <c r="G379">
        <v>120000</v>
      </c>
      <c r="H379">
        <v>1</v>
      </c>
      <c r="I379">
        <v>1</v>
      </c>
      <c r="J379">
        <v>125</v>
      </c>
      <c r="K379">
        <v>119999</v>
      </c>
      <c r="L379" s="84" t="s">
        <v>1538</v>
      </c>
      <c r="M379">
        <v>4</v>
      </c>
      <c r="N379" s="84" t="s">
        <v>1127</v>
      </c>
      <c r="O379" s="84" t="s">
        <v>1282</v>
      </c>
    </row>
    <row r="380" spans="1:15" x14ac:dyDescent="0.25">
      <c r="A380" s="84" t="s">
        <v>595</v>
      </c>
      <c r="B380" s="84" t="s">
        <v>650</v>
      </c>
      <c r="C380" s="84" t="s">
        <v>651</v>
      </c>
      <c r="D380" s="84" t="s">
        <v>1913</v>
      </c>
      <c r="E380" s="70">
        <v>44415</v>
      </c>
      <c r="F380" s="84" t="s">
        <v>1609</v>
      </c>
      <c r="G380">
        <v>0</v>
      </c>
      <c r="H380">
        <v>0</v>
      </c>
      <c r="I380">
        <v>0</v>
      </c>
      <c r="J380">
        <v>0</v>
      </c>
      <c r="K380">
        <v>0</v>
      </c>
      <c r="L380" s="84" t="s">
        <v>1539</v>
      </c>
      <c r="M380">
        <v>-1</v>
      </c>
      <c r="N380" s="84" t="s">
        <v>1127</v>
      </c>
      <c r="O380" s="84" t="s">
        <v>1128</v>
      </c>
    </row>
    <row r="381" spans="1:15" x14ac:dyDescent="0.25">
      <c r="A381" s="84" t="s">
        <v>752</v>
      </c>
      <c r="B381" s="84" t="s">
        <v>652</v>
      </c>
      <c r="C381" s="84" t="s">
        <v>653</v>
      </c>
      <c r="D381" s="84" t="s">
        <v>1914</v>
      </c>
      <c r="E381" s="70">
        <v>44419</v>
      </c>
      <c r="F381" s="84" t="s">
        <v>1609</v>
      </c>
      <c r="G381">
        <v>0</v>
      </c>
      <c r="H381">
        <v>0</v>
      </c>
      <c r="I381">
        <v>0</v>
      </c>
      <c r="J381">
        <v>0</v>
      </c>
      <c r="K381">
        <v>0</v>
      </c>
      <c r="L381" s="84" t="s">
        <v>1540</v>
      </c>
      <c r="M381">
        <v>-1</v>
      </c>
      <c r="N381" s="84" t="s">
        <v>1127</v>
      </c>
      <c r="O381" s="84" t="s">
        <v>1128</v>
      </c>
    </row>
    <row r="382" spans="1:15" x14ac:dyDescent="0.25">
      <c r="A382" s="84" t="s">
        <v>595</v>
      </c>
      <c r="B382" s="84" t="s">
        <v>654</v>
      </c>
      <c r="C382" s="84" t="s">
        <v>655</v>
      </c>
      <c r="D382" s="84" t="s">
        <v>1915</v>
      </c>
      <c r="E382" s="70">
        <v>44424</v>
      </c>
      <c r="F382" s="84" t="s">
        <v>1609</v>
      </c>
      <c r="G382">
        <v>0</v>
      </c>
      <c r="H382">
        <v>0</v>
      </c>
      <c r="I382">
        <v>0</v>
      </c>
      <c r="J382">
        <v>0</v>
      </c>
      <c r="K382">
        <v>0</v>
      </c>
      <c r="L382" s="84" t="s">
        <v>1541</v>
      </c>
      <c r="M382">
        <v>-1</v>
      </c>
      <c r="N382" s="84" t="s">
        <v>1127</v>
      </c>
      <c r="O382" s="84" t="s">
        <v>1128</v>
      </c>
    </row>
    <row r="383" spans="1:15" x14ac:dyDescent="0.25">
      <c r="A383" s="84" t="s">
        <v>595</v>
      </c>
      <c r="B383" s="84" t="s">
        <v>656</v>
      </c>
      <c r="C383" s="84" t="s">
        <v>2256</v>
      </c>
      <c r="D383" s="84" t="s">
        <v>2257</v>
      </c>
      <c r="E383" s="70">
        <v>44425</v>
      </c>
      <c r="F383" s="84" t="s">
        <v>1609</v>
      </c>
      <c r="G383">
        <v>0</v>
      </c>
      <c r="H383">
        <v>-37</v>
      </c>
      <c r="I383">
        <v>0</v>
      </c>
      <c r="J383">
        <v>0</v>
      </c>
      <c r="K383">
        <v>0</v>
      </c>
      <c r="L383" s="84" t="s">
        <v>1542</v>
      </c>
      <c r="M383">
        <v>-1</v>
      </c>
      <c r="N383" s="84" t="s">
        <v>1127</v>
      </c>
      <c r="O383" s="84" t="s">
        <v>1128</v>
      </c>
    </row>
    <row r="384" spans="1:15" x14ac:dyDescent="0.25">
      <c r="A384" s="84" t="s">
        <v>595</v>
      </c>
      <c r="B384" s="84" t="s">
        <v>657</v>
      </c>
      <c r="C384" s="84" t="s">
        <v>658</v>
      </c>
      <c r="D384" s="84" t="s">
        <v>1916</v>
      </c>
      <c r="E384" s="70">
        <v>44434</v>
      </c>
      <c r="F384" s="84" t="s">
        <v>1609</v>
      </c>
      <c r="G384">
        <v>0</v>
      </c>
      <c r="H384">
        <v>0</v>
      </c>
      <c r="I384">
        <v>0</v>
      </c>
      <c r="J384">
        <v>0</v>
      </c>
      <c r="K384">
        <v>0</v>
      </c>
      <c r="L384" s="84" t="s">
        <v>1543</v>
      </c>
      <c r="M384">
        <v>-1</v>
      </c>
      <c r="N384" s="84" t="s">
        <v>1127</v>
      </c>
      <c r="O384" s="84" t="s">
        <v>1128</v>
      </c>
    </row>
    <row r="385" spans="1:15" x14ac:dyDescent="0.25">
      <c r="A385" s="84" t="s">
        <v>595</v>
      </c>
      <c r="B385" s="84" t="s">
        <v>659</v>
      </c>
      <c r="C385" s="84" t="s">
        <v>660</v>
      </c>
      <c r="D385" s="84" t="s">
        <v>1902</v>
      </c>
      <c r="E385" s="70">
        <v>44434</v>
      </c>
      <c r="F385" s="84" t="s">
        <v>1609</v>
      </c>
      <c r="G385">
        <v>0</v>
      </c>
      <c r="H385">
        <v>0</v>
      </c>
      <c r="I385">
        <v>0</v>
      </c>
      <c r="J385">
        <v>0</v>
      </c>
      <c r="K385">
        <v>0</v>
      </c>
      <c r="L385" s="84" t="s">
        <v>1543</v>
      </c>
      <c r="M385">
        <v>-1</v>
      </c>
      <c r="N385" s="84" t="s">
        <v>1127</v>
      </c>
      <c r="O385" s="84" t="s">
        <v>1128</v>
      </c>
    </row>
    <row r="386" spans="1:15" x14ac:dyDescent="0.25">
      <c r="A386" s="84" t="s">
        <v>595</v>
      </c>
      <c r="B386" s="84" t="s">
        <v>661</v>
      </c>
      <c r="C386" s="84" t="s">
        <v>662</v>
      </c>
      <c r="D386" s="84" t="s">
        <v>1917</v>
      </c>
      <c r="E386" s="70">
        <v>44434</v>
      </c>
      <c r="F386" s="84" t="s">
        <v>1609</v>
      </c>
      <c r="G386">
        <v>0</v>
      </c>
      <c r="H386">
        <v>0</v>
      </c>
      <c r="I386">
        <v>0</v>
      </c>
      <c r="J386">
        <v>0</v>
      </c>
      <c r="K386">
        <v>0</v>
      </c>
      <c r="L386" s="84" t="s">
        <v>1543</v>
      </c>
      <c r="M386">
        <v>-1</v>
      </c>
      <c r="N386" s="84" t="s">
        <v>1127</v>
      </c>
      <c r="O386" s="84" t="s">
        <v>1128</v>
      </c>
    </row>
    <row r="387" spans="1:15" x14ac:dyDescent="0.25">
      <c r="A387" s="84" t="s">
        <v>595</v>
      </c>
      <c r="B387" s="84" t="s">
        <v>663</v>
      </c>
      <c r="C387" s="84" t="s">
        <v>664</v>
      </c>
      <c r="D387" s="84" t="s">
        <v>1918</v>
      </c>
      <c r="E387" s="70">
        <v>44443</v>
      </c>
      <c r="F387" s="84" t="s">
        <v>1609</v>
      </c>
      <c r="G387">
        <v>0</v>
      </c>
      <c r="H387">
        <v>0</v>
      </c>
      <c r="I387">
        <v>0</v>
      </c>
      <c r="J387">
        <v>0</v>
      </c>
      <c r="K387">
        <v>0</v>
      </c>
      <c r="L387" s="84" t="s">
        <v>1544</v>
      </c>
      <c r="M387">
        <v>-1</v>
      </c>
      <c r="N387" s="84" t="s">
        <v>1127</v>
      </c>
      <c r="O387" s="84" t="s">
        <v>1128</v>
      </c>
    </row>
    <row r="388" spans="1:15" x14ac:dyDescent="0.25">
      <c r="A388" s="84" t="s">
        <v>595</v>
      </c>
      <c r="B388" s="84" t="s">
        <v>665</v>
      </c>
      <c r="C388" s="84" t="s">
        <v>666</v>
      </c>
      <c r="D388" s="84" t="s">
        <v>1891</v>
      </c>
      <c r="E388" s="70">
        <v>44450</v>
      </c>
      <c r="F388" s="84" t="s">
        <v>1609</v>
      </c>
      <c r="G388">
        <v>0</v>
      </c>
      <c r="H388">
        <v>0</v>
      </c>
      <c r="I388">
        <v>0</v>
      </c>
      <c r="J388">
        <v>0</v>
      </c>
      <c r="K388">
        <v>0</v>
      </c>
      <c r="L388" s="84" t="s">
        <v>1545</v>
      </c>
      <c r="M388">
        <v>-1</v>
      </c>
      <c r="N388" s="84" t="s">
        <v>1127</v>
      </c>
      <c r="O388" s="84" t="s">
        <v>1128</v>
      </c>
    </row>
    <row r="389" spans="1:15" x14ac:dyDescent="0.25">
      <c r="A389" s="84" t="s">
        <v>595</v>
      </c>
      <c r="B389" s="84" t="s">
        <v>667</v>
      </c>
      <c r="C389" s="84" t="s">
        <v>668</v>
      </c>
      <c r="D389" s="84" t="s">
        <v>1919</v>
      </c>
      <c r="E389" s="70">
        <v>44457</v>
      </c>
      <c r="F389" s="84" t="s">
        <v>1611</v>
      </c>
      <c r="G389">
        <v>60000</v>
      </c>
      <c r="H389">
        <v>606</v>
      </c>
      <c r="I389">
        <v>606</v>
      </c>
      <c r="J389">
        <v>209</v>
      </c>
      <c r="K389">
        <v>59394</v>
      </c>
      <c r="L389" s="84" t="s">
        <v>1546</v>
      </c>
      <c r="M389">
        <v>4</v>
      </c>
      <c r="N389" s="84" t="s">
        <v>1127</v>
      </c>
      <c r="O389" s="84" t="s">
        <v>2467</v>
      </c>
    </row>
    <row r="390" spans="1:15" x14ac:dyDescent="0.25">
      <c r="A390" s="84" t="s">
        <v>595</v>
      </c>
      <c r="B390" s="84" t="s">
        <v>669</v>
      </c>
      <c r="C390" s="84" t="s">
        <v>670</v>
      </c>
      <c r="D390" s="84" t="s">
        <v>1920</v>
      </c>
      <c r="E390" s="70">
        <v>44474</v>
      </c>
      <c r="F390" s="84" t="s">
        <v>1609</v>
      </c>
      <c r="G390">
        <v>0</v>
      </c>
      <c r="H390">
        <v>0</v>
      </c>
      <c r="I390">
        <v>0</v>
      </c>
      <c r="J390">
        <v>0</v>
      </c>
      <c r="K390">
        <v>0</v>
      </c>
      <c r="L390" s="84" t="s">
        <v>1547</v>
      </c>
      <c r="M390">
        <v>-1</v>
      </c>
      <c r="N390" s="84" t="s">
        <v>1127</v>
      </c>
      <c r="O390" s="84" t="s">
        <v>1128</v>
      </c>
    </row>
    <row r="391" spans="1:15" x14ac:dyDescent="0.25">
      <c r="A391" s="84" t="s">
        <v>595</v>
      </c>
      <c r="B391" s="84" t="s">
        <v>671</v>
      </c>
      <c r="C391" s="84" t="s">
        <v>672</v>
      </c>
      <c r="D391" s="84" t="s">
        <v>1921</v>
      </c>
      <c r="E391" s="70">
        <v>44492</v>
      </c>
      <c r="F391" s="84" t="s">
        <v>1609</v>
      </c>
      <c r="G391">
        <v>0</v>
      </c>
      <c r="H391">
        <v>0</v>
      </c>
      <c r="I391">
        <v>0</v>
      </c>
      <c r="J391">
        <v>0</v>
      </c>
      <c r="K391">
        <v>0</v>
      </c>
      <c r="L391" s="84" t="s">
        <v>1548</v>
      </c>
      <c r="M391">
        <v>-1</v>
      </c>
      <c r="N391" s="84" t="s">
        <v>1127</v>
      </c>
      <c r="O391" s="84" t="s">
        <v>1128</v>
      </c>
    </row>
    <row r="392" spans="1:15" x14ac:dyDescent="0.25">
      <c r="A392" s="84" t="s">
        <v>595</v>
      </c>
      <c r="B392" s="84" t="s">
        <v>673</v>
      </c>
      <c r="C392" s="84" t="s">
        <v>674</v>
      </c>
      <c r="D392" s="84" t="s">
        <v>1922</v>
      </c>
      <c r="E392" s="70">
        <v>44514</v>
      </c>
      <c r="F392" s="84" t="s">
        <v>1609</v>
      </c>
      <c r="G392">
        <v>0</v>
      </c>
      <c r="H392">
        <v>-4.22</v>
      </c>
      <c r="I392">
        <v>-4.22</v>
      </c>
      <c r="J392">
        <v>81</v>
      </c>
      <c r="K392">
        <v>0</v>
      </c>
      <c r="L392" s="84" t="s">
        <v>1549</v>
      </c>
      <c r="M392">
        <v>-1</v>
      </c>
      <c r="N392" s="84" t="s">
        <v>1127</v>
      </c>
      <c r="O392" s="84" t="s">
        <v>1128</v>
      </c>
    </row>
    <row r="393" spans="1:15" x14ac:dyDescent="0.25">
      <c r="A393" s="84" t="s">
        <v>595</v>
      </c>
      <c r="B393" s="84" t="s">
        <v>675</v>
      </c>
      <c r="C393" s="84" t="s">
        <v>676</v>
      </c>
      <c r="D393" s="84" t="s">
        <v>1923</v>
      </c>
      <c r="E393" s="70">
        <v>44531</v>
      </c>
      <c r="F393" s="84" t="s">
        <v>1609</v>
      </c>
      <c r="G393">
        <v>0</v>
      </c>
      <c r="H393">
        <v>0</v>
      </c>
      <c r="I393">
        <v>0</v>
      </c>
      <c r="J393">
        <v>0</v>
      </c>
      <c r="K393">
        <v>0</v>
      </c>
      <c r="L393" s="84" t="s">
        <v>1550</v>
      </c>
      <c r="M393">
        <v>-1</v>
      </c>
      <c r="N393" s="84" t="s">
        <v>1127</v>
      </c>
      <c r="O393" s="84" t="s">
        <v>1128</v>
      </c>
    </row>
    <row r="394" spans="1:15" x14ac:dyDescent="0.25">
      <c r="A394" s="84" t="s">
        <v>595</v>
      </c>
      <c r="B394" s="84" t="s">
        <v>677</v>
      </c>
      <c r="C394" s="84" t="s">
        <v>678</v>
      </c>
      <c r="D394" s="84" t="s">
        <v>1924</v>
      </c>
      <c r="E394" s="70">
        <v>44545</v>
      </c>
      <c r="F394" s="84" t="s">
        <v>1609</v>
      </c>
      <c r="G394">
        <v>0</v>
      </c>
      <c r="H394">
        <v>0</v>
      </c>
      <c r="I394">
        <v>0</v>
      </c>
      <c r="J394">
        <v>0</v>
      </c>
      <c r="K394">
        <v>0</v>
      </c>
      <c r="L394" s="84" t="s">
        <v>1551</v>
      </c>
      <c r="M394">
        <v>-1</v>
      </c>
      <c r="N394" s="84" t="s">
        <v>1127</v>
      </c>
      <c r="O394" s="84" t="s">
        <v>1128</v>
      </c>
    </row>
    <row r="395" spans="1:15" x14ac:dyDescent="0.25">
      <c r="A395" s="84" t="s">
        <v>752</v>
      </c>
      <c r="B395" s="84" t="s">
        <v>679</v>
      </c>
      <c r="C395" s="84" t="s">
        <v>680</v>
      </c>
      <c r="D395" s="84" t="s">
        <v>1925</v>
      </c>
      <c r="E395" s="70">
        <v>44550</v>
      </c>
      <c r="F395" s="84" t="s">
        <v>1611</v>
      </c>
      <c r="G395">
        <v>24000</v>
      </c>
      <c r="H395">
        <v>4689</v>
      </c>
      <c r="I395">
        <v>3783</v>
      </c>
      <c r="J395">
        <v>168</v>
      </c>
      <c r="K395">
        <v>19311</v>
      </c>
      <c r="L395" s="84" t="s">
        <v>1552</v>
      </c>
      <c r="M395">
        <v>4</v>
      </c>
      <c r="N395" s="84" t="s">
        <v>1127</v>
      </c>
      <c r="O395" s="84" t="s">
        <v>2468</v>
      </c>
    </row>
    <row r="396" spans="1:15" x14ac:dyDescent="0.25">
      <c r="A396" s="84" t="s">
        <v>595</v>
      </c>
      <c r="B396" s="84" t="s">
        <v>681</v>
      </c>
      <c r="C396" s="84" t="s">
        <v>682</v>
      </c>
      <c r="D396" s="84" t="s">
        <v>1732</v>
      </c>
      <c r="E396" s="70">
        <v>44553</v>
      </c>
      <c r="F396" s="84" t="s">
        <v>1611</v>
      </c>
      <c r="G396">
        <v>80000</v>
      </c>
      <c r="H396">
        <v>290</v>
      </c>
      <c r="I396">
        <v>290</v>
      </c>
      <c r="J396">
        <v>89</v>
      </c>
      <c r="K396">
        <v>79710</v>
      </c>
      <c r="L396" s="84" t="s">
        <v>1553</v>
      </c>
      <c r="M396">
        <v>4</v>
      </c>
      <c r="N396" s="84" t="s">
        <v>1127</v>
      </c>
      <c r="O396" s="84" t="s">
        <v>2357</v>
      </c>
    </row>
    <row r="397" spans="1:15" x14ac:dyDescent="0.25">
      <c r="A397" s="84" t="s">
        <v>595</v>
      </c>
      <c r="B397" s="84" t="s">
        <v>683</v>
      </c>
      <c r="C397" s="84" t="s">
        <v>684</v>
      </c>
      <c r="D397" s="84" t="s">
        <v>1926</v>
      </c>
      <c r="E397" s="70">
        <v>44555</v>
      </c>
      <c r="F397" s="84" t="s">
        <v>1609</v>
      </c>
      <c r="G397">
        <v>0</v>
      </c>
      <c r="H397">
        <v>0</v>
      </c>
      <c r="I397">
        <v>0</v>
      </c>
      <c r="J397">
        <v>0</v>
      </c>
      <c r="K397">
        <v>0</v>
      </c>
      <c r="L397" s="84" t="s">
        <v>1554</v>
      </c>
      <c r="M397">
        <v>-1</v>
      </c>
      <c r="N397" s="84" t="s">
        <v>1127</v>
      </c>
      <c r="O397" s="84" t="s">
        <v>1128</v>
      </c>
    </row>
    <row r="398" spans="1:15" x14ac:dyDescent="0.25">
      <c r="A398" s="84" t="s">
        <v>595</v>
      </c>
      <c r="B398" s="84" t="s">
        <v>685</v>
      </c>
      <c r="C398" s="84" t="s">
        <v>686</v>
      </c>
      <c r="D398" s="84" t="s">
        <v>1927</v>
      </c>
      <c r="E398" s="70">
        <v>44574</v>
      </c>
      <c r="F398" s="84" t="s">
        <v>1609</v>
      </c>
      <c r="G398">
        <v>0</v>
      </c>
      <c r="H398">
        <v>0</v>
      </c>
      <c r="I398">
        <v>0</v>
      </c>
      <c r="J398">
        <v>0</v>
      </c>
      <c r="K398">
        <v>0</v>
      </c>
      <c r="L398" s="84" t="s">
        <v>1555</v>
      </c>
      <c r="M398">
        <v>-1</v>
      </c>
      <c r="N398" s="84" t="s">
        <v>1127</v>
      </c>
      <c r="O398" s="84" t="s">
        <v>1128</v>
      </c>
    </row>
    <row r="399" spans="1:15" x14ac:dyDescent="0.25">
      <c r="A399" s="84" t="s">
        <v>595</v>
      </c>
      <c r="B399" s="84" t="s">
        <v>687</v>
      </c>
      <c r="C399" s="84" t="s">
        <v>688</v>
      </c>
      <c r="D399" s="84" t="s">
        <v>1928</v>
      </c>
      <c r="E399" s="70">
        <v>44576</v>
      </c>
      <c r="F399" s="84" t="s">
        <v>1609</v>
      </c>
      <c r="G399">
        <v>0</v>
      </c>
      <c r="H399">
        <v>0</v>
      </c>
      <c r="I399">
        <v>0</v>
      </c>
      <c r="J399">
        <v>0</v>
      </c>
      <c r="K399">
        <v>0</v>
      </c>
      <c r="L399" s="84" t="s">
        <v>1556</v>
      </c>
      <c r="M399">
        <v>-1</v>
      </c>
      <c r="N399" s="84" t="s">
        <v>1127</v>
      </c>
      <c r="O399" s="84" t="s">
        <v>1128</v>
      </c>
    </row>
    <row r="400" spans="1:15" x14ac:dyDescent="0.25">
      <c r="A400" s="84" t="s">
        <v>595</v>
      </c>
      <c r="B400" s="84" t="s">
        <v>689</v>
      </c>
      <c r="C400" s="84" t="s">
        <v>690</v>
      </c>
      <c r="D400" s="84" t="s">
        <v>1929</v>
      </c>
      <c r="E400" s="70">
        <v>44583</v>
      </c>
      <c r="F400" s="84" t="s">
        <v>1609</v>
      </c>
      <c r="G400">
        <v>0</v>
      </c>
      <c r="H400">
        <v>-1</v>
      </c>
      <c r="I400">
        <v>-1</v>
      </c>
      <c r="J400">
        <v>225</v>
      </c>
      <c r="K400">
        <v>0</v>
      </c>
      <c r="L400" s="84" t="s">
        <v>1557</v>
      </c>
      <c r="M400">
        <v>-1</v>
      </c>
      <c r="N400" s="84" t="s">
        <v>1127</v>
      </c>
      <c r="O400" s="84" t="s">
        <v>1128</v>
      </c>
    </row>
    <row r="401" spans="1:15" x14ac:dyDescent="0.25">
      <c r="A401" s="84" t="s">
        <v>752</v>
      </c>
      <c r="B401" s="84" t="s">
        <v>691</v>
      </c>
      <c r="C401" s="84" t="s">
        <v>692</v>
      </c>
      <c r="D401" s="84" t="s">
        <v>1930</v>
      </c>
      <c r="E401" s="70">
        <v>44583</v>
      </c>
      <c r="F401" s="84" t="s">
        <v>1611</v>
      </c>
      <c r="G401">
        <v>24000</v>
      </c>
      <c r="H401">
        <v>4743</v>
      </c>
      <c r="I401">
        <v>3613</v>
      </c>
      <c r="J401">
        <v>112</v>
      </c>
      <c r="K401">
        <v>19257</v>
      </c>
      <c r="L401" s="84" t="s">
        <v>1558</v>
      </c>
      <c r="M401">
        <v>4</v>
      </c>
      <c r="N401" s="84" t="s">
        <v>1127</v>
      </c>
      <c r="O401" s="84" t="s">
        <v>2404</v>
      </c>
    </row>
    <row r="402" spans="1:15" x14ac:dyDescent="0.25">
      <c r="A402" s="84" t="s">
        <v>595</v>
      </c>
      <c r="B402" s="84" t="s">
        <v>693</v>
      </c>
      <c r="C402" s="84" t="s">
        <v>694</v>
      </c>
      <c r="D402" s="84" t="s">
        <v>1931</v>
      </c>
      <c r="E402" s="70">
        <v>44591</v>
      </c>
      <c r="F402" s="84" t="s">
        <v>1609</v>
      </c>
      <c r="G402">
        <v>0</v>
      </c>
      <c r="H402">
        <v>0</v>
      </c>
      <c r="I402">
        <v>0</v>
      </c>
      <c r="J402">
        <v>0</v>
      </c>
      <c r="K402">
        <v>0</v>
      </c>
      <c r="L402" s="84" t="s">
        <v>1559</v>
      </c>
      <c r="M402">
        <v>-1</v>
      </c>
      <c r="N402" s="84" t="s">
        <v>1127</v>
      </c>
      <c r="O402" s="84" t="s">
        <v>1128</v>
      </c>
    </row>
    <row r="403" spans="1:15" x14ac:dyDescent="0.25">
      <c r="A403" s="84" t="s">
        <v>595</v>
      </c>
      <c r="B403" s="84" t="s">
        <v>695</v>
      </c>
      <c r="C403" s="84" t="s">
        <v>696</v>
      </c>
      <c r="D403" s="84" t="s">
        <v>1932</v>
      </c>
      <c r="E403" s="70">
        <v>44598</v>
      </c>
      <c r="F403" s="84" t="s">
        <v>1609</v>
      </c>
      <c r="G403">
        <v>0</v>
      </c>
      <c r="H403">
        <v>0</v>
      </c>
      <c r="I403">
        <v>0</v>
      </c>
      <c r="J403">
        <v>0</v>
      </c>
      <c r="K403">
        <v>0</v>
      </c>
      <c r="L403" s="84" t="s">
        <v>1560</v>
      </c>
      <c r="M403">
        <v>-1</v>
      </c>
      <c r="N403" s="84" t="s">
        <v>1127</v>
      </c>
      <c r="O403" s="84" t="s">
        <v>1128</v>
      </c>
    </row>
    <row r="404" spans="1:15" x14ac:dyDescent="0.25">
      <c r="A404" s="84" t="s">
        <v>595</v>
      </c>
      <c r="B404" s="84" t="s">
        <v>697</v>
      </c>
      <c r="C404" s="84" t="s">
        <v>698</v>
      </c>
      <c r="D404" s="84" t="s">
        <v>1933</v>
      </c>
      <c r="E404" s="70">
        <v>44606</v>
      </c>
      <c r="F404" s="84" t="s">
        <v>1609</v>
      </c>
      <c r="G404">
        <v>0</v>
      </c>
      <c r="H404">
        <v>0</v>
      </c>
      <c r="I404">
        <v>0</v>
      </c>
      <c r="J404">
        <v>0</v>
      </c>
      <c r="K404">
        <v>0</v>
      </c>
      <c r="L404" s="84" t="s">
        <v>1561</v>
      </c>
      <c r="M404">
        <v>-1</v>
      </c>
      <c r="N404" s="84" t="s">
        <v>1127</v>
      </c>
      <c r="O404" s="84" t="s">
        <v>1128</v>
      </c>
    </row>
    <row r="405" spans="1:15" x14ac:dyDescent="0.25">
      <c r="A405" s="84" t="s">
        <v>595</v>
      </c>
      <c r="B405" s="84" t="s">
        <v>699</v>
      </c>
      <c r="C405" s="84" t="s">
        <v>700</v>
      </c>
      <c r="D405" s="84" t="s">
        <v>1934</v>
      </c>
      <c r="E405" s="70">
        <v>44606</v>
      </c>
      <c r="F405" s="84" t="s">
        <v>1609</v>
      </c>
      <c r="G405">
        <v>0</v>
      </c>
      <c r="H405">
        <v>0</v>
      </c>
      <c r="I405">
        <v>0</v>
      </c>
      <c r="J405">
        <v>0</v>
      </c>
      <c r="K405">
        <v>0</v>
      </c>
      <c r="L405" s="84" t="s">
        <v>1561</v>
      </c>
      <c r="M405">
        <v>-1</v>
      </c>
      <c r="N405" s="84" t="s">
        <v>1127</v>
      </c>
      <c r="O405" s="84" t="s">
        <v>1128</v>
      </c>
    </row>
    <row r="406" spans="1:15" x14ac:dyDescent="0.25">
      <c r="A406" s="84" t="s">
        <v>595</v>
      </c>
      <c r="B406" s="84" t="s">
        <v>701</v>
      </c>
      <c r="C406" s="84" t="s">
        <v>1410</v>
      </c>
      <c r="D406" s="84" t="s">
        <v>1935</v>
      </c>
      <c r="E406" s="70">
        <v>44626</v>
      </c>
      <c r="F406" s="84" t="s">
        <v>1609</v>
      </c>
      <c r="G406">
        <v>0</v>
      </c>
      <c r="H406">
        <v>0</v>
      </c>
      <c r="I406">
        <v>0</v>
      </c>
      <c r="J406">
        <v>0</v>
      </c>
      <c r="K406">
        <v>0</v>
      </c>
      <c r="L406" s="84" t="s">
        <v>1562</v>
      </c>
      <c r="M406">
        <v>-1</v>
      </c>
      <c r="N406" s="84" t="s">
        <v>1127</v>
      </c>
      <c r="O406" s="84" t="s">
        <v>1128</v>
      </c>
    </row>
    <row r="407" spans="1:15" x14ac:dyDescent="0.25">
      <c r="A407" s="84" t="s">
        <v>752</v>
      </c>
      <c r="B407" s="84" t="s">
        <v>702</v>
      </c>
      <c r="C407" s="84" t="s">
        <v>703</v>
      </c>
      <c r="D407" s="84" t="s">
        <v>1936</v>
      </c>
      <c r="E407" s="70">
        <v>44641</v>
      </c>
      <c r="F407" s="84" t="s">
        <v>1611</v>
      </c>
      <c r="G407">
        <v>32000</v>
      </c>
      <c r="H407">
        <v>15266</v>
      </c>
      <c r="I407">
        <v>15266</v>
      </c>
      <c r="J407">
        <v>534</v>
      </c>
      <c r="K407">
        <v>16734</v>
      </c>
      <c r="L407" s="84" t="s">
        <v>1563</v>
      </c>
      <c r="M407">
        <v>4</v>
      </c>
      <c r="N407" s="84" t="s">
        <v>1127</v>
      </c>
      <c r="O407" s="84" t="s">
        <v>1412</v>
      </c>
    </row>
    <row r="408" spans="1:15" x14ac:dyDescent="0.25">
      <c r="A408" s="84" t="s">
        <v>752</v>
      </c>
      <c r="B408" s="84" t="s">
        <v>704</v>
      </c>
      <c r="C408" s="84" t="s">
        <v>2358</v>
      </c>
      <c r="D408" s="84" t="s">
        <v>1937</v>
      </c>
      <c r="E408" s="70">
        <v>44653</v>
      </c>
      <c r="F408" s="84" t="s">
        <v>1609</v>
      </c>
      <c r="G408">
        <v>0</v>
      </c>
      <c r="H408">
        <v>0</v>
      </c>
      <c r="I408">
        <v>0</v>
      </c>
      <c r="J408">
        <v>0</v>
      </c>
      <c r="K408">
        <v>0</v>
      </c>
      <c r="L408" s="84" t="s">
        <v>1564</v>
      </c>
      <c r="M408">
        <v>-1</v>
      </c>
      <c r="N408" s="84" t="s">
        <v>1127</v>
      </c>
      <c r="O408" s="84" t="s">
        <v>1128</v>
      </c>
    </row>
    <row r="409" spans="1:15" x14ac:dyDescent="0.25">
      <c r="A409" s="84" t="s">
        <v>595</v>
      </c>
      <c r="B409" s="84" t="s">
        <v>705</v>
      </c>
      <c r="C409" s="84" t="s">
        <v>706</v>
      </c>
      <c r="D409" s="84" t="s">
        <v>1938</v>
      </c>
      <c r="E409" s="70">
        <v>44655</v>
      </c>
      <c r="F409" s="84" t="s">
        <v>1609</v>
      </c>
      <c r="G409">
        <v>0</v>
      </c>
      <c r="H409">
        <v>-5</v>
      </c>
      <c r="I409">
        <v>0</v>
      </c>
      <c r="J409">
        <v>0</v>
      </c>
      <c r="K409">
        <v>0</v>
      </c>
      <c r="L409" s="84" t="s">
        <v>1565</v>
      </c>
      <c r="M409">
        <v>-1</v>
      </c>
      <c r="N409" s="84" t="s">
        <v>1127</v>
      </c>
      <c r="O409" s="84" t="s">
        <v>1128</v>
      </c>
    </row>
    <row r="410" spans="1:15" x14ac:dyDescent="0.25">
      <c r="A410" s="84" t="s">
        <v>595</v>
      </c>
      <c r="B410" s="84" t="s">
        <v>707</v>
      </c>
      <c r="C410" s="84" t="s">
        <v>2258</v>
      </c>
      <c r="D410" s="84" t="s">
        <v>2259</v>
      </c>
      <c r="E410" s="70">
        <v>44661</v>
      </c>
      <c r="F410" s="84" t="s">
        <v>1609</v>
      </c>
      <c r="G410">
        <v>0</v>
      </c>
      <c r="H410">
        <v>0</v>
      </c>
      <c r="I410">
        <v>0</v>
      </c>
      <c r="J410">
        <v>0</v>
      </c>
      <c r="K410">
        <v>0</v>
      </c>
      <c r="L410" s="84" t="s">
        <v>2260</v>
      </c>
      <c r="M410">
        <v>-1</v>
      </c>
      <c r="N410" s="84" t="s">
        <v>1127</v>
      </c>
      <c r="O410" s="84" t="s">
        <v>1128</v>
      </c>
    </row>
    <row r="411" spans="1:15" x14ac:dyDescent="0.25">
      <c r="A411" s="84" t="s">
        <v>752</v>
      </c>
      <c r="B411" s="84" t="s">
        <v>708</v>
      </c>
      <c r="C411" s="84" t="s">
        <v>709</v>
      </c>
      <c r="D411" s="84" t="s">
        <v>1939</v>
      </c>
      <c r="E411" s="70">
        <v>44676</v>
      </c>
      <c r="F411" s="84" t="s">
        <v>1609</v>
      </c>
      <c r="G411">
        <v>0</v>
      </c>
      <c r="H411">
        <v>0</v>
      </c>
      <c r="I411">
        <v>0</v>
      </c>
      <c r="J411">
        <v>0</v>
      </c>
      <c r="K411">
        <v>0</v>
      </c>
      <c r="L411" s="84" t="s">
        <v>1566</v>
      </c>
      <c r="M411">
        <v>-1</v>
      </c>
      <c r="N411" s="84" t="s">
        <v>1127</v>
      </c>
      <c r="O411" s="84" t="s">
        <v>1128</v>
      </c>
    </row>
    <row r="412" spans="1:15" x14ac:dyDescent="0.25">
      <c r="A412" s="84" t="s">
        <v>595</v>
      </c>
      <c r="B412" s="84" t="s">
        <v>710</v>
      </c>
      <c r="C412" s="84" t="s">
        <v>711</v>
      </c>
      <c r="D412" s="84" t="s">
        <v>1940</v>
      </c>
      <c r="E412" s="70">
        <v>44695</v>
      </c>
      <c r="F412" s="84" t="s">
        <v>1609</v>
      </c>
      <c r="G412">
        <v>0</v>
      </c>
      <c r="H412">
        <v>0</v>
      </c>
      <c r="I412">
        <v>0</v>
      </c>
      <c r="J412">
        <v>0</v>
      </c>
      <c r="K412">
        <v>0</v>
      </c>
      <c r="L412" s="84" t="s">
        <v>1567</v>
      </c>
      <c r="M412">
        <v>-1</v>
      </c>
      <c r="N412" s="84" t="s">
        <v>1127</v>
      </c>
      <c r="O412" s="84" t="s">
        <v>1128</v>
      </c>
    </row>
    <row r="413" spans="1:15" x14ac:dyDescent="0.25">
      <c r="A413" s="84" t="s">
        <v>595</v>
      </c>
      <c r="B413" s="84" t="s">
        <v>712</v>
      </c>
      <c r="C413" s="84" t="s">
        <v>713</v>
      </c>
      <c r="D413" s="84" t="s">
        <v>1941</v>
      </c>
      <c r="E413" s="70">
        <v>44702</v>
      </c>
      <c r="F413" s="84" t="s">
        <v>1609</v>
      </c>
      <c r="G413">
        <v>0</v>
      </c>
      <c r="H413">
        <v>0</v>
      </c>
      <c r="I413">
        <v>0</v>
      </c>
      <c r="J413">
        <v>0</v>
      </c>
      <c r="K413">
        <v>0</v>
      </c>
      <c r="L413" s="84" t="s">
        <v>1568</v>
      </c>
      <c r="M413">
        <v>-1</v>
      </c>
      <c r="N413" s="84" t="s">
        <v>1127</v>
      </c>
      <c r="O413" s="84" t="s">
        <v>1128</v>
      </c>
    </row>
    <row r="414" spans="1:15" x14ac:dyDescent="0.25">
      <c r="A414" s="84" t="s">
        <v>595</v>
      </c>
      <c r="B414" s="84" t="s">
        <v>714</v>
      </c>
      <c r="C414" s="84" t="s">
        <v>715</v>
      </c>
      <c r="D414" s="84" t="s">
        <v>1942</v>
      </c>
      <c r="E414" s="70">
        <v>44710</v>
      </c>
      <c r="F414" s="84" t="s">
        <v>1609</v>
      </c>
      <c r="G414">
        <v>0</v>
      </c>
      <c r="H414">
        <v>0</v>
      </c>
      <c r="I414">
        <v>0</v>
      </c>
      <c r="J414">
        <v>0</v>
      </c>
      <c r="K414">
        <v>0</v>
      </c>
      <c r="L414" s="84" t="s">
        <v>1569</v>
      </c>
      <c r="M414">
        <v>-1</v>
      </c>
      <c r="N414" s="84" t="s">
        <v>1127</v>
      </c>
      <c r="O414" s="84" t="s">
        <v>1128</v>
      </c>
    </row>
    <row r="415" spans="1:15" x14ac:dyDescent="0.25">
      <c r="A415" s="84" t="s">
        <v>595</v>
      </c>
      <c r="B415" s="84" t="s">
        <v>716</v>
      </c>
      <c r="C415" s="84" t="s">
        <v>717</v>
      </c>
      <c r="D415" s="84" t="s">
        <v>1943</v>
      </c>
      <c r="E415" s="70">
        <v>44713</v>
      </c>
      <c r="F415" s="84" t="s">
        <v>1609</v>
      </c>
      <c r="G415">
        <v>0</v>
      </c>
      <c r="H415">
        <v>0</v>
      </c>
      <c r="I415">
        <v>0</v>
      </c>
      <c r="J415">
        <v>0</v>
      </c>
      <c r="K415">
        <v>0</v>
      </c>
      <c r="L415" s="84" t="s">
        <v>1570</v>
      </c>
      <c r="M415">
        <v>-1</v>
      </c>
      <c r="N415" s="84" t="s">
        <v>1127</v>
      </c>
      <c r="O415" s="84" t="s">
        <v>1128</v>
      </c>
    </row>
    <row r="416" spans="1:15" x14ac:dyDescent="0.25">
      <c r="A416" s="84" t="s">
        <v>595</v>
      </c>
      <c r="B416" s="84" t="s">
        <v>718</v>
      </c>
      <c r="C416" s="84" t="s">
        <v>719</v>
      </c>
      <c r="D416" s="84" t="s">
        <v>1938</v>
      </c>
      <c r="E416" s="70">
        <v>44717</v>
      </c>
      <c r="F416" s="84" t="s">
        <v>1609</v>
      </c>
      <c r="G416">
        <v>0</v>
      </c>
      <c r="H416">
        <v>0</v>
      </c>
      <c r="I416">
        <v>0</v>
      </c>
      <c r="J416">
        <v>0</v>
      </c>
      <c r="K416">
        <v>0</v>
      </c>
      <c r="L416" s="84" t="s">
        <v>1571</v>
      </c>
      <c r="M416">
        <v>-1</v>
      </c>
      <c r="N416" s="84" t="s">
        <v>1127</v>
      </c>
      <c r="O416" s="84" t="s">
        <v>1128</v>
      </c>
    </row>
    <row r="417" spans="1:15" x14ac:dyDescent="0.25">
      <c r="A417" s="84" t="s">
        <v>595</v>
      </c>
      <c r="B417" s="84" t="s">
        <v>720</v>
      </c>
      <c r="C417" s="84" t="s">
        <v>721</v>
      </c>
      <c r="D417" s="84" t="s">
        <v>1944</v>
      </c>
      <c r="E417" s="70">
        <v>44726</v>
      </c>
      <c r="F417" s="84" t="s">
        <v>1609</v>
      </c>
      <c r="G417">
        <v>0</v>
      </c>
      <c r="H417">
        <v>0</v>
      </c>
      <c r="I417">
        <v>0</v>
      </c>
      <c r="J417">
        <v>0</v>
      </c>
      <c r="K417">
        <v>0</v>
      </c>
      <c r="L417" s="84" t="s">
        <v>1572</v>
      </c>
      <c r="M417">
        <v>-1</v>
      </c>
      <c r="N417" s="84" t="s">
        <v>1127</v>
      </c>
      <c r="O417" s="84" t="s">
        <v>1128</v>
      </c>
    </row>
    <row r="418" spans="1:15" x14ac:dyDescent="0.25">
      <c r="A418" s="84" t="s">
        <v>595</v>
      </c>
      <c r="B418" s="84" t="s">
        <v>722</v>
      </c>
      <c r="C418" s="84" t="s">
        <v>723</v>
      </c>
      <c r="D418" s="84" t="s">
        <v>1945</v>
      </c>
      <c r="E418" s="70">
        <v>44739</v>
      </c>
      <c r="F418" s="84" t="s">
        <v>1611</v>
      </c>
      <c r="G418">
        <v>40000</v>
      </c>
      <c r="H418">
        <v>0</v>
      </c>
      <c r="I418">
        <v>0</v>
      </c>
      <c r="J418">
        <v>0</v>
      </c>
      <c r="K418">
        <v>40000</v>
      </c>
      <c r="L418" s="84" t="s">
        <v>1573</v>
      </c>
      <c r="M418">
        <v>4</v>
      </c>
      <c r="N418" s="84" t="s">
        <v>1127</v>
      </c>
      <c r="O418" s="84" t="s">
        <v>1128</v>
      </c>
    </row>
    <row r="419" spans="1:15" x14ac:dyDescent="0.25">
      <c r="A419" s="84" t="s">
        <v>752</v>
      </c>
      <c r="B419" s="84" t="s">
        <v>724</v>
      </c>
      <c r="C419" s="84" t="s">
        <v>725</v>
      </c>
      <c r="D419" s="84" t="s">
        <v>1946</v>
      </c>
      <c r="E419" s="70">
        <v>44763</v>
      </c>
      <c r="F419" s="84" t="s">
        <v>1609</v>
      </c>
      <c r="G419">
        <v>0</v>
      </c>
      <c r="H419">
        <v>0</v>
      </c>
      <c r="I419">
        <v>0</v>
      </c>
      <c r="J419">
        <v>0</v>
      </c>
      <c r="K419">
        <v>0</v>
      </c>
      <c r="L419" s="84" t="s">
        <v>1574</v>
      </c>
      <c r="M419">
        <v>-1</v>
      </c>
      <c r="N419" s="84" t="s">
        <v>1127</v>
      </c>
      <c r="O419" s="84" t="s">
        <v>1128</v>
      </c>
    </row>
    <row r="420" spans="1:15" x14ac:dyDescent="0.25">
      <c r="A420" s="84" t="s">
        <v>595</v>
      </c>
      <c r="B420" s="84" t="s">
        <v>726</v>
      </c>
      <c r="C420" s="84" t="s">
        <v>727</v>
      </c>
      <c r="D420" s="84" t="s">
        <v>1947</v>
      </c>
      <c r="E420" s="70">
        <v>44766</v>
      </c>
      <c r="F420" s="84" t="s">
        <v>1609</v>
      </c>
      <c r="G420">
        <v>0</v>
      </c>
      <c r="H420">
        <v>0</v>
      </c>
      <c r="I420">
        <v>0</v>
      </c>
      <c r="J420">
        <v>0</v>
      </c>
      <c r="K420">
        <v>0</v>
      </c>
      <c r="L420" s="84" t="s">
        <v>1575</v>
      </c>
      <c r="M420">
        <v>-1</v>
      </c>
      <c r="N420" s="84" t="s">
        <v>1127</v>
      </c>
      <c r="O420" s="84" t="s">
        <v>1128</v>
      </c>
    </row>
    <row r="421" spans="1:15" x14ac:dyDescent="0.25">
      <c r="A421" s="84" t="s">
        <v>595</v>
      </c>
      <c r="B421" s="84" t="s">
        <v>728</v>
      </c>
      <c r="C421" s="84" t="s">
        <v>729</v>
      </c>
      <c r="D421" s="84" t="s">
        <v>1948</v>
      </c>
      <c r="E421" s="70">
        <v>44775</v>
      </c>
      <c r="F421" s="84" t="s">
        <v>1609</v>
      </c>
      <c r="G421">
        <v>0</v>
      </c>
      <c r="H421">
        <v>0</v>
      </c>
      <c r="I421">
        <v>0</v>
      </c>
      <c r="J421">
        <v>0</v>
      </c>
      <c r="K421">
        <v>0</v>
      </c>
      <c r="L421" s="84" t="s">
        <v>1576</v>
      </c>
      <c r="M421">
        <v>-1</v>
      </c>
      <c r="N421" s="84" t="s">
        <v>1127</v>
      </c>
      <c r="O421" s="84" t="s">
        <v>1128</v>
      </c>
    </row>
    <row r="422" spans="1:15" x14ac:dyDescent="0.25">
      <c r="A422" s="84" t="s">
        <v>595</v>
      </c>
      <c r="B422" s="84" t="s">
        <v>730</v>
      </c>
      <c r="C422" s="84" t="s">
        <v>731</v>
      </c>
      <c r="D422" s="84" t="s">
        <v>1949</v>
      </c>
      <c r="E422" s="70">
        <v>44775</v>
      </c>
      <c r="F422" s="84" t="s">
        <v>1609</v>
      </c>
      <c r="G422">
        <v>0</v>
      </c>
      <c r="H422">
        <v>0</v>
      </c>
      <c r="I422">
        <v>0</v>
      </c>
      <c r="J422">
        <v>0</v>
      </c>
      <c r="K422">
        <v>0</v>
      </c>
      <c r="L422" s="84" t="s">
        <v>1576</v>
      </c>
      <c r="M422">
        <v>-1</v>
      </c>
      <c r="N422" s="84" t="s">
        <v>1127</v>
      </c>
      <c r="O422" s="84" t="s">
        <v>1128</v>
      </c>
    </row>
    <row r="423" spans="1:15" x14ac:dyDescent="0.25">
      <c r="A423" s="84" t="s">
        <v>752</v>
      </c>
      <c r="B423" s="84" t="s">
        <v>732</v>
      </c>
      <c r="C423" s="84" t="s">
        <v>733</v>
      </c>
      <c r="D423" s="84" t="s">
        <v>1950</v>
      </c>
      <c r="E423" s="70">
        <v>44851</v>
      </c>
      <c r="F423" s="84" t="s">
        <v>1609</v>
      </c>
      <c r="G423">
        <v>0</v>
      </c>
      <c r="H423">
        <v>0</v>
      </c>
      <c r="I423">
        <v>0</v>
      </c>
      <c r="J423">
        <v>0</v>
      </c>
      <c r="K423">
        <v>0</v>
      </c>
      <c r="L423" s="84" t="s">
        <v>1577</v>
      </c>
      <c r="M423">
        <v>-1</v>
      </c>
      <c r="N423" s="84" t="s">
        <v>1127</v>
      </c>
      <c r="O423" s="84" t="s">
        <v>1128</v>
      </c>
    </row>
    <row r="424" spans="1:15" x14ac:dyDescent="0.25">
      <c r="A424" s="84" t="s">
        <v>752</v>
      </c>
      <c r="B424" s="84" t="s">
        <v>734</v>
      </c>
      <c r="C424" s="84" t="s">
        <v>735</v>
      </c>
      <c r="D424" s="84" t="s">
        <v>1951</v>
      </c>
      <c r="E424" s="70">
        <v>44881</v>
      </c>
      <c r="F424" s="84" t="s">
        <v>1609</v>
      </c>
      <c r="G424">
        <v>0</v>
      </c>
      <c r="H424">
        <v>0</v>
      </c>
      <c r="I424">
        <v>0</v>
      </c>
      <c r="J424">
        <v>0</v>
      </c>
      <c r="K424">
        <v>0</v>
      </c>
      <c r="L424" s="84" t="s">
        <v>1578</v>
      </c>
      <c r="M424">
        <v>-1</v>
      </c>
      <c r="N424" s="84" t="s">
        <v>1127</v>
      </c>
      <c r="O424" s="84" t="s">
        <v>1128</v>
      </c>
    </row>
    <row r="425" spans="1:15" x14ac:dyDescent="0.25">
      <c r="A425" s="84" t="s">
        <v>595</v>
      </c>
      <c r="B425" s="84" t="s">
        <v>736</v>
      </c>
      <c r="C425" s="84" t="s">
        <v>737</v>
      </c>
      <c r="D425" s="84" t="s">
        <v>1891</v>
      </c>
      <c r="E425" s="70">
        <v>44931</v>
      </c>
      <c r="F425" s="84" t="s">
        <v>1609</v>
      </c>
      <c r="G425">
        <v>0</v>
      </c>
      <c r="H425">
        <v>0</v>
      </c>
      <c r="I425">
        <v>0</v>
      </c>
      <c r="J425">
        <v>0</v>
      </c>
      <c r="K425">
        <v>0</v>
      </c>
      <c r="L425" s="84" t="s">
        <v>1579</v>
      </c>
      <c r="M425">
        <v>-1</v>
      </c>
      <c r="N425" s="84" t="s">
        <v>1127</v>
      </c>
      <c r="O425" s="84" t="s">
        <v>1128</v>
      </c>
    </row>
    <row r="426" spans="1:15" x14ac:dyDescent="0.25">
      <c r="A426" s="84" t="s">
        <v>752</v>
      </c>
      <c r="B426" s="84" t="s">
        <v>937</v>
      </c>
      <c r="C426" s="84" t="s">
        <v>961</v>
      </c>
      <c r="D426" s="84" t="s">
        <v>1952</v>
      </c>
      <c r="E426" s="70">
        <v>44973</v>
      </c>
      <c r="F426" s="84" t="s">
        <v>1609</v>
      </c>
      <c r="G426">
        <v>0</v>
      </c>
      <c r="H426">
        <v>0</v>
      </c>
      <c r="I426">
        <v>0</v>
      </c>
      <c r="J426">
        <v>0</v>
      </c>
      <c r="K426">
        <v>0</v>
      </c>
      <c r="L426" s="84" t="s">
        <v>1413</v>
      </c>
      <c r="M426">
        <v>-1</v>
      </c>
      <c r="N426" s="84" t="s">
        <v>1127</v>
      </c>
      <c r="O426" s="84" t="s">
        <v>1128</v>
      </c>
    </row>
    <row r="427" spans="1:15" x14ac:dyDescent="0.25">
      <c r="A427" s="84" t="s">
        <v>752</v>
      </c>
      <c r="B427" s="84" t="s">
        <v>938</v>
      </c>
      <c r="C427" s="84" t="s">
        <v>962</v>
      </c>
      <c r="D427" s="84" t="s">
        <v>1953</v>
      </c>
      <c r="E427" s="70">
        <v>44990</v>
      </c>
      <c r="F427" s="84" t="s">
        <v>1609</v>
      </c>
      <c r="G427">
        <v>0</v>
      </c>
      <c r="H427">
        <v>3</v>
      </c>
      <c r="I427">
        <v>0</v>
      </c>
      <c r="J427">
        <v>0</v>
      </c>
      <c r="K427">
        <v>0</v>
      </c>
      <c r="L427" s="84" t="s">
        <v>1414</v>
      </c>
      <c r="M427">
        <v>-1</v>
      </c>
      <c r="N427" s="84" t="s">
        <v>1127</v>
      </c>
      <c r="O427" s="84" t="s">
        <v>1128</v>
      </c>
    </row>
    <row r="428" spans="1:15" x14ac:dyDescent="0.25">
      <c r="A428" s="84" t="s">
        <v>752</v>
      </c>
      <c r="B428" s="84" t="s">
        <v>2359</v>
      </c>
      <c r="C428" s="84" t="s">
        <v>2360</v>
      </c>
      <c r="D428" s="84" t="s">
        <v>2361</v>
      </c>
      <c r="E428" s="70">
        <v>45159</v>
      </c>
      <c r="F428" s="84" t="s">
        <v>1609</v>
      </c>
      <c r="G428">
        <v>0</v>
      </c>
      <c r="H428">
        <v>0</v>
      </c>
      <c r="I428">
        <v>0</v>
      </c>
      <c r="J428">
        <v>0</v>
      </c>
      <c r="K428">
        <v>0</v>
      </c>
      <c r="L428" s="84" t="s">
        <v>2362</v>
      </c>
      <c r="M428">
        <v>-1</v>
      </c>
      <c r="N428" s="84" t="s">
        <v>1127</v>
      </c>
      <c r="O428" s="84" t="s">
        <v>1128</v>
      </c>
    </row>
    <row r="429" spans="1:15" x14ac:dyDescent="0.25">
      <c r="A429" s="84" t="s">
        <v>752</v>
      </c>
      <c r="B429" s="84" t="s">
        <v>2409</v>
      </c>
      <c r="C429" s="84" t="s">
        <v>2469</v>
      </c>
      <c r="D429" s="84" t="s">
        <v>2470</v>
      </c>
      <c r="E429" s="70">
        <v>45174</v>
      </c>
      <c r="F429" s="84" t="s">
        <v>1611</v>
      </c>
      <c r="G429">
        <v>24000</v>
      </c>
      <c r="H429">
        <v>14440</v>
      </c>
      <c r="I429">
        <v>0</v>
      </c>
      <c r="J429">
        <v>0</v>
      </c>
      <c r="K429">
        <v>24000</v>
      </c>
      <c r="L429" s="84" t="s">
        <v>2362</v>
      </c>
      <c r="M429">
        <v>4</v>
      </c>
      <c r="N429" s="84" t="s">
        <v>1127</v>
      </c>
      <c r="O429" s="84" t="s">
        <v>1128</v>
      </c>
    </row>
    <row r="430" spans="1:15" x14ac:dyDescent="0.25">
      <c r="A430" s="84" t="s">
        <v>6</v>
      </c>
      <c r="B430" s="84" t="s">
        <v>738</v>
      </c>
      <c r="C430" s="84" t="s">
        <v>739</v>
      </c>
      <c r="D430" s="84" t="s">
        <v>1954</v>
      </c>
      <c r="E430" s="70">
        <v>44871</v>
      </c>
      <c r="F430" s="84" t="s">
        <v>1609</v>
      </c>
      <c r="G430">
        <v>0</v>
      </c>
      <c r="H430">
        <v>0</v>
      </c>
      <c r="I430">
        <v>0</v>
      </c>
      <c r="J430">
        <v>0</v>
      </c>
      <c r="K430">
        <v>0</v>
      </c>
      <c r="L430" s="84" t="s">
        <v>1415</v>
      </c>
      <c r="M430">
        <v>-1</v>
      </c>
      <c r="N430" s="84" t="s">
        <v>1127</v>
      </c>
      <c r="O430" s="84" t="s">
        <v>1128</v>
      </c>
    </row>
    <row r="431" spans="1:15" x14ac:dyDescent="0.25">
      <c r="A431" s="84" t="s">
        <v>6</v>
      </c>
      <c r="B431" s="84" t="s">
        <v>740</v>
      </c>
      <c r="C431" s="84" t="s">
        <v>741</v>
      </c>
      <c r="D431" s="84" t="s">
        <v>1955</v>
      </c>
      <c r="E431" s="70">
        <v>44875</v>
      </c>
      <c r="F431" s="84" t="s">
        <v>1609</v>
      </c>
      <c r="G431">
        <v>0</v>
      </c>
      <c r="H431">
        <v>0</v>
      </c>
      <c r="I431">
        <v>0</v>
      </c>
      <c r="J431">
        <v>0</v>
      </c>
      <c r="K431">
        <v>0</v>
      </c>
      <c r="L431" s="84" t="s">
        <v>1416</v>
      </c>
      <c r="M431">
        <v>-1</v>
      </c>
      <c r="N431" s="84" t="s">
        <v>1127</v>
      </c>
      <c r="O431" s="84" t="s">
        <v>1128</v>
      </c>
    </row>
    <row r="432" spans="1:15" x14ac:dyDescent="0.25">
      <c r="A432" s="84" t="s">
        <v>6</v>
      </c>
      <c r="B432" s="84" t="s">
        <v>742</v>
      </c>
      <c r="C432" s="84" t="s">
        <v>743</v>
      </c>
      <c r="D432" s="84" t="s">
        <v>1956</v>
      </c>
      <c r="E432" s="70">
        <v>44900</v>
      </c>
      <c r="F432" s="84" t="s">
        <v>1609</v>
      </c>
      <c r="G432">
        <v>0</v>
      </c>
      <c r="H432">
        <v>0</v>
      </c>
      <c r="I432">
        <v>0</v>
      </c>
      <c r="J432">
        <v>0</v>
      </c>
      <c r="K432">
        <v>0</v>
      </c>
      <c r="L432" s="84" t="s">
        <v>1417</v>
      </c>
      <c r="M432">
        <v>-1</v>
      </c>
      <c r="N432" s="84" t="s">
        <v>1127</v>
      </c>
      <c r="O432" s="84" t="s">
        <v>1128</v>
      </c>
    </row>
    <row r="433" spans="1:15" x14ac:dyDescent="0.25">
      <c r="A433" s="84" t="s">
        <v>6</v>
      </c>
      <c r="B433" s="84" t="s">
        <v>939</v>
      </c>
      <c r="C433" s="84" t="s">
        <v>963</v>
      </c>
      <c r="D433" s="84" t="s">
        <v>1957</v>
      </c>
      <c r="E433" s="70">
        <v>44973</v>
      </c>
      <c r="F433" s="84" t="s">
        <v>1609</v>
      </c>
      <c r="G433">
        <v>0</v>
      </c>
      <c r="H433">
        <v>100</v>
      </c>
      <c r="I433">
        <v>100</v>
      </c>
      <c r="J433">
        <v>87</v>
      </c>
      <c r="K433">
        <v>-100</v>
      </c>
      <c r="L433" s="84" t="s">
        <v>1418</v>
      </c>
      <c r="M433">
        <v>-1</v>
      </c>
      <c r="N433" s="84" t="s">
        <v>1240</v>
      </c>
      <c r="O433" s="84" t="s">
        <v>2405</v>
      </c>
    </row>
    <row r="434" spans="1:15" x14ac:dyDescent="0.25">
      <c r="A434" s="84" t="s">
        <v>6</v>
      </c>
      <c r="B434" s="84" t="s">
        <v>940</v>
      </c>
      <c r="C434" s="84" t="s">
        <v>964</v>
      </c>
      <c r="D434" s="84" t="s">
        <v>1958</v>
      </c>
      <c r="E434" s="70">
        <v>44985</v>
      </c>
      <c r="F434" s="84" t="s">
        <v>1609</v>
      </c>
      <c r="G434">
        <v>0</v>
      </c>
      <c r="H434">
        <v>0</v>
      </c>
      <c r="I434">
        <v>0</v>
      </c>
      <c r="J434">
        <v>0</v>
      </c>
      <c r="K434">
        <v>0</v>
      </c>
      <c r="L434" s="84" t="s">
        <v>1419</v>
      </c>
      <c r="M434">
        <v>-1</v>
      </c>
      <c r="N434" s="84" t="s">
        <v>1127</v>
      </c>
      <c r="O434" s="84" t="s">
        <v>1128</v>
      </c>
    </row>
    <row r="435" spans="1:15" x14ac:dyDescent="0.25">
      <c r="A435" s="84" t="s">
        <v>6</v>
      </c>
      <c r="B435" s="84" t="s">
        <v>1029</v>
      </c>
      <c r="C435" s="84" t="s">
        <v>1030</v>
      </c>
      <c r="D435" s="84" t="s">
        <v>1959</v>
      </c>
      <c r="E435" s="70">
        <v>45015</v>
      </c>
      <c r="F435" s="84" t="s">
        <v>1609</v>
      </c>
      <c r="G435">
        <v>0</v>
      </c>
      <c r="H435">
        <v>0.24</v>
      </c>
      <c r="I435">
        <v>0.24</v>
      </c>
      <c r="J435">
        <v>163</v>
      </c>
      <c r="K435">
        <v>-0.24</v>
      </c>
      <c r="L435" s="84" t="s">
        <v>1420</v>
      </c>
      <c r="M435">
        <v>-1</v>
      </c>
      <c r="N435" s="84" t="s">
        <v>1240</v>
      </c>
      <c r="O435" s="84" t="s">
        <v>2169</v>
      </c>
    </row>
    <row r="436" spans="1:15" x14ac:dyDescent="0.25">
      <c r="A436" s="84" t="s">
        <v>6</v>
      </c>
      <c r="B436" s="84" t="s">
        <v>1026</v>
      </c>
      <c r="C436" s="84" t="s">
        <v>1027</v>
      </c>
      <c r="D436" s="84" t="s">
        <v>1960</v>
      </c>
      <c r="E436" s="70">
        <v>45034</v>
      </c>
      <c r="F436" s="84" t="s">
        <v>1609</v>
      </c>
      <c r="G436">
        <v>0</v>
      </c>
      <c r="H436">
        <v>0</v>
      </c>
      <c r="I436">
        <v>0</v>
      </c>
      <c r="J436">
        <v>0</v>
      </c>
      <c r="K436">
        <v>0</v>
      </c>
      <c r="L436" s="84" t="s">
        <v>1420</v>
      </c>
      <c r="M436">
        <v>-1</v>
      </c>
      <c r="N436" s="84" t="s">
        <v>1127</v>
      </c>
      <c r="O436" s="84" t="s">
        <v>1128</v>
      </c>
    </row>
    <row r="437" spans="1:15" x14ac:dyDescent="0.25">
      <c r="A437" s="84" t="s">
        <v>880</v>
      </c>
      <c r="B437" s="84" t="s">
        <v>852</v>
      </c>
      <c r="C437" s="84" t="s">
        <v>853</v>
      </c>
      <c r="D437" s="84" t="s">
        <v>1961</v>
      </c>
      <c r="E437" s="70">
        <v>44816</v>
      </c>
      <c r="F437" s="84" t="s">
        <v>1611</v>
      </c>
      <c r="G437">
        <v>40000</v>
      </c>
      <c r="H437">
        <v>0</v>
      </c>
      <c r="I437">
        <v>0</v>
      </c>
      <c r="J437">
        <v>0</v>
      </c>
      <c r="K437">
        <v>40000</v>
      </c>
      <c r="L437" s="84" t="s">
        <v>1421</v>
      </c>
      <c r="M437">
        <v>4</v>
      </c>
      <c r="N437" s="84" t="s">
        <v>1127</v>
      </c>
      <c r="O437" s="84" t="s">
        <v>1128</v>
      </c>
    </row>
    <row r="438" spans="1:15" x14ac:dyDescent="0.25">
      <c r="A438" s="84" t="s">
        <v>880</v>
      </c>
      <c r="B438" s="84" t="s">
        <v>857</v>
      </c>
      <c r="C438" s="84" t="s">
        <v>858</v>
      </c>
      <c r="D438" s="84" t="s">
        <v>1962</v>
      </c>
      <c r="E438" s="70">
        <v>44818</v>
      </c>
      <c r="F438" s="84" t="s">
        <v>1609</v>
      </c>
      <c r="G438">
        <v>0</v>
      </c>
      <c r="H438">
        <v>0</v>
      </c>
      <c r="I438">
        <v>0</v>
      </c>
      <c r="J438">
        <v>0</v>
      </c>
      <c r="K438">
        <v>0</v>
      </c>
      <c r="L438" s="84" t="s">
        <v>1422</v>
      </c>
      <c r="M438">
        <v>-1</v>
      </c>
      <c r="N438" s="84" t="s">
        <v>1127</v>
      </c>
      <c r="O438" s="84" t="s">
        <v>1128</v>
      </c>
    </row>
    <row r="439" spans="1:15" x14ac:dyDescent="0.25">
      <c r="A439" s="84" t="s">
        <v>880</v>
      </c>
      <c r="B439" s="84" t="s">
        <v>860</v>
      </c>
      <c r="C439" s="84" t="s">
        <v>861</v>
      </c>
      <c r="D439" s="84" t="s">
        <v>1963</v>
      </c>
      <c r="E439" s="70">
        <v>44844</v>
      </c>
      <c r="F439" s="84" t="s">
        <v>1611</v>
      </c>
      <c r="G439">
        <v>80000</v>
      </c>
      <c r="H439">
        <v>0</v>
      </c>
      <c r="I439">
        <v>0</v>
      </c>
      <c r="J439">
        <v>0</v>
      </c>
      <c r="K439">
        <v>80000</v>
      </c>
      <c r="L439" s="84" t="s">
        <v>1423</v>
      </c>
      <c r="M439">
        <v>4</v>
      </c>
      <c r="N439" s="84" t="s">
        <v>1127</v>
      </c>
      <c r="O439" s="84" t="s">
        <v>1128</v>
      </c>
    </row>
    <row r="440" spans="1:15" x14ac:dyDescent="0.25">
      <c r="A440" s="84" t="s">
        <v>880</v>
      </c>
      <c r="B440" s="84" t="s">
        <v>862</v>
      </c>
      <c r="C440" s="84" t="s">
        <v>863</v>
      </c>
      <c r="D440" s="84" t="s">
        <v>1731</v>
      </c>
      <c r="E440" s="70">
        <v>44844</v>
      </c>
      <c r="F440" s="84" t="s">
        <v>1611</v>
      </c>
      <c r="G440">
        <v>20000</v>
      </c>
      <c r="H440">
        <v>2221</v>
      </c>
      <c r="I440">
        <v>2221</v>
      </c>
      <c r="J440">
        <v>72</v>
      </c>
      <c r="K440">
        <v>17779</v>
      </c>
      <c r="L440" s="84" t="s">
        <v>1423</v>
      </c>
      <c r="M440">
        <v>4</v>
      </c>
      <c r="N440" s="84" t="s">
        <v>1127</v>
      </c>
      <c r="O440" s="84" t="s">
        <v>2471</v>
      </c>
    </row>
    <row r="441" spans="1:15" x14ac:dyDescent="0.25">
      <c r="A441" s="84" t="s">
        <v>880</v>
      </c>
      <c r="B441" s="84" t="s">
        <v>864</v>
      </c>
      <c r="C441" s="84" t="s">
        <v>865</v>
      </c>
      <c r="D441" s="84" t="s">
        <v>1964</v>
      </c>
      <c r="E441" s="70">
        <v>44845</v>
      </c>
      <c r="F441" s="84" t="s">
        <v>1611</v>
      </c>
      <c r="G441">
        <v>24000</v>
      </c>
      <c r="H441">
        <v>0</v>
      </c>
      <c r="I441">
        <v>0</v>
      </c>
      <c r="J441">
        <v>0</v>
      </c>
      <c r="K441">
        <v>24000</v>
      </c>
      <c r="L441" s="84" t="s">
        <v>1424</v>
      </c>
      <c r="M441">
        <v>4</v>
      </c>
      <c r="N441" s="84" t="s">
        <v>1127</v>
      </c>
      <c r="O441" s="84" t="s">
        <v>1128</v>
      </c>
    </row>
    <row r="442" spans="1:15" x14ac:dyDescent="0.25">
      <c r="A442" s="84" t="s">
        <v>880</v>
      </c>
      <c r="B442" s="84" t="s">
        <v>866</v>
      </c>
      <c r="C442" s="84" t="s">
        <v>867</v>
      </c>
      <c r="D442" s="84" t="s">
        <v>1965</v>
      </c>
      <c r="E442" s="70">
        <v>44852</v>
      </c>
      <c r="F442" s="84" t="s">
        <v>1611</v>
      </c>
      <c r="G442">
        <v>160000</v>
      </c>
      <c r="H442">
        <v>52052</v>
      </c>
      <c r="I442">
        <v>52052</v>
      </c>
      <c r="J442">
        <v>334</v>
      </c>
      <c r="K442">
        <v>107948</v>
      </c>
      <c r="L442" s="84" t="s">
        <v>1425</v>
      </c>
      <c r="M442">
        <v>4</v>
      </c>
      <c r="N442" s="84" t="s">
        <v>1127</v>
      </c>
      <c r="O442" s="84" t="s">
        <v>1426</v>
      </c>
    </row>
    <row r="443" spans="1:15" x14ac:dyDescent="0.25">
      <c r="A443" s="84" t="s">
        <v>880</v>
      </c>
      <c r="B443" s="84" t="s">
        <v>868</v>
      </c>
      <c r="C443" s="84" t="s">
        <v>869</v>
      </c>
      <c r="D443" s="84" t="s">
        <v>1966</v>
      </c>
      <c r="E443" s="70">
        <v>44860</v>
      </c>
      <c r="F443" s="84" t="s">
        <v>1609</v>
      </c>
      <c r="G443">
        <v>0</v>
      </c>
      <c r="H443">
        <v>0</v>
      </c>
      <c r="I443">
        <v>0</v>
      </c>
      <c r="J443">
        <v>0</v>
      </c>
      <c r="K443">
        <v>0</v>
      </c>
      <c r="L443" s="84" t="s">
        <v>1427</v>
      </c>
      <c r="M443">
        <v>-1</v>
      </c>
      <c r="N443" s="84" t="s">
        <v>1127</v>
      </c>
      <c r="O443" s="84" t="s">
        <v>1128</v>
      </c>
    </row>
    <row r="444" spans="1:15" x14ac:dyDescent="0.25">
      <c r="A444" s="84" t="s">
        <v>880</v>
      </c>
      <c r="B444" s="84" t="s">
        <v>870</v>
      </c>
      <c r="C444" s="84" t="s">
        <v>871</v>
      </c>
      <c r="D444" s="84" t="s">
        <v>1967</v>
      </c>
      <c r="E444" s="70">
        <v>44870</v>
      </c>
      <c r="F444" s="84" t="s">
        <v>1609</v>
      </c>
      <c r="G444">
        <v>0</v>
      </c>
      <c r="H444">
        <v>0</v>
      </c>
      <c r="I444">
        <v>0</v>
      </c>
      <c r="J444">
        <v>0</v>
      </c>
      <c r="K444">
        <v>0</v>
      </c>
      <c r="L444" s="84" t="s">
        <v>1428</v>
      </c>
      <c r="M444">
        <v>-1</v>
      </c>
      <c r="N444" s="84" t="s">
        <v>1127</v>
      </c>
      <c r="O444" s="84" t="s">
        <v>1128</v>
      </c>
    </row>
    <row r="445" spans="1:15" x14ac:dyDescent="0.25">
      <c r="A445" s="84" t="s">
        <v>880</v>
      </c>
      <c r="B445" s="84" t="s">
        <v>872</v>
      </c>
      <c r="C445" s="84" t="s">
        <v>873</v>
      </c>
      <c r="D445" s="84" t="s">
        <v>1968</v>
      </c>
      <c r="E445" s="70">
        <v>44882</v>
      </c>
      <c r="F445" s="84" t="s">
        <v>1611</v>
      </c>
      <c r="G445">
        <v>32000</v>
      </c>
      <c r="H445">
        <v>0</v>
      </c>
      <c r="I445">
        <v>0</v>
      </c>
      <c r="J445">
        <v>0</v>
      </c>
      <c r="K445">
        <v>32000</v>
      </c>
      <c r="L445" s="84" t="s">
        <v>1429</v>
      </c>
      <c r="M445">
        <v>4</v>
      </c>
      <c r="N445" s="84" t="s">
        <v>1127</v>
      </c>
      <c r="O445" s="84" t="s">
        <v>1128</v>
      </c>
    </row>
    <row r="446" spans="1:15" x14ac:dyDescent="0.25">
      <c r="A446" s="84" t="s">
        <v>880</v>
      </c>
      <c r="B446" s="84" t="s">
        <v>874</v>
      </c>
      <c r="C446" s="84" t="s">
        <v>875</v>
      </c>
      <c r="D446" s="84" t="s">
        <v>1969</v>
      </c>
      <c r="E446" s="70">
        <v>44898</v>
      </c>
      <c r="F446" s="84" t="s">
        <v>1609</v>
      </c>
      <c r="G446">
        <v>0</v>
      </c>
      <c r="H446">
        <v>0</v>
      </c>
      <c r="I446">
        <v>0</v>
      </c>
      <c r="J446">
        <v>0</v>
      </c>
      <c r="K446">
        <v>0</v>
      </c>
      <c r="L446" s="84" t="s">
        <v>1430</v>
      </c>
      <c r="M446">
        <v>-1</v>
      </c>
      <c r="N446" s="84" t="s">
        <v>1127</v>
      </c>
      <c r="O446" s="84" t="s">
        <v>1128</v>
      </c>
    </row>
    <row r="447" spans="1:15" x14ac:dyDescent="0.25">
      <c r="A447" s="84" t="s">
        <v>880</v>
      </c>
      <c r="B447" s="84" t="s">
        <v>876</v>
      </c>
      <c r="C447" s="84" t="s">
        <v>877</v>
      </c>
      <c r="D447" s="84" t="s">
        <v>1970</v>
      </c>
      <c r="E447" s="70">
        <v>44909</v>
      </c>
      <c r="F447" s="84" t="s">
        <v>1609</v>
      </c>
      <c r="G447">
        <v>0</v>
      </c>
      <c r="H447">
        <v>0</v>
      </c>
      <c r="I447">
        <v>0</v>
      </c>
      <c r="J447">
        <v>0</v>
      </c>
      <c r="K447">
        <v>0</v>
      </c>
      <c r="L447" s="84" t="s">
        <v>1431</v>
      </c>
      <c r="M447">
        <v>-1</v>
      </c>
      <c r="N447" s="84" t="s">
        <v>1127</v>
      </c>
      <c r="O447" s="84" t="s">
        <v>1128</v>
      </c>
    </row>
    <row r="448" spans="1:15" x14ac:dyDescent="0.25">
      <c r="A448" s="84" t="s">
        <v>880</v>
      </c>
      <c r="B448" s="84" t="s">
        <v>878</v>
      </c>
      <c r="C448" s="84" t="s">
        <v>879</v>
      </c>
      <c r="D448" s="84" t="s">
        <v>1971</v>
      </c>
      <c r="E448" s="70">
        <v>44934</v>
      </c>
      <c r="F448" s="84" t="s">
        <v>1611</v>
      </c>
      <c r="G448">
        <v>40000</v>
      </c>
      <c r="H448">
        <v>0</v>
      </c>
      <c r="I448">
        <v>0</v>
      </c>
      <c r="J448">
        <v>0</v>
      </c>
      <c r="K448">
        <v>40000</v>
      </c>
      <c r="L448" s="84" t="s">
        <v>1432</v>
      </c>
      <c r="M448">
        <v>4</v>
      </c>
      <c r="N448" s="84" t="s">
        <v>1127</v>
      </c>
      <c r="O448" s="84" t="s">
        <v>1128</v>
      </c>
    </row>
    <row r="449" spans="1:15" x14ac:dyDescent="0.25">
      <c r="A449" s="84" t="s">
        <v>880</v>
      </c>
      <c r="B449" s="84" t="s">
        <v>941</v>
      </c>
      <c r="C449" s="84" t="s">
        <v>965</v>
      </c>
      <c r="D449" s="84" t="s">
        <v>1972</v>
      </c>
      <c r="E449" s="70">
        <v>44937</v>
      </c>
      <c r="F449" s="84" t="s">
        <v>1611</v>
      </c>
      <c r="G449">
        <v>40000</v>
      </c>
      <c r="H449">
        <v>0</v>
      </c>
      <c r="I449">
        <v>0</v>
      </c>
      <c r="J449">
        <v>0</v>
      </c>
      <c r="K449">
        <v>40000</v>
      </c>
      <c r="L449" s="84" t="s">
        <v>1433</v>
      </c>
      <c r="M449">
        <v>4</v>
      </c>
      <c r="N449" s="84" t="s">
        <v>1127</v>
      </c>
      <c r="O449" s="84" t="s">
        <v>1128</v>
      </c>
    </row>
    <row r="450" spans="1:15" x14ac:dyDescent="0.25">
      <c r="A450" s="84" t="s">
        <v>880</v>
      </c>
      <c r="B450" s="84" t="s">
        <v>942</v>
      </c>
      <c r="C450" s="84" t="s">
        <v>966</v>
      </c>
      <c r="D450" s="84" t="s">
        <v>1973</v>
      </c>
      <c r="E450" s="70">
        <v>44938</v>
      </c>
      <c r="F450" s="84" t="s">
        <v>1611</v>
      </c>
      <c r="G450">
        <v>40000</v>
      </c>
      <c r="H450">
        <v>3692</v>
      </c>
      <c r="I450">
        <v>3692</v>
      </c>
      <c r="J450">
        <v>119</v>
      </c>
      <c r="K450">
        <v>36308</v>
      </c>
      <c r="L450" s="84" t="s">
        <v>1434</v>
      </c>
      <c r="M450">
        <v>4</v>
      </c>
      <c r="N450" s="84" t="s">
        <v>1127</v>
      </c>
      <c r="O450" s="84" t="s">
        <v>2472</v>
      </c>
    </row>
    <row r="451" spans="1:15" x14ac:dyDescent="0.25">
      <c r="A451" s="84" t="s">
        <v>880</v>
      </c>
      <c r="B451" s="84" t="s">
        <v>943</v>
      </c>
      <c r="C451" s="84" t="s">
        <v>967</v>
      </c>
      <c r="D451" s="84" t="s">
        <v>1974</v>
      </c>
      <c r="E451" s="70">
        <v>44961</v>
      </c>
      <c r="F451" s="84" t="s">
        <v>1609</v>
      </c>
      <c r="G451">
        <v>0</v>
      </c>
      <c r="H451">
        <v>0</v>
      </c>
      <c r="I451">
        <v>0</v>
      </c>
      <c r="J451">
        <v>0</v>
      </c>
      <c r="K451">
        <v>0</v>
      </c>
      <c r="L451" s="84" t="s">
        <v>1435</v>
      </c>
      <c r="M451">
        <v>-1</v>
      </c>
      <c r="N451" s="84" t="s">
        <v>1127</v>
      </c>
      <c r="O451" s="84" t="s">
        <v>1128</v>
      </c>
    </row>
    <row r="452" spans="1:15" x14ac:dyDescent="0.25">
      <c r="A452" s="84" t="s">
        <v>880</v>
      </c>
      <c r="B452" s="84" t="s">
        <v>944</v>
      </c>
      <c r="C452" s="84" t="s">
        <v>968</v>
      </c>
      <c r="D452" s="84" t="s">
        <v>1975</v>
      </c>
      <c r="E452" s="70">
        <v>44990</v>
      </c>
      <c r="F452" s="84" t="s">
        <v>1611</v>
      </c>
      <c r="G452">
        <v>40000</v>
      </c>
      <c r="H452">
        <v>455</v>
      </c>
      <c r="I452">
        <v>455</v>
      </c>
      <c r="J452">
        <v>104</v>
      </c>
      <c r="K452">
        <v>39545</v>
      </c>
      <c r="L452" s="84" t="s">
        <v>1436</v>
      </c>
      <c r="M452">
        <v>4</v>
      </c>
      <c r="N452" s="84" t="s">
        <v>1127</v>
      </c>
      <c r="O452" s="84" t="s">
        <v>2300</v>
      </c>
    </row>
    <row r="453" spans="1:15" x14ac:dyDescent="0.25">
      <c r="A453" s="84" t="s">
        <v>1437</v>
      </c>
      <c r="B453" s="84" t="s">
        <v>1438</v>
      </c>
      <c r="C453" s="84" t="s">
        <v>1439</v>
      </c>
      <c r="D453" s="84" t="s">
        <v>1976</v>
      </c>
      <c r="E453" s="70">
        <v>45011</v>
      </c>
      <c r="F453" s="84" t="s">
        <v>1609</v>
      </c>
      <c r="G453">
        <v>0</v>
      </c>
      <c r="H453">
        <v>0</v>
      </c>
      <c r="I453">
        <v>0</v>
      </c>
      <c r="J453">
        <v>0</v>
      </c>
      <c r="K453">
        <v>0</v>
      </c>
      <c r="L453" s="84" t="s">
        <v>1440</v>
      </c>
      <c r="M453">
        <v>-1</v>
      </c>
      <c r="N453" s="84" t="s">
        <v>1127</v>
      </c>
      <c r="O453" s="84" t="s">
        <v>1128</v>
      </c>
    </row>
    <row r="454" spans="1:15" x14ac:dyDescent="0.25">
      <c r="A454" s="84" t="s">
        <v>880</v>
      </c>
      <c r="B454" s="84" t="s">
        <v>1441</v>
      </c>
      <c r="C454" s="84" t="s">
        <v>1018</v>
      </c>
      <c r="D454" s="84" t="s">
        <v>1977</v>
      </c>
      <c r="E454" s="70">
        <v>45027</v>
      </c>
      <c r="F454" s="84" t="s">
        <v>1611</v>
      </c>
      <c r="G454">
        <v>40000</v>
      </c>
      <c r="H454">
        <v>0</v>
      </c>
      <c r="I454">
        <v>0</v>
      </c>
      <c r="J454">
        <v>0</v>
      </c>
      <c r="K454">
        <v>40000</v>
      </c>
      <c r="L454" s="84" t="s">
        <v>1442</v>
      </c>
      <c r="M454">
        <v>4</v>
      </c>
      <c r="N454" s="84" t="s">
        <v>1127</v>
      </c>
      <c r="O454" s="84" t="s">
        <v>1128</v>
      </c>
    </row>
    <row r="455" spans="1:15" x14ac:dyDescent="0.25">
      <c r="A455" s="84" t="s">
        <v>880</v>
      </c>
      <c r="B455" s="84" t="s">
        <v>1024</v>
      </c>
      <c r="C455" s="84" t="s">
        <v>1025</v>
      </c>
      <c r="D455" s="84" t="s">
        <v>1978</v>
      </c>
      <c r="E455" s="70">
        <v>45032</v>
      </c>
      <c r="F455" s="84" t="s">
        <v>1609</v>
      </c>
      <c r="G455">
        <v>0</v>
      </c>
      <c r="H455">
        <v>1</v>
      </c>
      <c r="I455">
        <v>0</v>
      </c>
      <c r="J455">
        <v>0</v>
      </c>
      <c r="K455">
        <v>0</v>
      </c>
      <c r="L455" s="84" t="s">
        <v>1442</v>
      </c>
      <c r="M455">
        <v>-1</v>
      </c>
      <c r="N455" s="84" t="s">
        <v>1127</v>
      </c>
      <c r="O455" s="84" t="s">
        <v>1128</v>
      </c>
    </row>
    <row r="456" spans="1:15" x14ac:dyDescent="0.25">
      <c r="A456" s="84" t="s">
        <v>880</v>
      </c>
      <c r="B456" s="84" t="s">
        <v>1037</v>
      </c>
      <c r="C456" s="84" t="s">
        <v>1038</v>
      </c>
      <c r="D456" s="84" t="s">
        <v>1979</v>
      </c>
      <c r="E456" s="70">
        <v>45047</v>
      </c>
      <c r="F456" s="84" t="s">
        <v>1609</v>
      </c>
      <c r="G456">
        <v>0</v>
      </c>
      <c r="H456">
        <v>0</v>
      </c>
      <c r="I456">
        <v>0</v>
      </c>
      <c r="J456">
        <v>0</v>
      </c>
      <c r="K456">
        <v>0</v>
      </c>
      <c r="L456" s="84" t="s">
        <v>1442</v>
      </c>
      <c r="M456">
        <v>-1</v>
      </c>
      <c r="N456" s="84" t="s">
        <v>1127</v>
      </c>
      <c r="O456" s="84" t="s">
        <v>1128</v>
      </c>
    </row>
    <row r="457" spans="1:15" x14ac:dyDescent="0.25">
      <c r="A457" s="84" t="s">
        <v>880</v>
      </c>
      <c r="B457" s="84" t="s">
        <v>1040</v>
      </c>
      <c r="C457" s="84" t="s">
        <v>1041</v>
      </c>
      <c r="D457" s="84" t="s">
        <v>1980</v>
      </c>
      <c r="E457" s="70">
        <v>45045</v>
      </c>
      <c r="F457" s="84" t="s">
        <v>1609</v>
      </c>
      <c r="G457">
        <v>0</v>
      </c>
      <c r="H457">
        <v>0</v>
      </c>
      <c r="I457">
        <v>0</v>
      </c>
      <c r="J457">
        <v>0</v>
      </c>
      <c r="K457">
        <v>0</v>
      </c>
      <c r="L457" s="84" t="s">
        <v>1442</v>
      </c>
      <c r="M457">
        <v>-1</v>
      </c>
      <c r="N457" s="84" t="s">
        <v>1127</v>
      </c>
      <c r="O457" s="84" t="s">
        <v>1128</v>
      </c>
    </row>
    <row r="458" spans="1:15" x14ac:dyDescent="0.25">
      <c r="A458" s="84" t="s">
        <v>880</v>
      </c>
      <c r="B458" s="84" t="s">
        <v>1056</v>
      </c>
      <c r="C458" s="84" t="s">
        <v>1055</v>
      </c>
      <c r="D458" s="84" t="s">
        <v>1981</v>
      </c>
      <c r="E458" s="70">
        <v>45059</v>
      </c>
      <c r="F458" s="84" t="s">
        <v>1609</v>
      </c>
      <c r="G458">
        <v>0</v>
      </c>
      <c r="H458">
        <v>0</v>
      </c>
      <c r="I458">
        <v>0</v>
      </c>
      <c r="J458">
        <v>0</v>
      </c>
      <c r="K458">
        <v>0</v>
      </c>
      <c r="L458" s="84" t="s">
        <v>1442</v>
      </c>
      <c r="M458">
        <v>-1</v>
      </c>
      <c r="N458" s="84" t="s">
        <v>1127</v>
      </c>
      <c r="O458" s="84" t="s">
        <v>1128</v>
      </c>
    </row>
    <row r="459" spans="1:15" x14ac:dyDescent="0.25">
      <c r="A459" s="84" t="s">
        <v>880</v>
      </c>
      <c r="B459" s="84" t="s">
        <v>1521</v>
      </c>
      <c r="C459" s="84" t="s">
        <v>1522</v>
      </c>
      <c r="D459" s="84" t="s">
        <v>1982</v>
      </c>
      <c r="E459" s="70">
        <v>45073</v>
      </c>
      <c r="F459" s="84" t="s">
        <v>1609</v>
      </c>
      <c r="G459">
        <v>0</v>
      </c>
      <c r="H459">
        <v>-1</v>
      </c>
      <c r="I459">
        <v>0</v>
      </c>
      <c r="J459">
        <v>0</v>
      </c>
      <c r="K459">
        <v>0</v>
      </c>
      <c r="L459" s="84" t="s">
        <v>1442</v>
      </c>
      <c r="M459">
        <v>-1</v>
      </c>
      <c r="N459" s="84" t="s">
        <v>1127</v>
      </c>
      <c r="O459" s="84" t="s">
        <v>1128</v>
      </c>
    </row>
    <row r="460" spans="1:15" x14ac:dyDescent="0.25">
      <c r="A460" s="84" t="s">
        <v>880</v>
      </c>
      <c r="B460" s="84" t="s">
        <v>1983</v>
      </c>
      <c r="C460" s="84" t="s">
        <v>1984</v>
      </c>
      <c r="D460" s="84" t="s">
        <v>1767</v>
      </c>
      <c r="E460" s="70">
        <v>45078</v>
      </c>
      <c r="F460" s="84" t="s">
        <v>1611</v>
      </c>
      <c r="G460">
        <v>50000</v>
      </c>
      <c r="H460">
        <v>0</v>
      </c>
      <c r="I460">
        <v>0</v>
      </c>
      <c r="J460">
        <v>0</v>
      </c>
      <c r="K460">
        <v>50000</v>
      </c>
      <c r="L460" s="84" t="s">
        <v>1442</v>
      </c>
      <c r="M460">
        <v>4</v>
      </c>
      <c r="N460" s="84" t="s">
        <v>1127</v>
      </c>
      <c r="O460" s="84" t="s">
        <v>1128</v>
      </c>
    </row>
    <row r="461" spans="1:15" x14ac:dyDescent="0.25">
      <c r="A461" s="84" t="s">
        <v>880</v>
      </c>
      <c r="B461" s="84" t="s">
        <v>2055</v>
      </c>
      <c r="C461" s="84" t="s">
        <v>2170</v>
      </c>
      <c r="D461" s="84" t="s">
        <v>2171</v>
      </c>
      <c r="E461" s="70">
        <v>45082</v>
      </c>
      <c r="F461" s="84" t="s">
        <v>1609</v>
      </c>
      <c r="G461">
        <v>0</v>
      </c>
      <c r="H461">
        <v>0</v>
      </c>
      <c r="I461">
        <v>0</v>
      </c>
      <c r="J461">
        <v>0</v>
      </c>
      <c r="K461">
        <v>0</v>
      </c>
      <c r="L461" s="84" t="s">
        <v>2172</v>
      </c>
      <c r="M461">
        <v>-1</v>
      </c>
      <c r="N461" s="84" t="s">
        <v>1127</v>
      </c>
      <c r="O461" s="84" t="s">
        <v>1128</v>
      </c>
    </row>
    <row r="462" spans="1:15" x14ac:dyDescent="0.25">
      <c r="A462" s="84" t="s">
        <v>880</v>
      </c>
      <c r="B462" s="84" t="s">
        <v>2067</v>
      </c>
      <c r="C462" s="84" t="s">
        <v>2173</v>
      </c>
      <c r="D462" s="84" t="s">
        <v>2174</v>
      </c>
      <c r="E462" s="70">
        <v>45083</v>
      </c>
      <c r="F462" s="84" t="s">
        <v>1609</v>
      </c>
      <c r="G462">
        <v>0</v>
      </c>
      <c r="H462">
        <v>0</v>
      </c>
      <c r="I462">
        <v>0</v>
      </c>
      <c r="J462">
        <v>0</v>
      </c>
      <c r="K462">
        <v>0</v>
      </c>
      <c r="L462" s="84" t="s">
        <v>2175</v>
      </c>
      <c r="M462">
        <v>-1</v>
      </c>
      <c r="N462" s="84" t="s">
        <v>1127</v>
      </c>
      <c r="O462" s="84" t="s">
        <v>1128</v>
      </c>
    </row>
    <row r="463" spans="1:15" x14ac:dyDescent="0.25">
      <c r="A463" s="84" t="s">
        <v>880</v>
      </c>
      <c r="B463" s="84" t="s">
        <v>2110</v>
      </c>
      <c r="C463" s="84" t="s">
        <v>2176</v>
      </c>
      <c r="D463" s="84" t="s">
        <v>2177</v>
      </c>
      <c r="E463" s="70">
        <v>45088</v>
      </c>
      <c r="F463" s="84" t="s">
        <v>1609</v>
      </c>
      <c r="G463">
        <v>0</v>
      </c>
      <c r="H463">
        <v>0</v>
      </c>
      <c r="I463">
        <v>0</v>
      </c>
      <c r="J463">
        <v>0</v>
      </c>
      <c r="K463">
        <v>0</v>
      </c>
      <c r="L463" s="84" t="s">
        <v>2178</v>
      </c>
      <c r="M463">
        <v>-1</v>
      </c>
      <c r="N463" s="84" t="s">
        <v>1127</v>
      </c>
      <c r="O463" s="84" t="s">
        <v>1128</v>
      </c>
    </row>
    <row r="464" spans="1:15" x14ac:dyDescent="0.25">
      <c r="A464" s="84" t="s">
        <v>880</v>
      </c>
      <c r="B464" s="84" t="s">
        <v>2198</v>
      </c>
      <c r="C464" s="84" t="s">
        <v>2199</v>
      </c>
      <c r="D464" s="84" t="s">
        <v>2261</v>
      </c>
      <c r="E464" s="70">
        <v>45102</v>
      </c>
      <c r="F464" s="84" t="s">
        <v>1611</v>
      </c>
      <c r="G464">
        <v>80000</v>
      </c>
      <c r="H464">
        <v>24034</v>
      </c>
      <c r="I464">
        <v>0</v>
      </c>
      <c r="J464">
        <v>0</v>
      </c>
      <c r="K464">
        <v>80000</v>
      </c>
      <c r="L464" s="84" t="s">
        <v>2262</v>
      </c>
      <c r="M464">
        <v>4</v>
      </c>
      <c r="N464" s="84" t="s">
        <v>1127</v>
      </c>
      <c r="O464" s="84" t="s">
        <v>1128</v>
      </c>
    </row>
    <row r="465" spans="1:15" x14ac:dyDescent="0.25">
      <c r="A465" s="84" t="s">
        <v>880</v>
      </c>
      <c r="B465" s="84" t="s">
        <v>2277</v>
      </c>
      <c r="C465" s="84" t="s">
        <v>2283</v>
      </c>
      <c r="D465" s="84" t="s">
        <v>2284</v>
      </c>
      <c r="E465" s="70">
        <v>45125</v>
      </c>
      <c r="F465" s="84" t="s">
        <v>1609</v>
      </c>
      <c r="G465">
        <v>0</v>
      </c>
      <c r="H465">
        <v>0</v>
      </c>
      <c r="I465">
        <v>0</v>
      </c>
      <c r="J465">
        <v>0</v>
      </c>
      <c r="K465">
        <v>0</v>
      </c>
      <c r="L465" s="84" t="s">
        <v>2363</v>
      </c>
      <c r="M465">
        <v>-1</v>
      </c>
      <c r="N465" s="84" t="s">
        <v>1127</v>
      </c>
      <c r="O465" s="84" t="s">
        <v>1128</v>
      </c>
    </row>
    <row r="466" spans="1:15" x14ac:dyDescent="0.25">
      <c r="A466" s="84" t="s">
        <v>74</v>
      </c>
      <c r="B466" s="84" t="s">
        <v>1443</v>
      </c>
      <c r="C466" s="84" t="s">
        <v>1444</v>
      </c>
      <c r="D466" s="84" t="s">
        <v>1985</v>
      </c>
      <c r="E466" s="70">
        <v>44693</v>
      </c>
      <c r="F466" s="84" t="s">
        <v>1609</v>
      </c>
      <c r="G466">
        <v>0</v>
      </c>
      <c r="H466">
        <v>242</v>
      </c>
      <c r="I466">
        <v>242</v>
      </c>
      <c r="J466">
        <v>216</v>
      </c>
      <c r="K466">
        <v>-242</v>
      </c>
      <c r="L466" s="84" t="s">
        <v>1445</v>
      </c>
      <c r="M466">
        <v>-1</v>
      </c>
      <c r="N466" s="84" t="s">
        <v>1240</v>
      </c>
      <c r="O466" s="84" t="s">
        <v>1446</v>
      </c>
    </row>
    <row r="467" spans="1:15" x14ac:dyDescent="0.25">
      <c r="A467" s="84" t="s">
        <v>74</v>
      </c>
      <c r="B467" s="84" t="s">
        <v>744</v>
      </c>
      <c r="C467" s="84" t="s">
        <v>745</v>
      </c>
      <c r="D467" s="84" t="s">
        <v>1986</v>
      </c>
      <c r="E467" s="70">
        <v>44738</v>
      </c>
      <c r="F467" s="84" t="s">
        <v>1611</v>
      </c>
      <c r="G467">
        <v>40000</v>
      </c>
      <c r="H467">
        <v>15433.4</v>
      </c>
      <c r="I467">
        <v>0</v>
      </c>
      <c r="J467">
        <v>0</v>
      </c>
      <c r="K467">
        <v>40000</v>
      </c>
      <c r="L467" s="84" t="s">
        <v>1447</v>
      </c>
      <c r="M467">
        <v>4</v>
      </c>
      <c r="N467" s="84" t="s">
        <v>1127</v>
      </c>
      <c r="O467" s="84" t="s">
        <v>1128</v>
      </c>
    </row>
    <row r="468" spans="1:15" x14ac:dyDescent="0.25">
      <c r="A468" s="84" t="s">
        <v>74</v>
      </c>
      <c r="B468" s="84" t="s">
        <v>746</v>
      </c>
      <c r="C468" s="84" t="s">
        <v>747</v>
      </c>
      <c r="D468" s="84" t="s">
        <v>1987</v>
      </c>
      <c r="E468" s="70">
        <v>44759</v>
      </c>
      <c r="F468" s="84" t="s">
        <v>1609</v>
      </c>
      <c r="G468">
        <v>0</v>
      </c>
      <c r="H468">
        <v>0</v>
      </c>
      <c r="I468">
        <v>0</v>
      </c>
      <c r="J468">
        <v>0</v>
      </c>
      <c r="K468">
        <v>0</v>
      </c>
      <c r="L468" s="84" t="s">
        <v>1448</v>
      </c>
      <c r="M468">
        <v>-1</v>
      </c>
      <c r="N468" s="84" t="s">
        <v>1127</v>
      </c>
      <c r="O468" s="84" t="s">
        <v>1128</v>
      </c>
    </row>
    <row r="469" spans="1:15" x14ac:dyDescent="0.25">
      <c r="A469" s="84" t="s">
        <v>74</v>
      </c>
      <c r="B469" s="84" t="s">
        <v>748</v>
      </c>
      <c r="C469" s="84" t="s">
        <v>749</v>
      </c>
      <c r="D469" s="84" t="s">
        <v>1988</v>
      </c>
      <c r="E469" s="70">
        <v>44779</v>
      </c>
      <c r="F469" s="84" t="s">
        <v>1609</v>
      </c>
      <c r="G469">
        <v>0</v>
      </c>
      <c r="H469">
        <v>0</v>
      </c>
      <c r="I469">
        <v>0</v>
      </c>
      <c r="J469">
        <v>0</v>
      </c>
      <c r="K469">
        <v>0</v>
      </c>
      <c r="L469" s="84" t="s">
        <v>1449</v>
      </c>
      <c r="M469">
        <v>-1</v>
      </c>
      <c r="N469" s="84" t="s">
        <v>1127</v>
      </c>
      <c r="O469" s="84" t="s">
        <v>1128</v>
      </c>
    </row>
    <row r="470" spans="1:15" x14ac:dyDescent="0.25">
      <c r="A470" s="84" t="s">
        <v>74</v>
      </c>
      <c r="B470" s="84" t="s">
        <v>945</v>
      </c>
      <c r="C470" s="84" t="s">
        <v>969</v>
      </c>
      <c r="D470" s="84" t="s">
        <v>1989</v>
      </c>
      <c r="E470" s="70">
        <v>44992</v>
      </c>
      <c r="F470" s="84" t="s">
        <v>1609</v>
      </c>
      <c r="G470">
        <v>0</v>
      </c>
      <c r="H470">
        <v>0</v>
      </c>
      <c r="I470">
        <v>0</v>
      </c>
      <c r="J470">
        <v>0</v>
      </c>
      <c r="K470">
        <v>0</v>
      </c>
      <c r="L470" s="84" t="s">
        <v>1450</v>
      </c>
      <c r="M470">
        <v>-1</v>
      </c>
      <c r="N470" s="84" t="s">
        <v>1127</v>
      </c>
      <c r="O470" s="84" t="s">
        <v>1128</v>
      </c>
    </row>
    <row r="471" spans="1:15" x14ac:dyDescent="0.25">
      <c r="A471" s="84" t="s">
        <v>74</v>
      </c>
      <c r="B471" s="84" t="s">
        <v>1013</v>
      </c>
      <c r="C471" s="84" t="s">
        <v>1014</v>
      </c>
      <c r="D471" s="84" t="s">
        <v>1990</v>
      </c>
      <c r="E471" s="70">
        <v>45027</v>
      </c>
      <c r="F471" s="84" t="s">
        <v>1611</v>
      </c>
      <c r="G471">
        <v>48000</v>
      </c>
      <c r="H471">
        <v>7693</v>
      </c>
      <c r="I471">
        <v>0</v>
      </c>
      <c r="J471">
        <v>0</v>
      </c>
      <c r="K471">
        <v>48000</v>
      </c>
      <c r="L471" s="84" t="s">
        <v>1451</v>
      </c>
      <c r="M471">
        <v>4</v>
      </c>
      <c r="N471" s="84" t="s">
        <v>1127</v>
      </c>
      <c r="O471" s="84" t="s">
        <v>1128</v>
      </c>
    </row>
    <row r="472" spans="1:15" x14ac:dyDescent="0.25">
      <c r="A472" s="84" t="s">
        <v>74</v>
      </c>
      <c r="B472" s="84" t="s">
        <v>2179</v>
      </c>
      <c r="C472" s="84" t="s">
        <v>2180</v>
      </c>
      <c r="D472" s="84" t="s">
        <v>2181</v>
      </c>
      <c r="E472" s="70">
        <v>45094</v>
      </c>
      <c r="F472" s="84" t="s">
        <v>1609</v>
      </c>
      <c r="G472">
        <v>0</v>
      </c>
      <c r="H472">
        <v>0</v>
      </c>
      <c r="I472">
        <v>0</v>
      </c>
      <c r="J472">
        <v>0</v>
      </c>
      <c r="K472">
        <v>0</v>
      </c>
      <c r="L472" s="84" t="s">
        <v>2182</v>
      </c>
      <c r="M472">
        <v>-1</v>
      </c>
      <c r="N472" s="84" t="s">
        <v>1127</v>
      </c>
      <c r="O472" s="84" t="s">
        <v>1128</v>
      </c>
    </row>
    <row r="473" spans="1:15" x14ac:dyDescent="0.25">
      <c r="A473" s="84" t="s">
        <v>74</v>
      </c>
      <c r="B473" s="84" t="s">
        <v>2183</v>
      </c>
      <c r="C473" s="84" t="s">
        <v>2184</v>
      </c>
      <c r="D473" s="84" t="s">
        <v>2185</v>
      </c>
      <c r="E473" s="70">
        <v>45094</v>
      </c>
      <c r="F473" s="84" t="s">
        <v>1609</v>
      </c>
      <c r="G473">
        <v>0</v>
      </c>
      <c r="H473">
        <v>0</v>
      </c>
      <c r="I473">
        <v>0</v>
      </c>
      <c r="J473">
        <v>0</v>
      </c>
      <c r="K473">
        <v>0</v>
      </c>
      <c r="L473" s="84" t="s">
        <v>2182</v>
      </c>
      <c r="M473">
        <v>-1</v>
      </c>
      <c r="N473" s="84" t="s">
        <v>1127</v>
      </c>
      <c r="O473" s="84" t="s">
        <v>1128</v>
      </c>
    </row>
    <row r="474" spans="1:15" x14ac:dyDescent="0.25">
      <c r="A474" s="84" t="s">
        <v>74</v>
      </c>
      <c r="B474" s="84" t="s">
        <v>2207</v>
      </c>
      <c r="C474" s="84" t="s">
        <v>2313</v>
      </c>
      <c r="D474" s="84" t="s">
        <v>2263</v>
      </c>
      <c r="E474" s="70">
        <v>45113</v>
      </c>
      <c r="F474" s="84" t="s">
        <v>1611</v>
      </c>
      <c r="G474">
        <v>80000</v>
      </c>
      <c r="H474">
        <v>18376</v>
      </c>
      <c r="I474">
        <v>7067</v>
      </c>
      <c r="J474">
        <v>72</v>
      </c>
      <c r="K474">
        <v>61624</v>
      </c>
      <c r="L474" s="84" t="s">
        <v>2182</v>
      </c>
      <c r="M474">
        <v>4</v>
      </c>
      <c r="N474" s="84" t="s">
        <v>1127</v>
      </c>
      <c r="O474" s="84" t="s">
        <v>2473</v>
      </c>
    </row>
    <row r="475" spans="1:15" x14ac:dyDescent="0.25">
      <c r="A475" s="84" t="s">
        <v>238</v>
      </c>
      <c r="B475" s="84" t="s">
        <v>946</v>
      </c>
      <c r="C475" s="84" t="s">
        <v>970</v>
      </c>
      <c r="D475" s="84" t="s">
        <v>1991</v>
      </c>
      <c r="E475" s="70">
        <v>44990</v>
      </c>
      <c r="F475" s="84" t="s">
        <v>1611</v>
      </c>
      <c r="G475">
        <v>10000</v>
      </c>
      <c r="H475">
        <v>3400</v>
      </c>
      <c r="I475">
        <v>0</v>
      </c>
      <c r="J475">
        <v>0</v>
      </c>
      <c r="K475">
        <v>10000</v>
      </c>
      <c r="L475" s="84" t="s">
        <v>1452</v>
      </c>
      <c r="M475">
        <v>4</v>
      </c>
      <c r="N475" s="84" t="s">
        <v>1127</v>
      </c>
      <c r="O475" s="84" t="s">
        <v>1128</v>
      </c>
    </row>
    <row r="476" spans="1:15" x14ac:dyDescent="0.25">
      <c r="A476" s="84" t="s">
        <v>752</v>
      </c>
      <c r="B476" s="84" t="s">
        <v>1453</v>
      </c>
      <c r="C476" s="84" t="s">
        <v>1454</v>
      </c>
      <c r="D476" s="84" t="s">
        <v>1992</v>
      </c>
      <c r="E476" s="70">
        <v>44950</v>
      </c>
      <c r="F476" s="84" t="s">
        <v>1609</v>
      </c>
      <c r="G476">
        <v>0</v>
      </c>
      <c r="H476">
        <v>93</v>
      </c>
      <c r="I476">
        <v>93</v>
      </c>
      <c r="J476">
        <v>237</v>
      </c>
      <c r="K476">
        <v>-93</v>
      </c>
      <c r="L476" s="84" t="s">
        <v>1455</v>
      </c>
      <c r="M476">
        <v>-1</v>
      </c>
      <c r="N476" s="84" t="s">
        <v>1240</v>
      </c>
      <c r="O476" s="84" t="s">
        <v>2301</v>
      </c>
    </row>
    <row r="477" spans="1:15" x14ac:dyDescent="0.25">
      <c r="A477" s="84" t="s">
        <v>752</v>
      </c>
      <c r="B477" s="84" t="s">
        <v>750</v>
      </c>
      <c r="C477" s="84" t="s">
        <v>751</v>
      </c>
      <c r="D477" s="84" t="s">
        <v>1993</v>
      </c>
      <c r="E477" s="70">
        <v>44923</v>
      </c>
      <c r="F477" s="84" t="s">
        <v>1609</v>
      </c>
      <c r="G477">
        <v>0</v>
      </c>
      <c r="H477">
        <v>0</v>
      </c>
      <c r="I477">
        <v>0</v>
      </c>
      <c r="J477">
        <v>0</v>
      </c>
      <c r="K477">
        <v>0</v>
      </c>
      <c r="L477" s="84" t="s">
        <v>1456</v>
      </c>
      <c r="M477">
        <v>-1</v>
      </c>
      <c r="N477" s="84" t="s">
        <v>1127</v>
      </c>
      <c r="O477" s="84" t="s">
        <v>1128</v>
      </c>
    </row>
    <row r="478" spans="1:15" x14ac:dyDescent="0.25">
      <c r="A478" s="84" t="s">
        <v>752</v>
      </c>
      <c r="B478" s="84" t="s">
        <v>753</v>
      </c>
      <c r="C478" s="84" t="s">
        <v>754</v>
      </c>
      <c r="D478" s="84" t="s">
        <v>1994</v>
      </c>
      <c r="E478" s="70">
        <v>44938</v>
      </c>
      <c r="F478" s="84" t="s">
        <v>1609</v>
      </c>
      <c r="G478">
        <v>0</v>
      </c>
      <c r="H478">
        <v>0</v>
      </c>
      <c r="I478">
        <v>0</v>
      </c>
      <c r="J478">
        <v>0</v>
      </c>
      <c r="K478">
        <v>0</v>
      </c>
      <c r="L478" s="84" t="s">
        <v>1457</v>
      </c>
      <c r="M478">
        <v>-1</v>
      </c>
      <c r="N478" s="84" t="s">
        <v>1127</v>
      </c>
      <c r="O478" s="84" t="s">
        <v>1128</v>
      </c>
    </row>
    <row r="479" spans="1:15" x14ac:dyDescent="0.25">
      <c r="A479" s="84" t="s">
        <v>752</v>
      </c>
      <c r="B479" s="84" t="s">
        <v>755</v>
      </c>
      <c r="C479" s="84" t="s">
        <v>2364</v>
      </c>
      <c r="D479" s="84" t="s">
        <v>2365</v>
      </c>
      <c r="E479" s="70">
        <v>44938</v>
      </c>
      <c r="F479" s="84" t="s">
        <v>1609</v>
      </c>
      <c r="G479">
        <v>0</v>
      </c>
      <c r="H479">
        <v>0</v>
      </c>
      <c r="I479">
        <v>0</v>
      </c>
      <c r="J479">
        <v>0</v>
      </c>
      <c r="K479">
        <v>0</v>
      </c>
      <c r="L479" s="84" t="s">
        <v>1457</v>
      </c>
      <c r="M479">
        <v>-1</v>
      </c>
      <c r="N479" s="84" t="s">
        <v>1127</v>
      </c>
      <c r="O479" s="84" t="s">
        <v>1128</v>
      </c>
    </row>
    <row r="480" spans="1:15" x14ac:dyDescent="0.25">
      <c r="A480" s="84" t="s">
        <v>752</v>
      </c>
      <c r="B480" s="84" t="s">
        <v>1047</v>
      </c>
      <c r="C480" s="84" t="s">
        <v>1048</v>
      </c>
      <c r="D480" s="84" t="s">
        <v>1995</v>
      </c>
      <c r="E480" s="70">
        <v>45053</v>
      </c>
      <c r="F480" s="84" t="s">
        <v>1611</v>
      </c>
      <c r="G480">
        <v>24000</v>
      </c>
      <c r="H480">
        <v>10134</v>
      </c>
      <c r="I480">
        <v>8685</v>
      </c>
      <c r="J480">
        <v>122</v>
      </c>
      <c r="K480">
        <v>13866</v>
      </c>
      <c r="L480" s="84" t="s">
        <v>1411</v>
      </c>
      <c r="M480">
        <v>4</v>
      </c>
      <c r="N480" s="84" t="s">
        <v>1127</v>
      </c>
      <c r="O480" s="84" t="s">
        <v>2474</v>
      </c>
    </row>
    <row r="481" spans="1:15" x14ac:dyDescent="0.25">
      <c r="A481" s="84" t="s">
        <v>752</v>
      </c>
      <c r="B481" s="84" t="s">
        <v>1076</v>
      </c>
      <c r="C481" s="84" t="s">
        <v>1458</v>
      </c>
      <c r="D481" s="84" t="s">
        <v>1996</v>
      </c>
      <c r="E481" s="70">
        <v>45066</v>
      </c>
      <c r="F481" s="84" t="s">
        <v>1611</v>
      </c>
      <c r="G481">
        <v>24000</v>
      </c>
      <c r="H481">
        <v>1921</v>
      </c>
      <c r="I481">
        <v>0</v>
      </c>
      <c r="J481">
        <v>0</v>
      </c>
      <c r="K481">
        <v>24000</v>
      </c>
      <c r="L481" s="84" t="s">
        <v>1411</v>
      </c>
      <c r="M481">
        <v>4</v>
      </c>
      <c r="N481" s="84" t="s">
        <v>1127</v>
      </c>
      <c r="O481" s="84" t="s">
        <v>1128</v>
      </c>
    </row>
    <row r="482" spans="1:15" x14ac:dyDescent="0.25">
      <c r="A482" s="84" t="s">
        <v>752</v>
      </c>
      <c r="B482" s="84" t="s">
        <v>2098</v>
      </c>
      <c r="C482" s="84" t="s">
        <v>2186</v>
      </c>
      <c r="D482" s="84" t="s">
        <v>2187</v>
      </c>
      <c r="E482" s="70">
        <v>45087</v>
      </c>
      <c r="F482" s="84" t="s">
        <v>1609</v>
      </c>
      <c r="G482">
        <v>0</v>
      </c>
      <c r="H482">
        <v>-161</v>
      </c>
      <c r="I482">
        <v>-161</v>
      </c>
      <c r="J482">
        <v>101</v>
      </c>
      <c r="K482">
        <v>0</v>
      </c>
      <c r="L482" s="84" t="s">
        <v>2188</v>
      </c>
      <c r="M482">
        <v>-1</v>
      </c>
      <c r="N482" s="84" t="s">
        <v>1127</v>
      </c>
      <c r="O482" s="84" t="s">
        <v>1128</v>
      </c>
    </row>
    <row r="483" spans="1:15" x14ac:dyDescent="0.25">
      <c r="A483" s="84" t="s">
        <v>1459</v>
      </c>
      <c r="B483" s="84" t="s">
        <v>1460</v>
      </c>
      <c r="C483" s="84" t="s">
        <v>1461</v>
      </c>
      <c r="D483" s="84" t="s">
        <v>1997</v>
      </c>
      <c r="E483" s="70">
        <v>44945</v>
      </c>
      <c r="F483" s="84" t="s">
        <v>1609</v>
      </c>
      <c r="G483">
        <v>0</v>
      </c>
      <c r="H483">
        <v>528</v>
      </c>
      <c r="I483">
        <v>528</v>
      </c>
      <c r="J483">
        <v>239</v>
      </c>
      <c r="K483">
        <v>-528</v>
      </c>
      <c r="L483" s="84" t="s">
        <v>1462</v>
      </c>
      <c r="M483">
        <v>-1</v>
      </c>
      <c r="N483" s="84" t="s">
        <v>1240</v>
      </c>
      <c r="O483" s="84" t="s">
        <v>2475</v>
      </c>
    </row>
    <row r="484" spans="1:15" x14ac:dyDescent="0.25">
      <c r="A484" s="84" t="s">
        <v>1463</v>
      </c>
      <c r="B484" s="84" t="s">
        <v>1464</v>
      </c>
      <c r="C484" s="84" t="s">
        <v>1465</v>
      </c>
      <c r="D484" s="84" t="s">
        <v>1998</v>
      </c>
      <c r="E484" s="70">
        <v>44954</v>
      </c>
      <c r="F484" s="84" t="s">
        <v>1609</v>
      </c>
      <c r="G484">
        <v>0</v>
      </c>
      <c r="H484">
        <v>781</v>
      </c>
      <c r="I484">
        <v>781</v>
      </c>
      <c r="J484">
        <v>234</v>
      </c>
      <c r="K484">
        <v>-781</v>
      </c>
      <c r="L484" s="84" t="s">
        <v>1466</v>
      </c>
      <c r="M484">
        <v>-1</v>
      </c>
      <c r="N484" s="84" t="s">
        <v>1240</v>
      </c>
      <c r="O484" s="84" t="s">
        <v>1467</v>
      </c>
    </row>
    <row r="485" spans="1:15" x14ac:dyDescent="0.25">
      <c r="A485" s="84" t="s">
        <v>880</v>
      </c>
      <c r="B485" s="84" t="s">
        <v>986</v>
      </c>
      <c r="C485" s="84" t="s">
        <v>987</v>
      </c>
      <c r="D485" s="84" t="s">
        <v>1999</v>
      </c>
      <c r="E485" s="70">
        <v>45011</v>
      </c>
      <c r="F485" s="84" t="s">
        <v>1609</v>
      </c>
      <c r="G485">
        <v>0</v>
      </c>
      <c r="H485">
        <v>0</v>
      </c>
      <c r="I485">
        <v>0</v>
      </c>
      <c r="J485">
        <v>0</v>
      </c>
      <c r="K485">
        <v>0</v>
      </c>
      <c r="L485" s="84" t="s">
        <v>1468</v>
      </c>
      <c r="M485">
        <v>-1</v>
      </c>
      <c r="N485" s="84" t="s">
        <v>1127</v>
      </c>
      <c r="O485" s="84" t="s">
        <v>1128</v>
      </c>
    </row>
    <row r="486" spans="1:15" x14ac:dyDescent="0.25">
      <c r="A486" s="84" t="s">
        <v>758</v>
      </c>
      <c r="B486" s="84" t="s">
        <v>756</v>
      </c>
      <c r="C486" s="84" t="s">
        <v>757</v>
      </c>
      <c r="D486" s="84" t="s">
        <v>2000</v>
      </c>
      <c r="E486" s="70">
        <v>43581</v>
      </c>
      <c r="F486" s="84" t="s">
        <v>1611</v>
      </c>
      <c r="G486">
        <v>16000</v>
      </c>
      <c r="H486">
        <v>0</v>
      </c>
      <c r="I486">
        <v>0</v>
      </c>
      <c r="J486">
        <v>0</v>
      </c>
      <c r="K486">
        <v>16000</v>
      </c>
      <c r="L486" s="84" t="s">
        <v>1469</v>
      </c>
      <c r="M486">
        <v>4</v>
      </c>
      <c r="N486" s="84" t="s">
        <v>1127</v>
      </c>
      <c r="O486" s="84" t="s">
        <v>1128</v>
      </c>
    </row>
    <row r="487" spans="1:15" x14ac:dyDescent="0.25">
      <c r="A487" s="84" t="s">
        <v>758</v>
      </c>
      <c r="B487" s="84" t="s">
        <v>759</v>
      </c>
      <c r="C487" s="84" t="s">
        <v>2366</v>
      </c>
      <c r="D487" s="84" t="s">
        <v>2001</v>
      </c>
      <c r="E487" s="70">
        <v>43581</v>
      </c>
      <c r="F487" s="84" t="s">
        <v>1609</v>
      </c>
      <c r="G487">
        <v>0</v>
      </c>
      <c r="H487">
        <v>0</v>
      </c>
      <c r="I487">
        <v>0</v>
      </c>
      <c r="J487">
        <v>0</v>
      </c>
      <c r="K487">
        <v>0</v>
      </c>
      <c r="L487" s="84" t="s">
        <v>1469</v>
      </c>
      <c r="M487">
        <v>-1</v>
      </c>
      <c r="N487" s="84" t="s">
        <v>1127</v>
      </c>
      <c r="O487" s="84" t="s">
        <v>1128</v>
      </c>
    </row>
    <row r="488" spans="1:15" x14ac:dyDescent="0.25">
      <c r="A488" s="84" t="s">
        <v>758</v>
      </c>
      <c r="B488" s="84" t="s">
        <v>760</v>
      </c>
      <c r="C488" s="84" t="s">
        <v>2367</v>
      </c>
      <c r="D488" s="84" t="s">
        <v>2002</v>
      </c>
      <c r="E488" s="70">
        <v>43581</v>
      </c>
      <c r="F488" s="84" t="s">
        <v>1609</v>
      </c>
      <c r="G488">
        <v>0</v>
      </c>
      <c r="H488">
        <v>0</v>
      </c>
      <c r="I488">
        <v>0</v>
      </c>
      <c r="J488">
        <v>0</v>
      </c>
      <c r="K488">
        <v>0</v>
      </c>
      <c r="L488" s="84" t="s">
        <v>1469</v>
      </c>
      <c r="M488">
        <v>-1</v>
      </c>
      <c r="N488" s="84" t="s">
        <v>1127</v>
      </c>
      <c r="O488" s="84" t="s">
        <v>1128</v>
      </c>
    </row>
    <row r="489" spans="1:15" x14ac:dyDescent="0.25">
      <c r="A489" s="84" t="s">
        <v>758</v>
      </c>
      <c r="B489" s="84" t="s">
        <v>761</v>
      </c>
      <c r="C489" s="84" t="s">
        <v>762</v>
      </c>
      <c r="D489" s="84"/>
      <c r="E489" s="70">
        <v>43646</v>
      </c>
      <c r="F489" s="84" t="s">
        <v>1611</v>
      </c>
      <c r="G489">
        <v>16000</v>
      </c>
      <c r="H489">
        <v>0</v>
      </c>
      <c r="I489">
        <v>0</v>
      </c>
      <c r="J489">
        <v>0</v>
      </c>
      <c r="K489">
        <v>16000</v>
      </c>
      <c r="L489" s="84" t="s">
        <v>1470</v>
      </c>
      <c r="M489">
        <v>4</v>
      </c>
      <c r="N489" s="84" t="s">
        <v>1127</v>
      </c>
      <c r="O489" s="84" t="s">
        <v>1128</v>
      </c>
    </row>
    <row r="490" spans="1:15" x14ac:dyDescent="0.25">
      <c r="A490" s="84" t="s">
        <v>758</v>
      </c>
      <c r="B490" s="84" t="s">
        <v>763</v>
      </c>
      <c r="C490" s="84" t="s">
        <v>2368</v>
      </c>
      <c r="D490" s="84" t="s">
        <v>2003</v>
      </c>
      <c r="E490" s="70">
        <v>43581</v>
      </c>
      <c r="F490" s="84" t="s">
        <v>1609</v>
      </c>
      <c r="G490">
        <v>0</v>
      </c>
      <c r="H490">
        <v>0</v>
      </c>
      <c r="I490">
        <v>0</v>
      </c>
      <c r="J490">
        <v>0</v>
      </c>
      <c r="K490">
        <v>0</v>
      </c>
      <c r="L490" s="84" t="s">
        <v>1469</v>
      </c>
      <c r="M490">
        <v>-1</v>
      </c>
      <c r="N490" s="84" t="s">
        <v>1127</v>
      </c>
      <c r="O490" s="84" t="s">
        <v>1128</v>
      </c>
    </row>
    <row r="491" spans="1:15" x14ac:dyDescent="0.25">
      <c r="A491" s="84" t="s">
        <v>758</v>
      </c>
      <c r="B491" s="84" t="s">
        <v>764</v>
      </c>
      <c r="C491" s="84" t="s">
        <v>765</v>
      </c>
      <c r="D491" s="84" t="s">
        <v>2004</v>
      </c>
      <c r="E491" s="70">
        <v>43581</v>
      </c>
      <c r="F491" s="84" t="s">
        <v>1611</v>
      </c>
      <c r="G491">
        <v>16000</v>
      </c>
      <c r="H491">
        <v>0</v>
      </c>
      <c r="I491">
        <v>0</v>
      </c>
      <c r="J491">
        <v>0</v>
      </c>
      <c r="K491">
        <v>16000</v>
      </c>
      <c r="L491" s="84" t="s">
        <v>1469</v>
      </c>
      <c r="M491">
        <v>4</v>
      </c>
      <c r="N491" s="84" t="s">
        <v>1127</v>
      </c>
      <c r="O491" s="84" t="s">
        <v>1128</v>
      </c>
    </row>
    <row r="492" spans="1:15" x14ac:dyDescent="0.25">
      <c r="A492" s="84" t="s">
        <v>758</v>
      </c>
      <c r="B492" s="84" t="s">
        <v>766</v>
      </c>
      <c r="C492" s="84" t="s">
        <v>2369</v>
      </c>
      <c r="D492" s="84" t="s">
        <v>2005</v>
      </c>
      <c r="E492" s="70">
        <v>43581</v>
      </c>
      <c r="F492" s="84" t="s">
        <v>1609</v>
      </c>
      <c r="G492">
        <v>0</v>
      </c>
      <c r="H492">
        <v>0</v>
      </c>
      <c r="I492">
        <v>0</v>
      </c>
      <c r="J492">
        <v>0</v>
      </c>
      <c r="K492">
        <v>0</v>
      </c>
      <c r="L492" s="84" t="s">
        <v>1469</v>
      </c>
      <c r="M492">
        <v>-1</v>
      </c>
      <c r="N492" s="84" t="s">
        <v>1127</v>
      </c>
      <c r="O492" s="84" t="s">
        <v>1128</v>
      </c>
    </row>
    <row r="493" spans="1:15" x14ac:dyDescent="0.25">
      <c r="A493" s="84" t="s">
        <v>758</v>
      </c>
      <c r="B493" s="84" t="s">
        <v>767</v>
      </c>
      <c r="C493" s="84" t="s">
        <v>2370</v>
      </c>
      <c r="D493" s="84" t="s">
        <v>2006</v>
      </c>
      <c r="E493" s="70">
        <v>43581</v>
      </c>
      <c r="F493" s="84" t="s">
        <v>1609</v>
      </c>
      <c r="G493">
        <v>0</v>
      </c>
      <c r="H493">
        <v>0</v>
      </c>
      <c r="I493">
        <v>0</v>
      </c>
      <c r="J493">
        <v>0</v>
      </c>
      <c r="K493">
        <v>0</v>
      </c>
      <c r="L493" s="84" t="s">
        <v>1469</v>
      </c>
      <c r="M493">
        <v>-1</v>
      </c>
      <c r="N493" s="84" t="s">
        <v>1127</v>
      </c>
      <c r="O493" s="84" t="s">
        <v>1128</v>
      </c>
    </row>
    <row r="494" spans="1:15" x14ac:dyDescent="0.25">
      <c r="A494" s="84" t="s">
        <v>758</v>
      </c>
      <c r="B494" s="84" t="s">
        <v>768</v>
      </c>
      <c r="C494" s="84" t="s">
        <v>2371</v>
      </c>
      <c r="D494" s="84" t="s">
        <v>2007</v>
      </c>
      <c r="E494" s="70">
        <v>43634</v>
      </c>
      <c r="F494" s="84" t="s">
        <v>1609</v>
      </c>
      <c r="G494">
        <v>0</v>
      </c>
      <c r="H494">
        <v>0</v>
      </c>
      <c r="I494">
        <v>0</v>
      </c>
      <c r="J494">
        <v>0</v>
      </c>
      <c r="K494">
        <v>0</v>
      </c>
      <c r="L494" s="84" t="s">
        <v>1471</v>
      </c>
      <c r="M494">
        <v>-1</v>
      </c>
      <c r="N494" s="84" t="s">
        <v>1127</v>
      </c>
      <c r="O494" s="84" t="s">
        <v>1128</v>
      </c>
    </row>
    <row r="495" spans="1:15" x14ac:dyDescent="0.25">
      <c r="A495" s="84" t="s">
        <v>758</v>
      </c>
      <c r="B495" s="84" t="s">
        <v>769</v>
      </c>
      <c r="C495" s="84" t="s">
        <v>2372</v>
      </c>
      <c r="D495" s="84" t="s">
        <v>2001</v>
      </c>
      <c r="E495" s="70">
        <v>43586</v>
      </c>
      <c r="F495" s="84" t="s">
        <v>1611</v>
      </c>
      <c r="G495">
        <v>120000</v>
      </c>
      <c r="H495">
        <v>0</v>
      </c>
      <c r="I495">
        <v>0</v>
      </c>
      <c r="J495">
        <v>0</v>
      </c>
      <c r="K495">
        <v>120000</v>
      </c>
      <c r="L495" s="84" t="s">
        <v>1472</v>
      </c>
      <c r="M495">
        <v>4</v>
      </c>
      <c r="N495" s="84" t="s">
        <v>1127</v>
      </c>
      <c r="O495" s="84" t="s">
        <v>1128</v>
      </c>
    </row>
    <row r="496" spans="1:15" x14ac:dyDescent="0.25">
      <c r="A496" s="84" t="s">
        <v>758</v>
      </c>
      <c r="B496" s="84" t="s">
        <v>770</v>
      </c>
      <c r="C496" s="84" t="s">
        <v>2373</v>
      </c>
      <c r="D496" s="84"/>
      <c r="E496" s="70">
        <v>43581</v>
      </c>
      <c r="F496" s="84" t="s">
        <v>1609</v>
      </c>
      <c r="G496">
        <v>0</v>
      </c>
      <c r="H496">
        <v>0</v>
      </c>
      <c r="I496">
        <v>0</v>
      </c>
      <c r="J496">
        <v>0</v>
      </c>
      <c r="K496">
        <v>0</v>
      </c>
      <c r="L496" s="84" t="s">
        <v>1469</v>
      </c>
      <c r="M496">
        <v>-1</v>
      </c>
      <c r="N496" s="84" t="s">
        <v>1127</v>
      </c>
      <c r="O496" s="84" t="s">
        <v>1128</v>
      </c>
    </row>
    <row r="497" spans="1:15" x14ac:dyDescent="0.25">
      <c r="A497" s="84" t="s">
        <v>758</v>
      </c>
      <c r="B497" s="84" t="s">
        <v>771</v>
      </c>
      <c r="C497" s="84" t="s">
        <v>2374</v>
      </c>
      <c r="D497" s="84"/>
      <c r="E497" s="70">
        <v>43581</v>
      </c>
      <c r="F497" s="84" t="s">
        <v>1609</v>
      </c>
      <c r="G497">
        <v>0</v>
      </c>
      <c r="H497">
        <v>0</v>
      </c>
      <c r="I497">
        <v>0</v>
      </c>
      <c r="J497">
        <v>0</v>
      </c>
      <c r="K497">
        <v>0</v>
      </c>
      <c r="L497" s="84" t="s">
        <v>1469</v>
      </c>
      <c r="M497">
        <v>-1</v>
      </c>
      <c r="N497" s="84" t="s">
        <v>1127</v>
      </c>
      <c r="O497" s="84" t="s">
        <v>1128</v>
      </c>
    </row>
    <row r="498" spans="1:15" x14ac:dyDescent="0.25">
      <c r="A498" s="84" t="s">
        <v>758</v>
      </c>
      <c r="B498" s="84" t="s">
        <v>772</v>
      </c>
      <c r="C498" s="84" t="s">
        <v>2375</v>
      </c>
      <c r="D498" s="84"/>
      <c r="E498" s="70">
        <v>43581</v>
      </c>
      <c r="F498" s="84" t="s">
        <v>1609</v>
      </c>
      <c r="G498">
        <v>0</v>
      </c>
      <c r="H498">
        <v>0</v>
      </c>
      <c r="I498">
        <v>0</v>
      </c>
      <c r="J498">
        <v>0</v>
      </c>
      <c r="K498">
        <v>0</v>
      </c>
      <c r="L498" s="84" t="s">
        <v>1469</v>
      </c>
      <c r="M498">
        <v>-1</v>
      </c>
      <c r="N498" s="84" t="s">
        <v>1127</v>
      </c>
      <c r="O498" s="84" t="s">
        <v>1128</v>
      </c>
    </row>
    <row r="499" spans="1:15" x14ac:dyDescent="0.25">
      <c r="A499" s="84" t="s">
        <v>758</v>
      </c>
      <c r="B499" s="84" t="s">
        <v>773</v>
      </c>
      <c r="C499" s="84" t="s">
        <v>2376</v>
      </c>
      <c r="D499" s="84"/>
      <c r="E499" s="70">
        <v>43581</v>
      </c>
      <c r="F499" s="84" t="s">
        <v>1609</v>
      </c>
      <c r="G499">
        <v>0</v>
      </c>
      <c r="H499">
        <v>0</v>
      </c>
      <c r="I499">
        <v>0</v>
      </c>
      <c r="J499">
        <v>0</v>
      </c>
      <c r="K499">
        <v>0</v>
      </c>
      <c r="L499" s="84" t="s">
        <v>1469</v>
      </c>
      <c r="M499">
        <v>-1</v>
      </c>
      <c r="N499" s="84" t="s">
        <v>1127</v>
      </c>
      <c r="O499" s="84" t="s">
        <v>1128</v>
      </c>
    </row>
    <row r="500" spans="1:15" x14ac:dyDescent="0.25">
      <c r="A500" s="84" t="s">
        <v>758</v>
      </c>
      <c r="B500" s="84" t="s">
        <v>774</v>
      </c>
      <c r="C500" s="84" t="s">
        <v>2377</v>
      </c>
      <c r="D500" s="84" t="s">
        <v>2008</v>
      </c>
      <c r="E500" s="70">
        <v>43589</v>
      </c>
      <c r="F500" s="84" t="s">
        <v>1609</v>
      </c>
      <c r="G500">
        <v>0</v>
      </c>
      <c r="H500">
        <v>0</v>
      </c>
      <c r="I500">
        <v>0</v>
      </c>
      <c r="J500">
        <v>0</v>
      </c>
      <c r="K500">
        <v>0</v>
      </c>
      <c r="L500" s="84" t="s">
        <v>1473</v>
      </c>
      <c r="M500">
        <v>-1</v>
      </c>
      <c r="N500" s="84" t="s">
        <v>1127</v>
      </c>
      <c r="O500" s="84" t="s">
        <v>1128</v>
      </c>
    </row>
    <row r="501" spans="1:15" x14ac:dyDescent="0.25">
      <c r="A501" s="84" t="s">
        <v>758</v>
      </c>
      <c r="B501" s="84" t="s">
        <v>775</v>
      </c>
      <c r="C501" s="84" t="s">
        <v>776</v>
      </c>
      <c r="D501" s="84" t="s">
        <v>2009</v>
      </c>
      <c r="E501" s="70">
        <v>44010</v>
      </c>
      <c r="F501" s="84" t="s">
        <v>1609</v>
      </c>
      <c r="G501">
        <v>0</v>
      </c>
      <c r="H501">
        <v>0</v>
      </c>
      <c r="I501">
        <v>0</v>
      </c>
      <c r="J501">
        <v>0</v>
      </c>
      <c r="K501">
        <v>0</v>
      </c>
      <c r="L501" s="84" t="s">
        <v>1474</v>
      </c>
      <c r="M501">
        <v>-1</v>
      </c>
      <c r="N501" s="84" t="s">
        <v>1127</v>
      </c>
      <c r="O501" s="84" t="s">
        <v>1128</v>
      </c>
    </row>
    <row r="502" spans="1:15" x14ac:dyDescent="0.25">
      <c r="A502" s="84" t="s">
        <v>758</v>
      </c>
      <c r="B502" s="84" t="s">
        <v>777</v>
      </c>
      <c r="C502" s="84" t="s">
        <v>2378</v>
      </c>
      <c r="D502" s="84"/>
      <c r="E502" s="70">
        <v>43646</v>
      </c>
      <c r="F502" s="84" t="s">
        <v>1609</v>
      </c>
      <c r="G502">
        <v>0</v>
      </c>
      <c r="H502">
        <v>0</v>
      </c>
      <c r="I502">
        <v>0</v>
      </c>
      <c r="J502">
        <v>0</v>
      </c>
      <c r="K502">
        <v>0</v>
      </c>
      <c r="L502" s="84" t="s">
        <v>1470</v>
      </c>
      <c r="M502">
        <v>-1</v>
      </c>
      <c r="N502" s="84" t="s">
        <v>1127</v>
      </c>
      <c r="O502" s="84" t="s">
        <v>1128</v>
      </c>
    </row>
    <row r="503" spans="1:15" x14ac:dyDescent="0.25">
      <c r="A503" s="84" t="s">
        <v>758</v>
      </c>
      <c r="B503" s="84" t="s">
        <v>778</v>
      </c>
      <c r="C503" s="84" t="s">
        <v>2379</v>
      </c>
      <c r="D503" s="84" t="s">
        <v>2010</v>
      </c>
      <c r="E503" s="70">
        <v>43581</v>
      </c>
      <c r="F503" s="84" t="s">
        <v>1609</v>
      </c>
      <c r="G503">
        <v>0</v>
      </c>
      <c r="H503">
        <v>0</v>
      </c>
      <c r="I503">
        <v>0</v>
      </c>
      <c r="J503">
        <v>0</v>
      </c>
      <c r="K503">
        <v>0</v>
      </c>
      <c r="L503" s="84" t="s">
        <v>1469</v>
      </c>
      <c r="M503">
        <v>-1</v>
      </c>
      <c r="N503" s="84" t="s">
        <v>1127</v>
      </c>
      <c r="O503" s="84" t="s">
        <v>1128</v>
      </c>
    </row>
    <row r="504" spans="1:15" x14ac:dyDescent="0.25">
      <c r="A504" s="84" t="s">
        <v>758</v>
      </c>
      <c r="B504" s="84" t="s">
        <v>779</v>
      </c>
      <c r="C504" s="84" t="s">
        <v>780</v>
      </c>
      <c r="D504" s="84" t="s">
        <v>2011</v>
      </c>
      <c r="E504" s="70">
        <v>43659</v>
      </c>
      <c r="F504" s="84" t="s">
        <v>1611</v>
      </c>
      <c r="G504">
        <v>40000</v>
      </c>
      <c r="H504">
        <v>0</v>
      </c>
      <c r="I504">
        <v>0</v>
      </c>
      <c r="J504">
        <v>0</v>
      </c>
      <c r="K504">
        <v>40000</v>
      </c>
      <c r="L504" s="84" t="s">
        <v>1475</v>
      </c>
      <c r="M504">
        <v>4</v>
      </c>
      <c r="N504" s="84" t="s">
        <v>1127</v>
      </c>
      <c r="O504" s="84" t="s">
        <v>1128</v>
      </c>
    </row>
    <row r="505" spans="1:15" x14ac:dyDescent="0.25">
      <c r="A505" s="84" t="s">
        <v>758</v>
      </c>
      <c r="B505" s="84" t="s">
        <v>781</v>
      </c>
      <c r="C505" s="84" t="s">
        <v>2380</v>
      </c>
      <c r="D505" s="84"/>
      <c r="E505" s="70">
        <v>43581</v>
      </c>
      <c r="F505" s="84" t="s">
        <v>1609</v>
      </c>
      <c r="G505">
        <v>0</v>
      </c>
      <c r="H505">
        <v>0</v>
      </c>
      <c r="I505">
        <v>0</v>
      </c>
      <c r="J505">
        <v>0</v>
      </c>
      <c r="K505">
        <v>0</v>
      </c>
      <c r="L505" s="84" t="s">
        <v>1469</v>
      </c>
      <c r="M505">
        <v>-1</v>
      </c>
      <c r="N505" s="84" t="s">
        <v>1127</v>
      </c>
      <c r="O505" s="84" t="s">
        <v>1128</v>
      </c>
    </row>
    <row r="506" spans="1:15" x14ac:dyDescent="0.25">
      <c r="A506" s="84" t="s">
        <v>758</v>
      </c>
      <c r="B506" s="84" t="s">
        <v>782</v>
      </c>
      <c r="C506" s="84" t="s">
        <v>2381</v>
      </c>
      <c r="D506" s="84"/>
      <c r="E506" s="70">
        <v>43581</v>
      </c>
      <c r="F506" s="84" t="s">
        <v>1609</v>
      </c>
      <c r="G506">
        <v>0</v>
      </c>
      <c r="H506">
        <v>0</v>
      </c>
      <c r="I506">
        <v>0</v>
      </c>
      <c r="J506">
        <v>0</v>
      </c>
      <c r="K506">
        <v>0</v>
      </c>
      <c r="L506" s="84" t="s">
        <v>1469</v>
      </c>
      <c r="M506">
        <v>-1</v>
      </c>
      <c r="N506" s="84" t="s">
        <v>1127</v>
      </c>
      <c r="O506" s="84" t="s">
        <v>1128</v>
      </c>
    </row>
    <row r="507" spans="1:15" x14ac:dyDescent="0.25">
      <c r="A507" s="84" t="s">
        <v>758</v>
      </c>
      <c r="B507" s="84" t="s">
        <v>783</v>
      </c>
      <c r="C507" s="84" t="s">
        <v>2382</v>
      </c>
      <c r="D507" s="84"/>
      <c r="E507" s="70">
        <v>43589</v>
      </c>
      <c r="F507" s="84" t="s">
        <v>1609</v>
      </c>
      <c r="G507">
        <v>0</v>
      </c>
      <c r="H507">
        <v>0</v>
      </c>
      <c r="I507">
        <v>0</v>
      </c>
      <c r="J507">
        <v>0</v>
      </c>
      <c r="K507">
        <v>0</v>
      </c>
      <c r="L507" s="84" t="s">
        <v>1473</v>
      </c>
      <c r="M507">
        <v>-1</v>
      </c>
      <c r="N507" s="84" t="s">
        <v>1127</v>
      </c>
      <c r="O507" s="84" t="s">
        <v>1128</v>
      </c>
    </row>
    <row r="508" spans="1:15" x14ac:dyDescent="0.25">
      <c r="A508" s="84" t="s">
        <v>758</v>
      </c>
      <c r="B508" s="84" t="s">
        <v>784</v>
      </c>
      <c r="C508" s="84" t="s">
        <v>785</v>
      </c>
      <c r="D508" s="84"/>
      <c r="E508" s="70">
        <v>43601</v>
      </c>
      <c r="F508" s="84" t="s">
        <v>1611</v>
      </c>
      <c r="G508">
        <v>16000</v>
      </c>
      <c r="H508">
        <v>0</v>
      </c>
      <c r="I508">
        <v>0</v>
      </c>
      <c r="J508">
        <v>0</v>
      </c>
      <c r="K508">
        <v>16000</v>
      </c>
      <c r="L508" s="84" t="s">
        <v>1476</v>
      </c>
      <c r="M508">
        <v>4</v>
      </c>
      <c r="N508" s="84" t="s">
        <v>1127</v>
      </c>
      <c r="O508" s="84" t="s">
        <v>1128</v>
      </c>
    </row>
    <row r="509" spans="1:15" x14ac:dyDescent="0.25">
      <c r="A509" s="84" t="s">
        <v>758</v>
      </c>
      <c r="B509" s="84" t="s">
        <v>786</v>
      </c>
      <c r="C509" s="84" t="s">
        <v>2383</v>
      </c>
      <c r="D509" s="84" t="s">
        <v>2012</v>
      </c>
      <c r="E509" s="70">
        <v>43636</v>
      </c>
      <c r="F509" s="84" t="s">
        <v>1609</v>
      </c>
      <c r="G509">
        <v>0</v>
      </c>
      <c r="H509">
        <v>-0.03</v>
      </c>
      <c r="I509">
        <v>-0.03</v>
      </c>
      <c r="J509">
        <v>1552</v>
      </c>
      <c r="K509">
        <v>0</v>
      </c>
      <c r="L509" s="84" t="s">
        <v>1477</v>
      </c>
      <c r="M509">
        <v>-1</v>
      </c>
      <c r="N509" s="84" t="s">
        <v>1127</v>
      </c>
      <c r="O509" s="84" t="s">
        <v>1128</v>
      </c>
    </row>
    <row r="510" spans="1:15" x14ac:dyDescent="0.25">
      <c r="A510" s="84" t="s">
        <v>758</v>
      </c>
      <c r="B510" s="84" t="s">
        <v>787</v>
      </c>
      <c r="C510" s="84" t="s">
        <v>788</v>
      </c>
      <c r="D510" s="84" t="s">
        <v>2013</v>
      </c>
      <c r="E510" s="70">
        <v>43671</v>
      </c>
      <c r="F510" s="84" t="s">
        <v>1611</v>
      </c>
      <c r="G510">
        <v>24000</v>
      </c>
      <c r="H510">
        <v>-23</v>
      </c>
      <c r="I510">
        <v>-23</v>
      </c>
      <c r="J510">
        <v>1279</v>
      </c>
      <c r="K510">
        <v>24000</v>
      </c>
      <c r="L510" s="84" t="s">
        <v>1478</v>
      </c>
      <c r="M510">
        <v>4</v>
      </c>
      <c r="N510" s="84" t="s">
        <v>1127</v>
      </c>
      <c r="O510" s="84" t="s">
        <v>1128</v>
      </c>
    </row>
    <row r="511" spans="1:15" x14ac:dyDescent="0.25">
      <c r="A511" s="84" t="s">
        <v>758</v>
      </c>
      <c r="B511" s="84" t="s">
        <v>1479</v>
      </c>
      <c r="C511" s="84" t="s">
        <v>1480</v>
      </c>
      <c r="D511" s="84"/>
      <c r="E511" s="70">
        <v>43680</v>
      </c>
      <c r="F511" s="84" t="s">
        <v>1609</v>
      </c>
      <c r="G511">
        <v>0</v>
      </c>
      <c r="H511">
        <v>0</v>
      </c>
      <c r="I511">
        <v>0</v>
      </c>
      <c r="J511">
        <v>0</v>
      </c>
      <c r="K511">
        <v>0</v>
      </c>
      <c r="L511" s="84" t="s">
        <v>1481</v>
      </c>
      <c r="M511">
        <v>-1</v>
      </c>
      <c r="N511" s="84" t="s">
        <v>1127</v>
      </c>
      <c r="O511" s="84" t="s">
        <v>1128</v>
      </c>
    </row>
    <row r="512" spans="1:15" x14ac:dyDescent="0.25">
      <c r="A512" s="84" t="s">
        <v>758</v>
      </c>
      <c r="B512" s="84" t="s">
        <v>789</v>
      </c>
      <c r="C512" s="84" t="s">
        <v>790</v>
      </c>
      <c r="D512" s="84" t="s">
        <v>2014</v>
      </c>
      <c r="E512" s="70">
        <v>43719</v>
      </c>
      <c r="F512" s="84" t="s">
        <v>1611</v>
      </c>
      <c r="G512">
        <v>40000</v>
      </c>
      <c r="H512">
        <v>0</v>
      </c>
      <c r="I512">
        <v>0</v>
      </c>
      <c r="J512">
        <v>0</v>
      </c>
      <c r="K512">
        <v>40000</v>
      </c>
      <c r="L512" s="84" t="s">
        <v>1482</v>
      </c>
      <c r="M512">
        <v>4</v>
      </c>
      <c r="N512" s="84" t="s">
        <v>1127</v>
      </c>
      <c r="O512" s="84" t="s">
        <v>1128</v>
      </c>
    </row>
    <row r="513" spans="1:15" x14ac:dyDescent="0.25">
      <c r="A513" s="84" t="s">
        <v>758</v>
      </c>
      <c r="B513" s="84" t="s">
        <v>791</v>
      </c>
      <c r="C513" s="84" t="s">
        <v>792</v>
      </c>
      <c r="D513" s="84" t="s">
        <v>2015</v>
      </c>
      <c r="E513" s="70">
        <v>43785</v>
      </c>
      <c r="F513" s="84" t="s">
        <v>1611</v>
      </c>
      <c r="G513">
        <v>0</v>
      </c>
      <c r="H513">
        <v>0</v>
      </c>
      <c r="I513">
        <v>0</v>
      </c>
      <c r="J513">
        <v>0</v>
      </c>
      <c r="K513">
        <v>0</v>
      </c>
      <c r="L513" s="84" t="s">
        <v>1483</v>
      </c>
      <c r="M513">
        <v>4</v>
      </c>
      <c r="N513" s="84" t="s">
        <v>1127</v>
      </c>
      <c r="O513" s="84" t="s">
        <v>1128</v>
      </c>
    </row>
    <row r="514" spans="1:15" x14ac:dyDescent="0.25">
      <c r="A514" s="84" t="s">
        <v>758</v>
      </c>
      <c r="B514" s="84" t="s">
        <v>793</v>
      </c>
      <c r="C514" s="84" t="s">
        <v>794</v>
      </c>
      <c r="D514" s="84" t="s">
        <v>2016</v>
      </c>
      <c r="E514" s="70">
        <v>43794</v>
      </c>
      <c r="F514" s="84" t="s">
        <v>1611</v>
      </c>
      <c r="G514">
        <v>40000</v>
      </c>
      <c r="H514">
        <v>0</v>
      </c>
      <c r="I514">
        <v>0</v>
      </c>
      <c r="J514">
        <v>0</v>
      </c>
      <c r="K514">
        <v>40000</v>
      </c>
      <c r="L514" s="84" t="s">
        <v>1484</v>
      </c>
      <c r="M514">
        <v>4</v>
      </c>
      <c r="N514" s="84" t="s">
        <v>1127</v>
      </c>
      <c r="O514" s="84" t="s">
        <v>1128</v>
      </c>
    </row>
    <row r="515" spans="1:15" x14ac:dyDescent="0.25">
      <c r="A515" s="84" t="s">
        <v>758</v>
      </c>
      <c r="B515" s="84" t="s">
        <v>795</v>
      </c>
      <c r="C515" s="84" t="s">
        <v>796</v>
      </c>
      <c r="D515" s="84" t="s">
        <v>2017</v>
      </c>
      <c r="E515" s="70">
        <v>43814</v>
      </c>
      <c r="F515" s="84" t="s">
        <v>1611</v>
      </c>
      <c r="G515">
        <v>120000</v>
      </c>
      <c r="H515">
        <v>0</v>
      </c>
      <c r="I515">
        <v>0</v>
      </c>
      <c r="J515">
        <v>0</v>
      </c>
      <c r="K515">
        <v>120000</v>
      </c>
      <c r="L515" s="84" t="s">
        <v>1485</v>
      </c>
      <c r="M515">
        <v>4</v>
      </c>
      <c r="N515" s="84" t="s">
        <v>1127</v>
      </c>
      <c r="O515" s="84" t="s">
        <v>1128</v>
      </c>
    </row>
    <row r="516" spans="1:15" x14ac:dyDescent="0.25">
      <c r="A516" s="84" t="s">
        <v>758</v>
      </c>
      <c r="B516" s="84" t="s">
        <v>797</v>
      </c>
      <c r="C516" s="84" t="s">
        <v>798</v>
      </c>
      <c r="D516" s="84" t="s">
        <v>2018</v>
      </c>
      <c r="E516" s="70">
        <v>43971</v>
      </c>
      <c r="F516" s="84" t="s">
        <v>1609</v>
      </c>
      <c r="G516">
        <v>0</v>
      </c>
      <c r="H516">
        <v>0</v>
      </c>
      <c r="I516">
        <v>0</v>
      </c>
      <c r="J516">
        <v>0</v>
      </c>
      <c r="K516">
        <v>0</v>
      </c>
      <c r="L516" s="84" t="s">
        <v>1486</v>
      </c>
      <c r="M516">
        <v>-1</v>
      </c>
      <c r="N516" s="84" t="s">
        <v>1127</v>
      </c>
      <c r="O516" s="84" t="s">
        <v>1128</v>
      </c>
    </row>
    <row r="517" spans="1:15" x14ac:dyDescent="0.25">
      <c r="A517" s="84" t="s">
        <v>799</v>
      </c>
      <c r="B517" s="84" t="s">
        <v>1487</v>
      </c>
      <c r="C517" s="84" t="s">
        <v>1488</v>
      </c>
      <c r="D517" s="84" t="s">
        <v>2019</v>
      </c>
      <c r="E517" s="70">
        <v>44693</v>
      </c>
      <c r="F517" s="84" t="s">
        <v>1609</v>
      </c>
      <c r="G517">
        <v>0</v>
      </c>
      <c r="H517">
        <v>43</v>
      </c>
      <c r="I517">
        <v>43</v>
      </c>
      <c r="J517">
        <v>245</v>
      </c>
      <c r="K517">
        <v>-43</v>
      </c>
      <c r="L517" s="84" t="s">
        <v>1489</v>
      </c>
      <c r="M517">
        <v>-1</v>
      </c>
      <c r="N517" s="84" t="s">
        <v>1240</v>
      </c>
      <c r="O517" s="84" t="s">
        <v>2476</v>
      </c>
    </row>
    <row r="518" spans="1:15" x14ac:dyDescent="0.25">
      <c r="A518" s="84" t="s">
        <v>799</v>
      </c>
      <c r="B518" s="84" t="s">
        <v>800</v>
      </c>
      <c r="C518" s="84" t="s">
        <v>801</v>
      </c>
      <c r="D518" s="84" t="s">
        <v>2020</v>
      </c>
      <c r="E518" s="70">
        <v>44723</v>
      </c>
      <c r="F518" s="84" t="s">
        <v>1609</v>
      </c>
      <c r="G518">
        <v>0</v>
      </c>
      <c r="H518">
        <v>0</v>
      </c>
      <c r="I518">
        <v>0</v>
      </c>
      <c r="J518">
        <v>0</v>
      </c>
      <c r="K518">
        <v>0</v>
      </c>
      <c r="L518" s="84" t="s">
        <v>1490</v>
      </c>
      <c r="M518">
        <v>-1</v>
      </c>
      <c r="N518" s="84" t="s">
        <v>1127</v>
      </c>
      <c r="O518" s="84" t="s">
        <v>1128</v>
      </c>
    </row>
    <row r="519" spans="1:15" x14ac:dyDescent="0.25">
      <c r="A519" s="84" t="s">
        <v>799</v>
      </c>
      <c r="B519" s="84" t="s">
        <v>802</v>
      </c>
      <c r="C519" s="84" t="s">
        <v>2285</v>
      </c>
      <c r="D519" s="84" t="s">
        <v>2021</v>
      </c>
      <c r="E519" s="70">
        <v>44726</v>
      </c>
      <c r="F519" s="84" t="s">
        <v>1609</v>
      </c>
      <c r="G519">
        <v>0</v>
      </c>
      <c r="H519">
        <v>0</v>
      </c>
      <c r="I519">
        <v>0</v>
      </c>
      <c r="J519">
        <v>0</v>
      </c>
      <c r="K519">
        <v>0</v>
      </c>
      <c r="L519" s="84" t="s">
        <v>1491</v>
      </c>
      <c r="M519">
        <v>-1</v>
      </c>
      <c r="N519" s="84" t="s">
        <v>1127</v>
      </c>
      <c r="O519" s="84" t="s">
        <v>1128</v>
      </c>
    </row>
    <row r="520" spans="1:15" x14ac:dyDescent="0.25">
      <c r="A520" s="84" t="s">
        <v>799</v>
      </c>
      <c r="B520" s="84" t="s">
        <v>803</v>
      </c>
      <c r="C520" s="84" t="s">
        <v>1492</v>
      </c>
      <c r="D520" s="84" t="s">
        <v>2022</v>
      </c>
      <c r="E520" s="70">
        <v>44727</v>
      </c>
      <c r="F520" s="84" t="s">
        <v>1609</v>
      </c>
      <c r="G520">
        <v>0</v>
      </c>
      <c r="H520">
        <v>3918</v>
      </c>
      <c r="I520">
        <v>0</v>
      </c>
      <c r="J520">
        <v>0</v>
      </c>
      <c r="K520">
        <v>0</v>
      </c>
      <c r="L520" s="84" t="s">
        <v>1493</v>
      </c>
      <c r="M520">
        <v>-1</v>
      </c>
      <c r="N520" s="84" t="s">
        <v>1127</v>
      </c>
      <c r="O520" s="84" t="s">
        <v>1128</v>
      </c>
    </row>
    <row r="521" spans="1:15" x14ac:dyDescent="0.25">
      <c r="A521" s="84" t="s">
        <v>799</v>
      </c>
      <c r="B521" s="84" t="s">
        <v>804</v>
      </c>
      <c r="C521" s="84" t="s">
        <v>805</v>
      </c>
      <c r="D521" s="84" t="s">
        <v>2023</v>
      </c>
      <c r="E521" s="70">
        <v>44728</v>
      </c>
      <c r="F521" s="84" t="s">
        <v>1611</v>
      </c>
      <c r="G521">
        <v>80000</v>
      </c>
      <c r="H521">
        <v>3</v>
      </c>
      <c r="I521">
        <v>3</v>
      </c>
      <c r="J521">
        <v>233</v>
      </c>
      <c r="K521">
        <v>79997</v>
      </c>
      <c r="L521" s="84" t="s">
        <v>1494</v>
      </c>
      <c r="M521">
        <v>4</v>
      </c>
      <c r="N521" s="84" t="s">
        <v>1127</v>
      </c>
      <c r="O521" s="84" t="s">
        <v>2286</v>
      </c>
    </row>
    <row r="522" spans="1:15" x14ac:dyDescent="0.25">
      <c r="A522" s="84" t="s">
        <v>799</v>
      </c>
      <c r="B522" s="84" t="s">
        <v>806</v>
      </c>
      <c r="C522" s="84" t="s">
        <v>807</v>
      </c>
      <c r="D522" s="84" t="s">
        <v>2024</v>
      </c>
      <c r="E522" s="70">
        <v>44730</v>
      </c>
      <c r="F522" s="84" t="s">
        <v>1611</v>
      </c>
      <c r="G522">
        <v>40000</v>
      </c>
      <c r="H522">
        <v>0</v>
      </c>
      <c r="I522">
        <v>0</v>
      </c>
      <c r="J522">
        <v>0</v>
      </c>
      <c r="K522">
        <v>40000</v>
      </c>
      <c r="L522" s="84" t="s">
        <v>1495</v>
      </c>
      <c r="M522">
        <v>4</v>
      </c>
      <c r="N522" s="84" t="s">
        <v>1127</v>
      </c>
      <c r="O522" s="84" t="s">
        <v>1128</v>
      </c>
    </row>
    <row r="523" spans="1:15" x14ac:dyDescent="0.25">
      <c r="A523" s="84" t="s">
        <v>799</v>
      </c>
      <c r="B523" s="84" t="s">
        <v>808</v>
      </c>
      <c r="C523" s="84" t="s">
        <v>809</v>
      </c>
      <c r="D523" s="84" t="s">
        <v>2025</v>
      </c>
      <c r="E523" s="70">
        <v>44730</v>
      </c>
      <c r="F523" s="84" t="s">
        <v>1609</v>
      </c>
      <c r="G523">
        <v>0</v>
      </c>
      <c r="H523">
        <v>0</v>
      </c>
      <c r="I523">
        <v>0</v>
      </c>
      <c r="J523">
        <v>0</v>
      </c>
      <c r="K523">
        <v>0</v>
      </c>
      <c r="L523" s="84" t="s">
        <v>1495</v>
      </c>
      <c r="M523">
        <v>-1</v>
      </c>
      <c r="N523" s="84" t="s">
        <v>1127</v>
      </c>
      <c r="O523" s="84" t="s">
        <v>1128</v>
      </c>
    </row>
    <row r="524" spans="1:15" x14ac:dyDescent="0.25">
      <c r="A524" s="84" t="s">
        <v>799</v>
      </c>
      <c r="B524" s="84" t="s">
        <v>810</v>
      </c>
      <c r="C524" s="84" t="s">
        <v>811</v>
      </c>
      <c r="D524" s="84" t="s">
        <v>2026</v>
      </c>
      <c r="E524" s="70">
        <v>44734</v>
      </c>
      <c r="F524" s="84" t="s">
        <v>1611</v>
      </c>
      <c r="G524">
        <v>40000</v>
      </c>
      <c r="H524">
        <v>0</v>
      </c>
      <c r="I524">
        <v>0</v>
      </c>
      <c r="J524">
        <v>0</v>
      </c>
      <c r="K524">
        <v>40000</v>
      </c>
      <c r="L524" s="84" t="s">
        <v>1496</v>
      </c>
      <c r="M524">
        <v>4</v>
      </c>
      <c r="N524" s="84" t="s">
        <v>1127</v>
      </c>
      <c r="O524" s="84" t="s">
        <v>1128</v>
      </c>
    </row>
    <row r="525" spans="1:15" x14ac:dyDescent="0.25">
      <c r="A525" s="84" t="s">
        <v>799</v>
      </c>
      <c r="B525" s="84" t="s">
        <v>812</v>
      </c>
      <c r="C525" s="84" t="s">
        <v>813</v>
      </c>
      <c r="D525" s="84" t="s">
        <v>2027</v>
      </c>
      <c r="E525" s="70">
        <v>44742</v>
      </c>
      <c r="F525" s="84" t="s">
        <v>1611</v>
      </c>
      <c r="G525">
        <v>60000</v>
      </c>
      <c r="H525">
        <v>0</v>
      </c>
      <c r="I525">
        <v>0</v>
      </c>
      <c r="J525">
        <v>0</v>
      </c>
      <c r="K525">
        <v>60000</v>
      </c>
      <c r="L525" s="84" t="s">
        <v>1497</v>
      </c>
      <c r="M525">
        <v>4</v>
      </c>
      <c r="N525" s="84" t="s">
        <v>1127</v>
      </c>
      <c r="O525" s="84" t="s">
        <v>1128</v>
      </c>
    </row>
    <row r="526" spans="1:15" x14ac:dyDescent="0.25">
      <c r="A526" s="84" t="s">
        <v>799</v>
      </c>
      <c r="B526" s="84" t="s">
        <v>814</v>
      </c>
      <c r="C526" s="84" t="s">
        <v>815</v>
      </c>
      <c r="D526" s="84" t="s">
        <v>2028</v>
      </c>
      <c r="E526" s="70">
        <v>44744</v>
      </c>
      <c r="F526" s="84" t="s">
        <v>1609</v>
      </c>
      <c r="G526">
        <v>0</v>
      </c>
      <c r="H526">
        <v>0</v>
      </c>
      <c r="I526">
        <v>0</v>
      </c>
      <c r="J526">
        <v>0</v>
      </c>
      <c r="K526">
        <v>0</v>
      </c>
      <c r="L526" s="84" t="s">
        <v>1498</v>
      </c>
      <c r="M526">
        <v>-1</v>
      </c>
      <c r="N526" s="84" t="s">
        <v>1127</v>
      </c>
      <c r="O526" s="84" t="s">
        <v>1128</v>
      </c>
    </row>
    <row r="527" spans="1:15" x14ac:dyDescent="0.25">
      <c r="A527" s="84" t="s">
        <v>799</v>
      </c>
      <c r="B527" s="84" t="s">
        <v>816</v>
      </c>
      <c r="C527" s="84" t="s">
        <v>817</v>
      </c>
      <c r="D527" s="84" t="s">
        <v>2029</v>
      </c>
      <c r="E527" s="70">
        <v>44761</v>
      </c>
      <c r="F527" s="84" t="s">
        <v>1609</v>
      </c>
      <c r="G527">
        <v>0</v>
      </c>
      <c r="H527">
        <v>0</v>
      </c>
      <c r="I527">
        <v>0</v>
      </c>
      <c r="J527">
        <v>0</v>
      </c>
      <c r="K527">
        <v>0</v>
      </c>
      <c r="L527" s="84" t="s">
        <v>1499</v>
      </c>
      <c r="M527">
        <v>-1</v>
      </c>
      <c r="N527" s="84" t="s">
        <v>1127</v>
      </c>
      <c r="O527" s="84" t="s">
        <v>1128</v>
      </c>
    </row>
    <row r="528" spans="1:15" x14ac:dyDescent="0.25">
      <c r="A528" s="84" t="s">
        <v>799</v>
      </c>
      <c r="B528" s="84" t="s">
        <v>818</v>
      </c>
      <c r="C528" s="84" t="s">
        <v>819</v>
      </c>
      <c r="D528" s="84" t="s">
        <v>2030</v>
      </c>
      <c r="E528" s="70">
        <v>44775</v>
      </c>
      <c r="F528" s="84" t="s">
        <v>1611</v>
      </c>
      <c r="G528">
        <v>28000</v>
      </c>
      <c r="H528">
        <v>0</v>
      </c>
      <c r="I528">
        <v>0</v>
      </c>
      <c r="J528">
        <v>0</v>
      </c>
      <c r="K528">
        <v>28000</v>
      </c>
      <c r="L528" s="84" t="s">
        <v>1500</v>
      </c>
      <c r="M528">
        <v>4</v>
      </c>
      <c r="N528" s="84" t="s">
        <v>1127</v>
      </c>
      <c r="O528" s="84" t="s">
        <v>1128</v>
      </c>
    </row>
    <row r="529" spans="1:15" x14ac:dyDescent="0.25">
      <c r="A529" s="84" t="s">
        <v>799</v>
      </c>
      <c r="B529" s="84" t="s">
        <v>820</v>
      </c>
      <c r="C529" s="84" t="s">
        <v>821</v>
      </c>
      <c r="D529" s="84" t="s">
        <v>2031</v>
      </c>
      <c r="E529" s="70">
        <v>44833</v>
      </c>
      <c r="F529" s="84" t="s">
        <v>1611</v>
      </c>
      <c r="G529">
        <v>16000</v>
      </c>
      <c r="H529">
        <v>965</v>
      </c>
      <c r="I529">
        <v>965</v>
      </c>
      <c r="J529">
        <v>355</v>
      </c>
      <c r="K529">
        <v>15035</v>
      </c>
      <c r="L529" s="84" t="s">
        <v>1501</v>
      </c>
      <c r="M529">
        <v>4</v>
      </c>
      <c r="N529" s="84" t="s">
        <v>1127</v>
      </c>
      <c r="O529" s="84" t="s">
        <v>2264</v>
      </c>
    </row>
    <row r="530" spans="1:15" x14ac:dyDescent="0.25">
      <c r="A530" s="84" t="s">
        <v>799</v>
      </c>
      <c r="B530" s="84" t="s">
        <v>947</v>
      </c>
      <c r="C530" s="84" t="s">
        <v>971</v>
      </c>
      <c r="D530" s="84" t="s">
        <v>2032</v>
      </c>
      <c r="E530" s="70">
        <v>44942</v>
      </c>
      <c r="F530" s="84" t="s">
        <v>1609</v>
      </c>
      <c r="G530">
        <v>0</v>
      </c>
      <c r="H530">
        <v>-92</v>
      </c>
      <c r="I530">
        <v>-92</v>
      </c>
      <c r="J530">
        <v>99</v>
      </c>
      <c r="K530">
        <v>0</v>
      </c>
      <c r="L530" s="84" t="s">
        <v>1502</v>
      </c>
      <c r="M530">
        <v>-1</v>
      </c>
      <c r="N530" s="84" t="s">
        <v>1127</v>
      </c>
      <c r="O530" s="84" t="s">
        <v>1128</v>
      </c>
    </row>
    <row r="531" spans="1:15" x14ac:dyDescent="0.25">
      <c r="A531" s="84" t="s">
        <v>799</v>
      </c>
      <c r="B531" s="84" t="s">
        <v>948</v>
      </c>
      <c r="C531" s="84" t="s">
        <v>972</v>
      </c>
      <c r="D531" s="84" t="s">
        <v>2033</v>
      </c>
      <c r="E531" s="70">
        <v>44948</v>
      </c>
      <c r="F531" s="84" t="s">
        <v>1609</v>
      </c>
      <c r="G531">
        <v>0</v>
      </c>
      <c r="H531">
        <v>-257.5</v>
      </c>
      <c r="I531">
        <v>-257.5</v>
      </c>
      <c r="J531">
        <v>104</v>
      </c>
      <c r="K531">
        <v>0</v>
      </c>
      <c r="L531" s="84" t="s">
        <v>1503</v>
      </c>
      <c r="M531">
        <v>-1</v>
      </c>
      <c r="N531" s="84" t="s">
        <v>1127</v>
      </c>
      <c r="O531" s="84" t="s">
        <v>1128</v>
      </c>
    </row>
    <row r="532" spans="1:15" x14ac:dyDescent="0.25">
      <c r="A532" s="84" t="s">
        <v>799</v>
      </c>
      <c r="B532" s="84" t="s">
        <v>949</v>
      </c>
      <c r="C532" s="84" t="s">
        <v>973</v>
      </c>
      <c r="D532" s="84" t="s">
        <v>2034</v>
      </c>
      <c r="E532" s="70">
        <v>44963</v>
      </c>
      <c r="F532" s="84" t="s">
        <v>1609</v>
      </c>
      <c r="G532">
        <v>0</v>
      </c>
      <c r="H532">
        <v>-1.25</v>
      </c>
      <c r="I532">
        <v>-1.25</v>
      </c>
      <c r="J532">
        <v>191</v>
      </c>
      <c r="K532">
        <v>0</v>
      </c>
      <c r="L532" s="84" t="s">
        <v>1504</v>
      </c>
      <c r="M532">
        <v>-1</v>
      </c>
      <c r="N532" s="84" t="s">
        <v>1127</v>
      </c>
      <c r="O532" s="84" t="s">
        <v>1128</v>
      </c>
    </row>
    <row r="533" spans="1:15" x14ac:dyDescent="0.25">
      <c r="A533" s="84" t="s">
        <v>238</v>
      </c>
      <c r="B533" s="84" t="s">
        <v>822</v>
      </c>
      <c r="C533" s="84" t="s">
        <v>823</v>
      </c>
      <c r="D533" s="84" t="s">
        <v>2035</v>
      </c>
      <c r="E533" s="70">
        <v>44320</v>
      </c>
      <c r="F533" s="84" t="s">
        <v>1609</v>
      </c>
      <c r="G533">
        <v>0</v>
      </c>
      <c r="H533">
        <v>0</v>
      </c>
      <c r="I533">
        <v>0</v>
      </c>
      <c r="J533">
        <v>0</v>
      </c>
      <c r="K533">
        <v>0</v>
      </c>
      <c r="L533" s="84" t="s">
        <v>1505</v>
      </c>
      <c r="M533">
        <v>-1</v>
      </c>
      <c r="N533" s="84" t="s">
        <v>1127</v>
      </c>
      <c r="O533" s="84" t="s">
        <v>1128</v>
      </c>
    </row>
    <row r="534" spans="1:15" x14ac:dyDescent="0.25">
      <c r="A534" s="84" t="s">
        <v>238</v>
      </c>
      <c r="B534" s="84" t="s">
        <v>824</v>
      </c>
      <c r="C534" s="84" t="s">
        <v>825</v>
      </c>
      <c r="D534" s="84" t="s">
        <v>2036</v>
      </c>
      <c r="E534" s="70">
        <v>44338</v>
      </c>
      <c r="F534" s="84" t="s">
        <v>1609</v>
      </c>
      <c r="G534">
        <v>0</v>
      </c>
      <c r="H534">
        <v>0</v>
      </c>
      <c r="I534">
        <v>0</v>
      </c>
      <c r="J534">
        <v>0</v>
      </c>
      <c r="K534">
        <v>0</v>
      </c>
      <c r="L534" s="84" t="s">
        <v>1506</v>
      </c>
      <c r="M534">
        <v>-1</v>
      </c>
      <c r="N534" s="84" t="s">
        <v>1127</v>
      </c>
      <c r="O534" s="84" t="s">
        <v>1128</v>
      </c>
    </row>
    <row r="535" spans="1:15" x14ac:dyDescent="0.25">
      <c r="A535" s="84" t="s">
        <v>74</v>
      </c>
      <c r="B535" s="84" t="s">
        <v>826</v>
      </c>
      <c r="C535" s="84" t="s">
        <v>2287</v>
      </c>
      <c r="D535" s="84" t="s">
        <v>2037</v>
      </c>
      <c r="E535" s="70">
        <v>44341</v>
      </c>
      <c r="F535" s="84" t="s">
        <v>1609</v>
      </c>
      <c r="G535">
        <v>0</v>
      </c>
      <c r="H535">
        <v>0</v>
      </c>
      <c r="I535">
        <v>0</v>
      </c>
      <c r="J535">
        <v>0</v>
      </c>
      <c r="K535">
        <v>0</v>
      </c>
      <c r="L535" s="84" t="s">
        <v>1507</v>
      </c>
      <c r="M535">
        <v>-1</v>
      </c>
      <c r="N535" s="84" t="s">
        <v>1127</v>
      </c>
      <c r="O535" s="84" t="s">
        <v>1128</v>
      </c>
    </row>
    <row r="536" spans="1:15" x14ac:dyDescent="0.25">
      <c r="A536" s="84" t="s">
        <v>238</v>
      </c>
      <c r="B536" s="84" t="s">
        <v>827</v>
      </c>
      <c r="C536" s="84" t="s">
        <v>828</v>
      </c>
      <c r="D536" s="84" t="s">
        <v>2038</v>
      </c>
      <c r="E536" s="70">
        <v>44342</v>
      </c>
      <c r="F536" s="84" t="s">
        <v>1609</v>
      </c>
      <c r="G536">
        <v>0</v>
      </c>
      <c r="H536">
        <v>0</v>
      </c>
      <c r="I536">
        <v>0</v>
      </c>
      <c r="J536">
        <v>0</v>
      </c>
      <c r="K536">
        <v>0</v>
      </c>
      <c r="L536" s="84" t="s">
        <v>1508</v>
      </c>
      <c r="M536">
        <v>-1</v>
      </c>
      <c r="N536" s="84" t="s">
        <v>1127</v>
      </c>
      <c r="O536" s="84" t="s">
        <v>1128</v>
      </c>
    </row>
    <row r="537" spans="1:15" x14ac:dyDescent="0.25">
      <c r="A537" s="84" t="s">
        <v>238</v>
      </c>
      <c r="B537" s="84" t="s">
        <v>950</v>
      </c>
      <c r="C537" s="84" t="s">
        <v>974</v>
      </c>
      <c r="D537" s="84" t="s">
        <v>2039</v>
      </c>
      <c r="E537" s="70">
        <v>44992</v>
      </c>
      <c r="F537" s="84" t="s">
        <v>1609</v>
      </c>
      <c r="G537">
        <v>0</v>
      </c>
      <c r="H537">
        <v>0</v>
      </c>
      <c r="I537">
        <v>0</v>
      </c>
      <c r="J537">
        <v>0</v>
      </c>
      <c r="K537">
        <v>0</v>
      </c>
      <c r="L537" s="84" t="s">
        <v>1509</v>
      </c>
      <c r="M537">
        <v>-1</v>
      </c>
      <c r="N537" s="84" t="s">
        <v>1127</v>
      </c>
      <c r="O537" s="84" t="s">
        <v>1128</v>
      </c>
    </row>
    <row r="538" spans="1:15" x14ac:dyDescent="0.25">
      <c r="A538" s="84" t="s">
        <v>238</v>
      </c>
      <c r="B538" s="84" t="s">
        <v>951</v>
      </c>
      <c r="C538" s="84" t="s">
        <v>975</v>
      </c>
      <c r="D538" s="84" t="s">
        <v>2040</v>
      </c>
      <c r="E538" s="70">
        <v>44992</v>
      </c>
      <c r="F538" s="84" t="s">
        <v>1611</v>
      </c>
      <c r="G538">
        <v>80000</v>
      </c>
      <c r="H538">
        <v>0</v>
      </c>
      <c r="I538">
        <v>0</v>
      </c>
      <c r="J538">
        <v>0</v>
      </c>
      <c r="K538">
        <v>80000</v>
      </c>
      <c r="L538" s="84" t="s">
        <v>1509</v>
      </c>
      <c r="M538">
        <v>4</v>
      </c>
      <c r="N538" s="84" t="s">
        <v>1127</v>
      </c>
      <c r="O538" s="84" t="s">
        <v>1128</v>
      </c>
    </row>
    <row r="539" spans="1:15" x14ac:dyDescent="0.25">
      <c r="A539" s="84" t="s">
        <v>238</v>
      </c>
      <c r="B539" s="84" t="s">
        <v>2291</v>
      </c>
      <c r="C539" s="84" t="s">
        <v>2302</v>
      </c>
      <c r="D539" s="84" t="s">
        <v>2303</v>
      </c>
      <c r="E539" s="70">
        <v>45145</v>
      </c>
      <c r="F539" s="84" t="s">
        <v>1609</v>
      </c>
      <c r="G539">
        <v>0</v>
      </c>
      <c r="H539">
        <v>0</v>
      </c>
      <c r="I539">
        <v>0</v>
      </c>
      <c r="J539">
        <v>0</v>
      </c>
      <c r="K539">
        <v>0</v>
      </c>
      <c r="L539" s="84" t="s">
        <v>2162</v>
      </c>
      <c r="M539">
        <v>-1</v>
      </c>
      <c r="N539" s="84" t="s">
        <v>1127</v>
      </c>
      <c r="O539" s="84" t="s">
        <v>1128</v>
      </c>
    </row>
    <row r="540" spans="1:15" x14ac:dyDescent="0.25">
      <c r="A540" s="84" t="s">
        <v>1510</v>
      </c>
      <c r="B540" s="84" t="s">
        <v>1511</v>
      </c>
      <c r="C540" s="84" t="s">
        <v>1512</v>
      </c>
      <c r="D540" s="84" t="s">
        <v>2041</v>
      </c>
      <c r="E540" s="70">
        <v>44909</v>
      </c>
      <c r="F540" s="84" t="s">
        <v>1609</v>
      </c>
      <c r="G540">
        <v>0</v>
      </c>
      <c r="H540">
        <v>112</v>
      </c>
      <c r="I540">
        <v>112</v>
      </c>
      <c r="J540">
        <v>279</v>
      </c>
      <c r="K540">
        <v>-112</v>
      </c>
      <c r="L540" s="84" t="s">
        <v>1513</v>
      </c>
      <c r="M540">
        <v>-1</v>
      </c>
      <c r="N540" s="84" t="s">
        <v>1240</v>
      </c>
      <c r="O540" s="84" t="s">
        <v>2189</v>
      </c>
    </row>
    <row r="541" spans="1:15" x14ac:dyDescent="0.25">
      <c r="A541" s="84" t="s">
        <v>6</v>
      </c>
      <c r="B541" s="84" t="s">
        <v>1514</v>
      </c>
      <c r="C541" s="84" t="s">
        <v>1515</v>
      </c>
      <c r="D541" s="84" t="s">
        <v>2042</v>
      </c>
      <c r="E541" s="70">
        <v>44031</v>
      </c>
      <c r="F541" s="84" t="s">
        <v>1609</v>
      </c>
      <c r="G541">
        <v>0</v>
      </c>
      <c r="H541">
        <v>3981</v>
      </c>
      <c r="I541">
        <v>3981</v>
      </c>
      <c r="J541">
        <v>261</v>
      </c>
      <c r="K541">
        <v>-3981</v>
      </c>
      <c r="L541" s="84" t="s">
        <v>1516</v>
      </c>
      <c r="M541">
        <v>-1</v>
      </c>
      <c r="N541" s="84" t="s">
        <v>1240</v>
      </c>
      <c r="O541" s="84" t="s">
        <v>2265</v>
      </c>
    </row>
  </sheetData>
  <phoneticPr fontId="26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E28A0F-198B-43DD-A436-0F232C3EFE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 Data</vt:lpstr>
      <vt:lpstr>Summary</vt:lpstr>
      <vt:lpstr>Other Data</vt:lpstr>
      <vt:lpstr>Legend</vt:lpstr>
      <vt:lpstr>SAP Customer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OnlineReps</dc:creator>
  <cp:lastModifiedBy>Osama</cp:lastModifiedBy>
  <cp:lastPrinted>2023-07-24T12:34:59Z</cp:lastPrinted>
  <dcterms:created xsi:type="dcterms:W3CDTF">2023-05-28T12:57:02Z</dcterms:created>
  <dcterms:modified xsi:type="dcterms:W3CDTF">2023-10-16T12:23:56Z</dcterms:modified>
</cp:coreProperties>
</file>