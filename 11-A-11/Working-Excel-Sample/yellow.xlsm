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YN\Desktop\New folder\Follow Up\All Customer\"/>
    </mc:Choice>
  </mc:AlternateContent>
  <xr:revisionPtr revIDLastSave="0" documentId="13_ncr:1_{FF394DAF-DD0D-4105-8DEE-5A4CCAA99865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Customer Data " sheetId="7" r:id="rId1"/>
    <sheet name="Other Data" sheetId="2" r:id="rId2"/>
    <sheet name="Legend" sheetId="6" r:id="rId3"/>
    <sheet name="SAP Customer Data " sheetId="5" r:id="rId4"/>
  </sheets>
  <definedNames>
    <definedName name="_xlnm._FilterDatabase" localSheetId="2" hidden="1">Legend!$A$1:$D$51</definedName>
    <definedName name="ExternalData_1" localSheetId="3" hidden="1">'SAP Customer Data '!$A$1:$O$174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7" l="1" a="1"/>
  <c r="C2" i="7" s="1"/>
  <c r="W172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04" i="7"/>
  <c r="W8" i="7"/>
  <c r="W9" i="7"/>
  <c r="W10" i="7"/>
  <c r="W11" i="7"/>
  <c r="W12" i="7"/>
  <c r="W13" i="7"/>
  <c r="W14" i="7"/>
  <c r="W15" i="7"/>
  <c r="W22" i="7"/>
  <c r="W23" i="7"/>
  <c r="Y23" i="7" s="1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AT172" i="7" a="1"/>
  <c r="AT172" i="7" s="1"/>
  <c r="AS172" i="7"/>
  <c r="AP172" i="7"/>
  <c r="AM172" i="7"/>
  <c r="AJ172" i="7"/>
  <c r="AG172" i="7"/>
  <c r="AD172" i="7"/>
  <c r="X172" i="7" a="1"/>
  <c r="X172" i="7" s="1"/>
  <c r="D172" i="7" s="1"/>
  <c r="V172" i="7"/>
  <c r="R172" i="7"/>
  <c r="N172" i="7" a="1"/>
  <c r="N172" i="7" s="1"/>
  <c r="O172" i="7" s="1"/>
  <c r="L172" i="7"/>
  <c r="H172" i="7"/>
  <c r="C172" i="7" a="1"/>
  <c r="C172" i="7" s="1"/>
  <c r="AT171" i="7" a="1"/>
  <c r="AT171" i="7" s="1"/>
  <c r="AS171" i="7"/>
  <c r="AP171" i="7"/>
  <c r="AM171" i="7"/>
  <c r="AJ171" i="7"/>
  <c r="AG171" i="7"/>
  <c r="AD171" i="7"/>
  <c r="X171" i="7" a="1"/>
  <c r="X171" i="7" s="1"/>
  <c r="D171" i="7" s="1"/>
  <c r="V171" i="7"/>
  <c r="R171" i="7"/>
  <c r="N171" i="7" a="1"/>
  <c r="N171" i="7" s="1"/>
  <c r="O171" i="7" s="1"/>
  <c r="L171" i="7"/>
  <c r="H171" i="7"/>
  <c r="C171" i="7" a="1"/>
  <c r="C171" i="7" s="1"/>
  <c r="A171" i="7" a="1"/>
  <c r="A171" i="7" s="1"/>
  <c r="AT170" i="7" a="1"/>
  <c r="AT170" i="7" s="1"/>
  <c r="AS170" i="7"/>
  <c r="AP170" i="7"/>
  <c r="AM170" i="7"/>
  <c r="AJ170" i="7"/>
  <c r="AG170" i="7"/>
  <c r="AD170" i="7"/>
  <c r="X170" i="7" a="1"/>
  <c r="X170" i="7" s="1"/>
  <c r="D170" i="7" s="1"/>
  <c r="V170" i="7"/>
  <c r="R170" i="7"/>
  <c r="N170" i="7" a="1"/>
  <c r="N170" i="7" s="1"/>
  <c r="O170" i="7" s="1"/>
  <c r="L170" i="7"/>
  <c r="H170" i="7"/>
  <c r="C170" i="7" a="1"/>
  <c r="C170" i="7" s="1"/>
  <c r="A170" i="7" a="1"/>
  <c r="A170" i="7" s="1"/>
  <c r="AT169" i="7" a="1"/>
  <c r="AT169" i="7" s="1"/>
  <c r="AS169" i="7"/>
  <c r="AP169" i="7"/>
  <c r="AM169" i="7"/>
  <c r="AJ169" i="7"/>
  <c r="AG169" i="7"/>
  <c r="AD169" i="7"/>
  <c r="X169" i="7" a="1"/>
  <c r="X169" i="7" s="1"/>
  <c r="Y169" i="7" s="1"/>
  <c r="V169" i="7"/>
  <c r="R169" i="7"/>
  <c r="N169" i="7" a="1"/>
  <c r="N169" i="7" s="1"/>
  <c r="O169" i="7" s="1"/>
  <c r="L169" i="7"/>
  <c r="H169" i="7"/>
  <c r="C169" i="7" a="1"/>
  <c r="C169" i="7" s="1"/>
  <c r="A169" i="7" a="1"/>
  <c r="A169" i="7" s="1"/>
  <c r="AT168" i="7" a="1"/>
  <c r="AT168" i="7" s="1"/>
  <c r="AS168" i="7"/>
  <c r="AP168" i="7"/>
  <c r="AM168" i="7"/>
  <c r="AJ168" i="7"/>
  <c r="AG168" i="7"/>
  <c r="AD168" i="7"/>
  <c r="X168" i="7" a="1"/>
  <c r="X168" i="7" s="1"/>
  <c r="V168" i="7"/>
  <c r="R168" i="7"/>
  <c r="N168" i="7" a="1"/>
  <c r="N168" i="7" s="1"/>
  <c r="O168" i="7" s="1"/>
  <c r="L168" i="7"/>
  <c r="H168" i="7"/>
  <c r="C168" i="7" a="1"/>
  <c r="C168" i="7" s="1"/>
  <c r="A168" i="7" a="1"/>
  <c r="A168" i="7" s="1"/>
  <c r="AT167" i="7" a="1"/>
  <c r="AT167" i="7" s="1"/>
  <c r="AS167" i="7"/>
  <c r="AP167" i="7"/>
  <c r="AM167" i="7"/>
  <c r="AJ167" i="7"/>
  <c r="AG167" i="7"/>
  <c r="AD167" i="7"/>
  <c r="X167" i="7" a="1"/>
  <c r="X167" i="7" s="1"/>
  <c r="V167" i="7"/>
  <c r="R167" i="7"/>
  <c r="N167" i="7" a="1"/>
  <c r="N167" i="7" s="1"/>
  <c r="O167" i="7" s="1"/>
  <c r="L167" i="7"/>
  <c r="H167" i="7"/>
  <c r="C167" i="7" a="1"/>
  <c r="C167" i="7" s="1"/>
  <c r="A167" i="7" a="1"/>
  <c r="A167" i="7" s="1"/>
  <c r="AT166" i="7" a="1"/>
  <c r="AT166" i="7" s="1"/>
  <c r="AS166" i="7"/>
  <c r="AP166" i="7"/>
  <c r="AM166" i="7"/>
  <c r="AJ166" i="7"/>
  <c r="AG166" i="7"/>
  <c r="AD166" i="7"/>
  <c r="X166" i="7" a="1"/>
  <c r="X166" i="7" s="1"/>
  <c r="D166" i="7" s="1"/>
  <c r="V166" i="7"/>
  <c r="R166" i="7"/>
  <c r="N166" i="7" a="1"/>
  <c r="N166" i="7" s="1"/>
  <c r="O166" i="7" s="1"/>
  <c r="L166" i="7"/>
  <c r="H166" i="7"/>
  <c r="C166" i="7" a="1"/>
  <c r="C166" i="7" s="1"/>
  <c r="A166" i="7" a="1"/>
  <c r="A166" i="7" s="1"/>
  <c r="AT165" i="7" a="1"/>
  <c r="AT165" i="7" s="1"/>
  <c r="AS165" i="7"/>
  <c r="AP165" i="7"/>
  <c r="AM165" i="7"/>
  <c r="AJ165" i="7"/>
  <c r="AG165" i="7"/>
  <c r="AD165" i="7"/>
  <c r="X165" i="7" a="1"/>
  <c r="X165" i="7" s="1"/>
  <c r="Y165" i="7" s="1"/>
  <c r="V165" i="7"/>
  <c r="R165" i="7"/>
  <c r="N165" i="7" a="1"/>
  <c r="N165" i="7" s="1"/>
  <c r="O165" i="7" s="1"/>
  <c r="L165" i="7"/>
  <c r="H165" i="7"/>
  <c r="C165" i="7" a="1"/>
  <c r="C165" i="7" s="1"/>
  <c r="A165" i="7" a="1"/>
  <c r="A165" i="7" s="1"/>
  <c r="AT164" i="7" a="1"/>
  <c r="AT164" i="7" s="1"/>
  <c r="AS164" i="7"/>
  <c r="AP164" i="7"/>
  <c r="AM164" i="7"/>
  <c r="AJ164" i="7"/>
  <c r="AG164" i="7"/>
  <c r="AD164" i="7"/>
  <c r="X164" i="7" a="1"/>
  <c r="X164" i="7" s="1"/>
  <c r="D164" i="7" s="1"/>
  <c r="V164" i="7"/>
  <c r="R164" i="7"/>
  <c r="N164" i="7" a="1"/>
  <c r="N164" i="7" s="1"/>
  <c r="O164" i="7" s="1"/>
  <c r="L164" i="7"/>
  <c r="H164" i="7"/>
  <c r="C164" i="7" a="1"/>
  <c r="C164" i="7" s="1"/>
  <c r="A164" i="7" a="1"/>
  <c r="A164" i="7" s="1"/>
  <c r="AT163" i="7" a="1"/>
  <c r="AT163" i="7" s="1"/>
  <c r="AS163" i="7"/>
  <c r="AP163" i="7"/>
  <c r="AM163" i="7"/>
  <c r="AJ163" i="7"/>
  <c r="AG163" i="7"/>
  <c r="AD163" i="7"/>
  <c r="X163" i="7" a="1"/>
  <c r="X163" i="7" s="1"/>
  <c r="D163" i="7" s="1"/>
  <c r="V163" i="7"/>
  <c r="R163" i="7"/>
  <c r="N163" i="7" a="1"/>
  <c r="N163" i="7" s="1"/>
  <c r="O163" i="7" s="1"/>
  <c r="L163" i="7"/>
  <c r="H163" i="7"/>
  <c r="C163" i="7" a="1"/>
  <c r="C163" i="7" s="1"/>
  <c r="A163" i="7" a="1"/>
  <c r="A163" i="7" s="1"/>
  <c r="AT162" i="7" a="1"/>
  <c r="AT162" i="7" s="1"/>
  <c r="AS162" i="7"/>
  <c r="AP162" i="7"/>
  <c r="AM162" i="7"/>
  <c r="AJ162" i="7"/>
  <c r="AG162" i="7"/>
  <c r="AD162" i="7"/>
  <c r="X162" i="7" a="1"/>
  <c r="X162" i="7" s="1"/>
  <c r="D162" i="7" s="1"/>
  <c r="V162" i="7"/>
  <c r="R162" i="7"/>
  <c r="N162" i="7" a="1"/>
  <c r="N162" i="7" s="1"/>
  <c r="O162" i="7" s="1"/>
  <c r="L162" i="7"/>
  <c r="H162" i="7"/>
  <c r="C162" i="7" a="1"/>
  <c r="C162" i="7" s="1"/>
  <c r="A162" i="7" a="1"/>
  <c r="A162" i="7" s="1"/>
  <c r="AT161" i="7" a="1"/>
  <c r="AT161" i="7" s="1"/>
  <c r="AS161" i="7"/>
  <c r="AP161" i="7"/>
  <c r="AM161" i="7"/>
  <c r="AJ161" i="7"/>
  <c r="AG161" i="7"/>
  <c r="AD161" i="7"/>
  <c r="X161" i="7" a="1"/>
  <c r="X161" i="7" s="1"/>
  <c r="Y161" i="7" s="1"/>
  <c r="V161" i="7"/>
  <c r="R161" i="7"/>
  <c r="N161" i="7" a="1"/>
  <c r="N161" i="7" s="1"/>
  <c r="O161" i="7" s="1"/>
  <c r="L161" i="7"/>
  <c r="H161" i="7"/>
  <c r="C161" i="7" a="1"/>
  <c r="C161" i="7" s="1"/>
  <c r="A161" i="7" a="1"/>
  <c r="A161" i="7" s="1"/>
  <c r="AT160" i="7" a="1"/>
  <c r="AT160" i="7" s="1"/>
  <c r="AS160" i="7"/>
  <c r="AP160" i="7"/>
  <c r="AM160" i="7"/>
  <c r="AJ160" i="7"/>
  <c r="AG160" i="7"/>
  <c r="AD160" i="7"/>
  <c r="X160" i="7" a="1"/>
  <c r="X160" i="7" s="1"/>
  <c r="V160" i="7"/>
  <c r="R160" i="7"/>
  <c r="N160" i="7" a="1"/>
  <c r="N160" i="7" s="1"/>
  <c r="O160" i="7" s="1"/>
  <c r="L160" i="7"/>
  <c r="H160" i="7"/>
  <c r="C160" i="7" a="1"/>
  <c r="C160" i="7" s="1"/>
  <c r="A160" i="7" a="1"/>
  <c r="A160" i="7" s="1"/>
  <c r="AT159" i="7" a="1"/>
  <c r="AT159" i="7" s="1"/>
  <c r="AS159" i="7"/>
  <c r="AP159" i="7"/>
  <c r="AM159" i="7"/>
  <c r="AJ159" i="7"/>
  <c r="AG159" i="7"/>
  <c r="AD159" i="7"/>
  <c r="X159" i="7" a="1"/>
  <c r="X159" i="7" s="1"/>
  <c r="V159" i="7"/>
  <c r="R159" i="7"/>
  <c r="N159" i="7" a="1"/>
  <c r="N159" i="7" s="1"/>
  <c r="O159" i="7" s="1"/>
  <c r="L159" i="7"/>
  <c r="H159" i="7"/>
  <c r="C159" i="7" a="1"/>
  <c r="C159" i="7" s="1"/>
  <c r="A159" i="7" a="1"/>
  <c r="A159" i="7" s="1"/>
  <c r="AT158" i="7" a="1"/>
  <c r="AT158" i="7" s="1"/>
  <c r="AS158" i="7"/>
  <c r="AP158" i="7"/>
  <c r="AM158" i="7"/>
  <c r="AJ158" i="7"/>
  <c r="AG158" i="7"/>
  <c r="AD158" i="7"/>
  <c r="X158" i="7" a="1"/>
  <c r="X158" i="7" s="1"/>
  <c r="D158" i="7" s="1"/>
  <c r="V158" i="7"/>
  <c r="R158" i="7"/>
  <c r="N158" i="7" a="1"/>
  <c r="N158" i="7" s="1"/>
  <c r="O158" i="7" s="1"/>
  <c r="L158" i="7"/>
  <c r="H158" i="7"/>
  <c r="C158" i="7" a="1"/>
  <c r="C158" i="7" s="1"/>
  <c r="A158" i="7" a="1"/>
  <c r="A158" i="7" s="1"/>
  <c r="AT157" i="7" a="1"/>
  <c r="AT157" i="7" s="1"/>
  <c r="AS157" i="7"/>
  <c r="AP157" i="7"/>
  <c r="AM157" i="7"/>
  <c r="AJ157" i="7"/>
  <c r="AG157" i="7"/>
  <c r="AD157" i="7"/>
  <c r="X157" i="7" a="1"/>
  <c r="X157" i="7" s="1"/>
  <c r="D157" i="7" s="1"/>
  <c r="V157" i="7"/>
  <c r="R157" i="7"/>
  <c r="N157" i="7" a="1"/>
  <c r="N157" i="7" s="1"/>
  <c r="O157" i="7" s="1"/>
  <c r="L157" i="7"/>
  <c r="H157" i="7"/>
  <c r="C157" i="7" a="1"/>
  <c r="C157" i="7" s="1"/>
  <c r="A157" i="7" a="1"/>
  <c r="A157" i="7" s="1"/>
  <c r="AT156" i="7" a="1"/>
  <c r="AT156" i="7" s="1"/>
  <c r="AS156" i="7"/>
  <c r="AP156" i="7"/>
  <c r="AM156" i="7"/>
  <c r="AJ156" i="7"/>
  <c r="AG156" i="7"/>
  <c r="AD156" i="7"/>
  <c r="X156" i="7" a="1"/>
  <c r="X156" i="7" s="1"/>
  <c r="D156" i="7" s="1"/>
  <c r="V156" i="7"/>
  <c r="R156" i="7"/>
  <c r="N156" i="7" a="1"/>
  <c r="N156" i="7" s="1"/>
  <c r="O156" i="7" s="1"/>
  <c r="L156" i="7"/>
  <c r="H156" i="7"/>
  <c r="C156" i="7" a="1"/>
  <c r="C156" i="7" s="1"/>
  <c r="A156" i="7" a="1"/>
  <c r="A156" i="7" s="1"/>
  <c r="AT155" i="7" a="1"/>
  <c r="AT155" i="7" s="1"/>
  <c r="AS155" i="7"/>
  <c r="AP155" i="7"/>
  <c r="AM155" i="7"/>
  <c r="AJ155" i="7"/>
  <c r="AG155" i="7"/>
  <c r="AD155" i="7"/>
  <c r="X155" i="7" a="1"/>
  <c r="X155" i="7" s="1"/>
  <c r="D155" i="7" s="1"/>
  <c r="V155" i="7"/>
  <c r="R155" i="7"/>
  <c r="N155" i="7" a="1"/>
  <c r="N155" i="7" s="1"/>
  <c r="O155" i="7" s="1"/>
  <c r="L155" i="7"/>
  <c r="H155" i="7"/>
  <c r="C155" i="7" a="1"/>
  <c r="C155" i="7" s="1"/>
  <c r="A155" i="7" a="1"/>
  <c r="A155" i="7" s="1"/>
  <c r="AT154" i="7" a="1"/>
  <c r="AT154" i="7" s="1"/>
  <c r="AS154" i="7"/>
  <c r="AP154" i="7"/>
  <c r="AM154" i="7"/>
  <c r="AJ154" i="7"/>
  <c r="AG154" i="7"/>
  <c r="AD154" i="7"/>
  <c r="X154" i="7" a="1"/>
  <c r="X154" i="7" s="1"/>
  <c r="D154" i="7" s="1"/>
  <c r="V154" i="7"/>
  <c r="R154" i="7"/>
  <c r="N154" i="7" a="1"/>
  <c r="N154" i="7" s="1"/>
  <c r="O154" i="7" s="1"/>
  <c r="L154" i="7"/>
  <c r="H154" i="7"/>
  <c r="C154" i="7" a="1"/>
  <c r="C154" i="7" s="1"/>
  <c r="A154" i="7" a="1"/>
  <c r="A154" i="7" s="1"/>
  <c r="AT153" i="7" a="1"/>
  <c r="AT153" i="7" s="1"/>
  <c r="AS153" i="7"/>
  <c r="AP153" i="7"/>
  <c r="AM153" i="7"/>
  <c r="AJ153" i="7"/>
  <c r="AG153" i="7"/>
  <c r="AD153" i="7"/>
  <c r="X153" i="7" a="1"/>
  <c r="X153" i="7" s="1"/>
  <c r="D153" i="7" s="1"/>
  <c r="V153" i="7"/>
  <c r="R153" i="7"/>
  <c r="N153" i="7" a="1"/>
  <c r="N153" i="7" s="1"/>
  <c r="O153" i="7" s="1"/>
  <c r="L153" i="7"/>
  <c r="H153" i="7"/>
  <c r="C153" i="7" a="1"/>
  <c r="C153" i="7" s="1"/>
  <c r="A153" i="7" a="1"/>
  <c r="A153" i="7" s="1"/>
  <c r="AT152" i="7" a="1"/>
  <c r="AT152" i="7" s="1"/>
  <c r="AS152" i="7"/>
  <c r="AP152" i="7"/>
  <c r="AM152" i="7"/>
  <c r="AJ152" i="7"/>
  <c r="AG152" i="7"/>
  <c r="AD152" i="7"/>
  <c r="X152" i="7" a="1"/>
  <c r="X152" i="7" s="1"/>
  <c r="V152" i="7"/>
  <c r="R152" i="7"/>
  <c r="N152" i="7" a="1"/>
  <c r="N152" i="7" s="1"/>
  <c r="O152" i="7" s="1"/>
  <c r="L152" i="7"/>
  <c r="H152" i="7"/>
  <c r="C152" i="7" a="1"/>
  <c r="C152" i="7" s="1"/>
  <c r="A152" i="7" a="1"/>
  <c r="A152" i="7" s="1"/>
  <c r="AT151" i="7" a="1"/>
  <c r="AT151" i="7" s="1"/>
  <c r="AS151" i="7"/>
  <c r="AP151" i="7"/>
  <c r="AM151" i="7"/>
  <c r="AJ151" i="7"/>
  <c r="AG151" i="7"/>
  <c r="AD151" i="7"/>
  <c r="X151" i="7" a="1"/>
  <c r="X151" i="7" s="1"/>
  <c r="V151" i="7"/>
  <c r="R151" i="7"/>
  <c r="N151" i="7" a="1"/>
  <c r="N151" i="7" s="1"/>
  <c r="O151" i="7" s="1"/>
  <c r="L151" i="7"/>
  <c r="H151" i="7"/>
  <c r="C151" i="7" a="1"/>
  <c r="C151" i="7" s="1"/>
  <c r="A151" i="7" a="1"/>
  <c r="A151" i="7" s="1"/>
  <c r="AT150" i="7" a="1"/>
  <c r="AT150" i="7" s="1"/>
  <c r="AS150" i="7"/>
  <c r="AP150" i="7"/>
  <c r="AM150" i="7"/>
  <c r="AJ150" i="7"/>
  <c r="AG150" i="7"/>
  <c r="AD150" i="7"/>
  <c r="X150" i="7" a="1"/>
  <c r="X150" i="7" s="1"/>
  <c r="V150" i="7"/>
  <c r="R150" i="7"/>
  <c r="N150" i="7" a="1"/>
  <c r="N150" i="7" s="1"/>
  <c r="O150" i="7" s="1"/>
  <c r="L150" i="7"/>
  <c r="H150" i="7"/>
  <c r="C150" i="7" a="1"/>
  <c r="C150" i="7" s="1"/>
  <c r="A150" i="7" a="1"/>
  <c r="A150" i="7" s="1"/>
  <c r="AT149" i="7" a="1"/>
  <c r="AT149" i="7" s="1"/>
  <c r="AS149" i="7"/>
  <c r="AP149" i="7"/>
  <c r="AM149" i="7"/>
  <c r="AJ149" i="7"/>
  <c r="AG149" i="7"/>
  <c r="AD149" i="7"/>
  <c r="X149" i="7" a="1"/>
  <c r="X149" i="7" s="1"/>
  <c r="Y149" i="7" s="1"/>
  <c r="V149" i="7"/>
  <c r="R149" i="7"/>
  <c r="N149" i="7" a="1"/>
  <c r="N149" i="7" s="1"/>
  <c r="O149" i="7" s="1"/>
  <c r="L149" i="7"/>
  <c r="H149" i="7"/>
  <c r="C149" i="7" a="1"/>
  <c r="C149" i="7" s="1"/>
  <c r="A149" i="7" a="1"/>
  <c r="A149" i="7" s="1"/>
  <c r="AT148" i="7" a="1"/>
  <c r="AT148" i="7" s="1"/>
  <c r="AS148" i="7"/>
  <c r="AP148" i="7"/>
  <c r="AM148" i="7"/>
  <c r="AJ148" i="7"/>
  <c r="AG148" i="7"/>
  <c r="AD148" i="7"/>
  <c r="X148" i="7" a="1"/>
  <c r="X148" i="7" s="1"/>
  <c r="Y148" i="7" s="1"/>
  <c r="V148" i="7"/>
  <c r="R148" i="7"/>
  <c r="N148" i="7" a="1"/>
  <c r="N148" i="7" s="1"/>
  <c r="O148" i="7" s="1"/>
  <c r="L148" i="7"/>
  <c r="H148" i="7"/>
  <c r="C148" i="7" a="1"/>
  <c r="C148" i="7" s="1"/>
  <c r="A148" i="7" a="1"/>
  <c r="A148" i="7" s="1"/>
  <c r="AT147" i="7" a="1"/>
  <c r="AT147" i="7" s="1"/>
  <c r="AS147" i="7"/>
  <c r="AP147" i="7"/>
  <c r="AM147" i="7"/>
  <c r="AJ147" i="7"/>
  <c r="AG147" i="7"/>
  <c r="AD147" i="7"/>
  <c r="X147" i="7" a="1"/>
  <c r="X147" i="7" s="1"/>
  <c r="Y147" i="7" s="1"/>
  <c r="V147" i="7"/>
  <c r="R147" i="7"/>
  <c r="N147" i="7" a="1"/>
  <c r="N147" i="7" s="1"/>
  <c r="O147" i="7" s="1"/>
  <c r="L147" i="7"/>
  <c r="H147" i="7"/>
  <c r="C147" i="7" a="1"/>
  <c r="C147" i="7" s="1"/>
  <c r="A147" i="7" a="1"/>
  <c r="A147" i="7" s="1"/>
  <c r="AT146" i="7" a="1"/>
  <c r="AT146" i="7" s="1"/>
  <c r="AS146" i="7"/>
  <c r="AP146" i="7"/>
  <c r="AM146" i="7"/>
  <c r="AJ146" i="7"/>
  <c r="AG146" i="7"/>
  <c r="AD146" i="7"/>
  <c r="X146" i="7" a="1"/>
  <c r="X146" i="7" s="1"/>
  <c r="Y146" i="7" s="1"/>
  <c r="V146" i="7"/>
  <c r="R146" i="7"/>
  <c r="N146" i="7" a="1"/>
  <c r="N146" i="7" s="1"/>
  <c r="O146" i="7" s="1"/>
  <c r="L146" i="7"/>
  <c r="H146" i="7"/>
  <c r="C146" i="7" a="1"/>
  <c r="C146" i="7" s="1"/>
  <c r="A146" i="7" a="1"/>
  <c r="A146" i="7" s="1"/>
  <c r="AT145" i="7" a="1"/>
  <c r="AT145" i="7" s="1"/>
  <c r="AS145" i="7"/>
  <c r="AP145" i="7"/>
  <c r="AM145" i="7"/>
  <c r="AJ145" i="7"/>
  <c r="AG145" i="7"/>
  <c r="AD145" i="7"/>
  <c r="X145" i="7" a="1"/>
  <c r="X145" i="7" s="1"/>
  <c r="Y145" i="7" s="1"/>
  <c r="V145" i="7"/>
  <c r="R145" i="7"/>
  <c r="N145" i="7" a="1"/>
  <c r="N145" i="7" s="1"/>
  <c r="O145" i="7" s="1"/>
  <c r="L145" i="7"/>
  <c r="H145" i="7"/>
  <c r="A145" i="7" a="1"/>
  <c r="A145" i="7" s="1"/>
  <c r="AT144" i="7" a="1"/>
  <c r="AT144" i="7" s="1"/>
  <c r="AS144" i="7"/>
  <c r="AP144" i="7"/>
  <c r="AM144" i="7"/>
  <c r="AJ144" i="7"/>
  <c r="AG144" i="7"/>
  <c r="AD144" i="7"/>
  <c r="X144" i="7" a="1"/>
  <c r="X144" i="7" s="1"/>
  <c r="V144" i="7"/>
  <c r="R144" i="7"/>
  <c r="N144" i="7" a="1"/>
  <c r="N144" i="7" s="1"/>
  <c r="O144" i="7" s="1"/>
  <c r="L144" i="7"/>
  <c r="H144" i="7"/>
  <c r="C144" i="7" a="1"/>
  <c r="C144" i="7" s="1"/>
  <c r="A144" i="7" a="1"/>
  <c r="A144" i="7" s="1"/>
  <c r="AT143" i="7" a="1"/>
  <c r="AT143" i="7" s="1"/>
  <c r="AS143" i="7"/>
  <c r="AP143" i="7"/>
  <c r="AM143" i="7"/>
  <c r="AJ143" i="7"/>
  <c r="AG143" i="7"/>
  <c r="AD143" i="7"/>
  <c r="X143" i="7" a="1"/>
  <c r="X143" i="7" s="1"/>
  <c r="V143" i="7"/>
  <c r="R143" i="7"/>
  <c r="N143" i="7" a="1"/>
  <c r="N143" i="7" s="1"/>
  <c r="O143" i="7" s="1"/>
  <c r="L143" i="7"/>
  <c r="H143" i="7"/>
  <c r="C143" i="7" a="1"/>
  <c r="C143" i="7" s="1"/>
  <c r="A143" i="7" a="1"/>
  <c r="A143" i="7" s="1"/>
  <c r="AT142" i="7" a="1"/>
  <c r="AT142" i="7" s="1"/>
  <c r="AS142" i="7"/>
  <c r="AP142" i="7"/>
  <c r="AM142" i="7"/>
  <c r="AJ142" i="7"/>
  <c r="AG142" i="7"/>
  <c r="AD142" i="7"/>
  <c r="X142" i="7" a="1"/>
  <c r="X142" i="7" s="1"/>
  <c r="Y142" i="7" s="1"/>
  <c r="V142" i="7"/>
  <c r="R142" i="7"/>
  <c r="N142" i="7" a="1"/>
  <c r="N142" i="7" s="1"/>
  <c r="O142" i="7" s="1"/>
  <c r="L142" i="7"/>
  <c r="H142" i="7"/>
  <c r="C142" i="7" a="1"/>
  <c r="C142" i="7" s="1"/>
  <c r="A142" i="7" a="1"/>
  <c r="A142" i="7" s="1"/>
  <c r="AT141" i="7" a="1"/>
  <c r="AT141" i="7" s="1"/>
  <c r="AS141" i="7"/>
  <c r="AP141" i="7"/>
  <c r="AM141" i="7"/>
  <c r="AJ141" i="7"/>
  <c r="AG141" i="7"/>
  <c r="AD141" i="7"/>
  <c r="X141" i="7" a="1"/>
  <c r="X141" i="7" s="1"/>
  <c r="Y141" i="7" s="1"/>
  <c r="V141" i="7"/>
  <c r="R141" i="7"/>
  <c r="N141" i="7" a="1"/>
  <c r="N141" i="7" s="1"/>
  <c r="O141" i="7" s="1"/>
  <c r="L141" i="7"/>
  <c r="H141" i="7"/>
  <c r="C141" i="7" a="1"/>
  <c r="C141" i="7" s="1"/>
  <c r="A141" i="7" a="1"/>
  <c r="A141" i="7" s="1"/>
  <c r="AT140" i="7" a="1"/>
  <c r="AT140" i="7" s="1"/>
  <c r="AS140" i="7"/>
  <c r="AP140" i="7"/>
  <c r="AM140" i="7"/>
  <c r="AJ140" i="7"/>
  <c r="AG140" i="7"/>
  <c r="AD140" i="7"/>
  <c r="X140" i="7" a="1"/>
  <c r="X140" i="7" s="1"/>
  <c r="Y140" i="7" s="1"/>
  <c r="V140" i="7"/>
  <c r="R140" i="7"/>
  <c r="N140" i="7" a="1"/>
  <c r="N140" i="7" s="1"/>
  <c r="O140" i="7" s="1"/>
  <c r="L140" i="7"/>
  <c r="H140" i="7"/>
  <c r="C140" i="7" a="1"/>
  <c r="C140" i="7" s="1"/>
  <c r="A140" i="7" a="1"/>
  <c r="A140" i="7" s="1"/>
  <c r="AT139" i="7" a="1"/>
  <c r="AT139" i="7" s="1"/>
  <c r="AS139" i="7"/>
  <c r="AP139" i="7"/>
  <c r="AM139" i="7"/>
  <c r="AJ139" i="7"/>
  <c r="AG139" i="7"/>
  <c r="AD139" i="7"/>
  <c r="X139" i="7" a="1"/>
  <c r="X139" i="7" s="1"/>
  <c r="Y139" i="7" s="1"/>
  <c r="V139" i="7"/>
  <c r="R139" i="7"/>
  <c r="N139" i="7" a="1"/>
  <c r="N139" i="7" s="1"/>
  <c r="O139" i="7" s="1"/>
  <c r="L139" i="7"/>
  <c r="H139" i="7"/>
  <c r="C139" i="7" a="1"/>
  <c r="C139" i="7" s="1"/>
  <c r="A139" i="7" a="1"/>
  <c r="A139" i="7" s="1"/>
  <c r="AT138" i="7" a="1"/>
  <c r="AT138" i="7" s="1"/>
  <c r="AS138" i="7"/>
  <c r="AP138" i="7"/>
  <c r="AM138" i="7"/>
  <c r="AJ138" i="7"/>
  <c r="AG138" i="7"/>
  <c r="AD138" i="7"/>
  <c r="X138" i="7" a="1"/>
  <c r="X138" i="7" s="1"/>
  <c r="Y138" i="7" s="1"/>
  <c r="V138" i="7"/>
  <c r="R138" i="7"/>
  <c r="N138" i="7" a="1"/>
  <c r="N138" i="7" s="1"/>
  <c r="O138" i="7" s="1"/>
  <c r="L138" i="7"/>
  <c r="H138" i="7"/>
  <c r="C138" i="7" a="1"/>
  <c r="C138" i="7" s="1"/>
  <c r="A138" i="7" a="1"/>
  <c r="A138" i="7" s="1"/>
  <c r="AT137" i="7" a="1"/>
  <c r="AT137" i="7" s="1"/>
  <c r="AS137" i="7"/>
  <c r="AP137" i="7"/>
  <c r="AM137" i="7"/>
  <c r="AJ137" i="7"/>
  <c r="AG137" i="7"/>
  <c r="AD137" i="7"/>
  <c r="X137" i="7" a="1"/>
  <c r="X137" i="7" s="1"/>
  <c r="Y137" i="7" s="1"/>
  <c r="V137" i="7"/>
  <c r="R137" i="7"/>
  <c r="N137" i="7" a="1"/>
  <c r="N137" i="7" s="1"/>
  <c r="O137" i="7" s="1"/>
  <c r="L137" i="7"/>
  <c r="H137" i="7"/>
  <c r="C137" i="7" a="1"/>
  <c r="C137" i="7" s="1"/>
  <c r="A137" i="7" a="1"/>
  <c r="A137" i="7" s="1"/>
  <c r="AT136" i="7" a="1"/>
  <c r="AT136" i="7" s="1"/>
  <c r="AS136" i="7"/>
  <c r="AP136" i="7"/>
  <c r="AM136" i="7"/>
  <c r="AJ136" i="7"/>
  <c r="AG136" i="7"/>
  <c r="AD136" i="7"/>
  <c r="X136" i="7" a="1"/>
  <c r="X136" i="7" s="1"/>
  <c r="V136" i="7"/>
  <c r="R136" i="7"/>
  <c r="N136" i="7" a="1"/>
  <c r="N136" i="7" s="1"/>
  <c r="O136" i="7" s="1"/>
  <c r="L136" i="7"/>
  <c r="H136" i="7"/>
  <c r="C136" i="7" a="1"/>
  <c r="C136" i="7" s="1"/>
  <c r="A136" i="7" a="1"/>
  <c r="A136" i="7" s="1"/>
  <c r="AT135" i="7" a="1"/>
  <c r="AT135" i="7" s="1"/>
  <c r="AS135" i="7"/>
  <c r="AP135" i="7"/>
  <c r="AM135" i="7"/>
  <c r="AJ135" i="7"/>
  <c r="AG135" i="7"/>
  <c r="AD135" i="7"/>
  <c r="X135" i="7" a="1"/>
  <c r="X135" i="7" s="1"/>
  <c r="V135" i="7"/>
  <c r="R135" i="7"/>
  <c r="N135" i="7" a="1"/>
  <c r="N135" i="7" s="1"/>
  <c r="O135" i="7" s="1"/>
  <c r="L135" i="7"/>
  <c r="H135" i="7"/>
  <c r="C135" i="7" a="1"/>
  <c r="C135" i="7" s="1"/>
  <c r="A135" i="7" a="1"/>
  <c r="A135" i="7" s="1"/>
  <c r="AT134" i="7" a="1"/>
  <c r="AT134" i="7" s="1"/>
  <c r="AS134" i="7"/>
  <c r="AP134" i="7"/>
  <c r="AM134" i="7"/>
  <c r="AJ134" i="7"/>
  <c r="AG134" i="7"/>
  <c r="AD134" i="7"/>
  <c r="X134" i="7" a="1"/>
  <c r="X134" i="7" s="1"/>
  <c r="Y134" i="7" s="1"/>
  <c r="V134" i="7"/>
  <c r="R134" i="7"/>
  <c r="N134" i="7" a="1"/>
  <c r="N134" i="7" s="1"/>
  <c r="O134" i="7" s="1"/>
  <c r="L134" i="7"/>
  <c r="H134" i="7"/>
  <c r="C134" i="7" a="1"/>
  <c r="C134" i="7" s="1"/>
  <c r="A134" i="7" a="1"/>
  <c r="A134" i="7" s="1"/>
  <c r="AT133" i="7" a="1"/>
  <c r="AT133" i="7" s="1"/>
  <c r="AS133" i="7"/>
  <c r="AP133" i="7"/>
  <c r="AM133" i="7"/>
  <c r="AJ133" i="7"/>
  <c r="AG133" i="7"/>
  <c r="AD133" i="7"/>
  <c r="X133" i="7" a="1"/>
  <c r="X133" i="7" s="1"/>
  <c r="Y133" i="7" s="1"/>
  <c r="V133" i="7"/>
  <c r="R133" i="7"/>
  <c r="N133" i="7" a="1"/>
  <c r="N133" i="7" s="1"/>
  <c r="O133" i="7" s="1"/>
  <c r="L133" i="7"/>
  <c r="H133" i="7"/>
  <c r="C133" i="7" a="1"/>
  <c r="C133" i="7" s="1"/>
  <c r="A133" i="7" a="1"/>
  <c r="A133" i="7" s="1"/>
  <c r="AT132" i="7" a="1"/>
  <c r="AT132" i="7" s="1"/>
  <c r="AS132" i="7"/>
  <c r="AP132" i="7"/>
  <c r="AM132" i="7"/>
  <c r="AJ132" i="7"/>
  <c r="AG132" i="7"/>
  <c r="AD132" i="7"/>
  <c r="X132" i="7" a="1"/>
  <c r="X132" i="7" s="1"/>
  <c r="Y132" i="7" s="1"/>
  <c r="V132" i="7"/>
  <c r="R132" i="7"/>
  <c r="N132" i="7" a="1"/>
  <c r="N132" i="7" s="1"/>
  <c r="O132" i="7" s="1"/>
  <c r="L132" i="7"/>
  <c r="H132" i="7"/>
  <c r="C132" i="7" a="1"/>
  <c r="C132" i="7" s="1"/>
  <c r="A132" i="7" a="1"/>
  <c r="A132" i="7" s="1"/>
  <c r="AT131" i="7" a="1"/>
  <c r="AT131" i="7" s="1"/>
  <c r="AS131" i="7"/>
  <c r="AP131" i="7"/>
  <c r="AM131" i="7"/>
  <c r="AJ131" i="7"/>
  <c r="AG131" i="7"/>
  <c r="AD131" i="7"/>
  <c r="X131" i="7" a="1"/>
  <c r="X131" i="7" s="1"/>
  <c r="D131" i="7" s="1"/>
  <c r="V131" i="7"/>
  <c r="R131" i="7"/>
  <c r="N131" i="7" a="1"/>
  <c r="N131" i="7" s="1"/>
  <c r="O131" i="7" s="1"/>
  <c r="L131" i="7"/>
  <c r="H131" i="7"/>
  <c r="C131" i="7" a="1"/>
  <c r="C131" i="7" s="1"/>
  <c r="A131" i="7" a="1"/>
  <c r="A131" i="7" s="1"/>
  <c r="AT130" i="7" a="1"/>
  <c r="AT130" i="7" s="1"/>
  <c r="AS130" i="7"/>
  <c r="AP130" i="7"/>
  <c r="AM130" i="7"/>
  <c r="AJ130" i="7"/>
  <c r="AG130" i="7"/>
  <c r="AD130" i="7"/>
  <c r="X130" i="7" a="1"/>
  <c r="X130" i="7" s="1"/>
  <c r="D130" i="7" s="1"/>
  <c r="V130" i="7"/>
  <c r="R130" i="7"/>
  <c r="N130" i="7" a="1"/>
  <c r="N130" i="7" s="1"/>
  <c r="O130" i="7" s="1"/>
  <c r="L130" i="7"/>
  <c r="H130" i="7"/>
  <c r="C130" i="7" a="1"/>
  <c r="C130" i="7" s="1"/>
  <c r="A130" i="7" a="1"/>
  <c r="A130" i="7" s="1"/>
  <c r="AT129" i="7" a="1"/>
  <c r="AT129" i="7" s="1"/>
  <c r="AS129" i="7"/>
  <c r="AP129" i="7"/>
  <c r="AM129" i="7"/>
  <c r="AJ129" i="7"/>
  <c r="AG129" i="7"/>
  <c r="AD129" i="7"/>
  <c r="X129" i="7" a="1"/>
  <c r="X129" i="7" s="1"/>
  <c r="D129" i="7" s="1"/>
  <c r="V129" i="7"/>
  <c r="R129" i="7"/>
  <c r="N129" i="7" a="1"/>
  <c r="N129" i="7" s="1"/>
  <c r="O129" i="7" s="1"/>
  <c r="L129" i="7"/>
  <c r="H129" i="7"/>
  <c r="C129" i="7" a="1"/>
  <c r="C129" i="7" s="1"/>
  <c r="A129" i="7" a="1"/>
  <c r="A129" i="7" s="1"/>
  <c r="AT128" i="7" a="1"/>
  <c r="AT128" i="7" s="1"/>
  <c r="AS128" i="7"/>
  <c r="AP128" i="7"/>
  <c r="AM128" i="7"/>
  <c r="AJ128" i="7"/>
  <c r="AG128" i="7"/>
  <c r="AD128" i="7"/>
  <c r="X128" i="7" a="1"/>
  <c r="X128" i="7" s="1"/>
  <c r="V128" i="7"/>
  <c r="R128" i="7"/>
  <c r="N128" i="7" a="1"/>
  <c r="N128" i="7" s="1"/>
  <c r="O128" i="7" s="1"/>
  <c r="L128" i="7"/>
  <c r="H128" i="7"/>
  <c r="C128" i="7" a="1"/>
  <c r="C128" i="7" s="1"/>
  <c r="A128" i="7" a="1"/>
  <c r="A128" i="7" s="1"/>
  <c r="AT127" i="7" a="1"/>
  <c r="AT127" i="7" s="1"/>
  <c r="AS127" i="7"/>
  <c r="AP127" i="7"/>
  <c r="AM127" i="7"/>
  <c r="AJ127" i="7"/>
  <c r="AG127" i="7"/>
  <c r="AD127" i="7"/>
  <c r="X127" i="7" a="1"/>
  <c r="X127" i="7" s="1"/>
  <c r="D127" i="7" s="1"/>
  <c r="V127" i="7"/>
  <c r="R127" i="7"/>
  <c r="N127" i="7" a="1"/>
  <c r="N127" i="7" s="1"/>
  <c r="O127" i="7" s="1"/>
  <c r="L127" i="7"/>
  <c r="H127" i="7"/>
  <c r="C127" i="7" a="1"/>
  <c r="C127" i="7" s="1"/>
  <c r="A127" i="7" a="1"/>
  <c r="A127" i="7" s="1"/>
  <c r="AT126" i="7" a="1"/>
  <c r="AT126" i="7" s="1"/>
  <c r="AS126" i="7"/>
  <c r="AP126" i="7"/>
  <c r="AM126" i="7"/>
  <c r="AJ126" i="7"/>
  <c r="AG126" i="7"/>
  <c r="AD126" i="7"/>
  <c r="X126" i="7" a="1"/>
  <c r="X126" i="7" s="1"/>
  <c r="D126" i="7" s="1"/>
  <c r="V126" i="7"/>
  <c r="R126" i="7"/>
  <c r="N126" i="7" a="1"/>
  <c r="N126" i="7" s="1"/>
  <c r="O126" i="7" s="1"/>
  <c r="L126" i="7"/>
  <c r="H126" i="7"/>
  <c r="C126" i="7" a="1"/>
  <c r="C126" i="7" s="1"/>
  <c r="A126" i="7" a="1"/>
  <c r="A126" i="7" s="1"/>
  <c r="AT125" i="7" a="1"/>
  <c r="AT125" i="7" s="1"/>
  <c r="AS125" i="7"/>
  <c r="AP125" i="7"/>
  <c r="AM125" i="7"/>
  <c r="AJ125" i="7"/>
  <c r="AG125" i="7"/>
  <c r="AD125" i="7"/>
  <c r="X125" i="7" a="1"/>
  <c r="X125" i="7" s="1"/>
  <c r="Y125" i="7" s="1"/>
  <c r="V125" i="7"/>
  <c r="R125" i="7"/>
  <c r="N125" i="7" a="1"/>
  <c r="N125" i="7" s="1"/>
  <c r="O125" i="7" s="1"/>
  <c r="L125" i="7"/>
  <c r="H125" i="7"/>
  <c r="C125" i="7" a="1"/>
  <c r="C125" i="7" s="1"/>
  <c r="A125" i="7" a="1"/>
  <c r="A125" i="7" s="1"/>
  <c r="AT124" i="7" a="1"/>
  <c r="AT124" i="7" s="1"/>
  <c r="AS124" i="7"/>
  <c r="AP124" i="7"/>
  <c r="AM124" i="7"/>
  <c r="AJ124" i="7"/>
  <c r="AG124" i="7"/>
  <c r="AD124" i="7"/>
  <c r="X124" i="7" a="1"/>
  <c r="X124" i="7" s="1"/>
  <c r="Y124" i="7" s="1"/>
  <c r="V124" i="7"/>
  <c r="R124" i="7"/>
  <c r="N124" i="7" a="1"/>
  <c r="N124" i="7" s="1"/>
  <c r="O124" i="7" s="1"/>
  <c r="L124" i="7"/>
  <c r="H124" i="7"/>
  <c r="C124" i="7" a="1"/>
  <c r="C124" i="7" s="1"/>
  <c r="A124" i="7" a="1"/>
  <c r="A124" i="7" s="1"/>
  <c r="AT123" i="7" a="1"/>
  <c r="AT123" i="7" s="1"/>
  <c r="AS123" i="7"/>
  <c r="AP123" i="7"/>
  <c r="AM123" i="7"/>
  <c r="AJ123" i="7"/>
  <c r="AG123" i="7"/>
  <c r="AD123" i="7"/>
  <c r="X123" i="7" a="1"/>
  <c r="X123" i="7" s="1"/>
  <c r="D123" i="7" s="1"/>
  <c r="V123" i="7"/>
  <c r="R123" i="7"/>
  <c r="N123" i="7" a="1"/>
  <c r="N123" i="7" s="1"/>
  <c r="O123" i="7" s="1"/>
  <c r="L123" i="7"/>
  <c r="H123" i="7"/>
  <c r="C123" i="7" a="1"/>
  <c r="C123" i="7" s="1"/>
  <c r="A123" i="7" a="1"/>
  <c r="A123" i="7" s="1"/>
  <c r="AT122" i="7" a="1"/>
  <c r="AT122" i="7" s="1"/>
  <c r="AS122" i="7"/>
  <c r="AP122" i="7"/>
  <c r="AM122" i="7"/>
  <c r="AJ122" i="7"/>
  <c r="AG122" i="7"/>
  <c r="AD122" i="7"/>
  <c r="X122" i="7" a="1"/>
  <c r="X122" i="7" s="1"/>
  <c r="D122" i="7" s="1"/>
  <c r="V122" i="7"/>
  <c r="R122" i="7"/>
  <c r="N122" i="7" a="1"/>
  <c r="N122" i="7" s="1"/>
  <c r="O122" i="7" s="1"/>
  <c r="L122" i="7"/>
  <c r="H122" i="7"/>
  <c r="C122" i="7" a="1"/>
  <c r="C122" i="7" s="1"/>
  <c r="A122" i="7" a="1"/>
  <c r="A122" i="7" s="1"/>
  <c r="AT121" i="7" a="1"/>
  <c r="AT121" i="7" s="1"/>
  <c r="AS121" i="7"/>
  <c r="AP121" i="7"/>
  <c r="AM121" i="7"/>
  <c r="AJ121" i="7"/>
  <c r="AG121" i="7"/>
  <c r="AD121" i="7"/>
  <c r="X121" i="7" a="1"/>
  <c r="X121" i="7" s="1"/>
  <c r="Y121" i="7" s="1"/>
  <c r="V121" i="7"/>
  <c r="R121" i="7"/>
  <c r="N121" i="7" a="1"/>
  <c r="N121" i="7" s="1"/>
  <c r="O121" i="7" s="1"/>
  <c r="L121" i="7"/>
  <c r="H121" i="7"/>
  <c r="C121" i="7" a="1"/>
  <c r="C121" i="7" s="1"/>
  <c r="A121" i="7" a="1"/>
  <c r="A121" i="7" s="1"/>
  <c r="AT120" i="7" a="1"/>
  <c r="AT120" i="7" s="1"/>
  <c r="AS120" i="7"/>
  <c r="AP120" i="7"/>
  <c r="AM120" i="7"/>
  <c r="AJ120" i="7"/>
  <c r="AG120" i="7"/>
  <c r="AD120" i="7"/>
  <c r="X120" i="7" a="1"/>
  <c r="X120" i="7" s="1"/>
  <c r="D120" i="7" s="1"/>
  <c r="V120" i="7"/>
  <c r="R120" i="7"/>
  <c r="N120" i="7" a="1"/>
  <c r="N120" i="7" s="1"/>
  <c r="O120" i="7" s="1"/>
  <c r="L120" i="7"/>
  <c r="H120" i="7"/>
  <c r="C120" i="7" a="1"/>
  <c r="C120" i="7" s="1"/>
  <c r="A120" i="7" a="1"/>
  <c r="A120" i="7" s="1"/>
  <c r="AT119" i="7" a="1"/>
  <c r="AT119" i="7" s="1"/>
  <c r="AS119" i="7"/>
  <c r="AP119" i="7"/>
  <c r="AM119" i="7"/>
  <c r="AJ119" i="7"/>
  <c r="AG119" i="7"/>
  <c r="AD119" i="7"/>
  <c r="X119" i="7" a="1"/>
  <c r="X119" i="7" s="1"/>
  <c r="D119" i="7" s="1"/>
  <c r="V119" i="7"/>
  <c r="R119" i="7"/>
  <c r="N119" i="7" a="1"/>
  <c r="N119" i="7" s="1"/>
  <c r="O119" i="7" s="1"/>
  <c r="L119" i="7"/>
  <c r="H119" i="7"/>
  <c r="C119" i="7" a="1"/>
  <c r="C119" i="7" s="1"/>
  <c r="A119" i="7" a="1"/>
  <c r="A119" i="7" s="1"/>
  <c r="AT118" i="7" a="1"/>
  <c r="AT118" i="7" s="1"/>
  <c r="AS118" i="7"/>
  <c r="AP118" i="7"/>
  <c r="AM118" i="7"/>
  <c r="AJ118" i="7"/>
  <c r="AG118" i="7"/>
  <c r="AD118" i="7"/>
  <c r="X118" i="7" a="1"/>
  <c r="X118" i="7" s="1"/>
  <c r="D118" i="7" s="1"/>
  <c r="V118" i="7"/>
  <c r="R118" i="7"/>
  <c r="N118" i="7" a="1"/>
  <c r="N118" i="7" s="1"/>
  <c r="O118" i="7" s="1"/>
  <c r="L118" i="7"/>
  <c r="H118" i="7"/>
  <c r="C118" i="7" a="1"/>
  <c r="C118" i="7" s="1"/>
  <c r="A118" i="7" a="1"/>
  <c r="A118" i="7" s="1"/>
  <c r="AT117" i="7" a="1"/>
  <c r="AT117" i="7" s="1"/>
  <c r="AS117" i="7"/>
  <c r="AP117" i="7"/>
  <c r="AM117" i="7"/>
  <c r="AJ117" i="7"/>
  <c r="AG117" i="7"/>
  <c r="AD117" i="7"/>
  <c r="X117" i="7" a="1"/>
  <c r="X117" i="7" s="1"/>
  <c r="D117" i="7" s="1"/>
  <c r="V117" i="7"/>
  <c r="R117" i="7"/>
  <c r="N117" i="7" a="1"/>
  <c r="N117" i="7" s="1"/>
  <c r="O117" i="7" s="1"/>
  <c r="L117" i="7"/>
  <c r="H117" i="7"/>
  <c r="C117" i="7" a="1"/>
  <c r="C117" i="7" s="1"/>
  <c r="A117" i="7" a="1"/>
  <c r="A117" i="7" s="1"/>
  <c r="AT116" i="7" a="1"/>
  <c r="AT116" i="7" s="1"/>
  <c r="AS116" i="7"/>
  <c r="AP116" i="7"/>
  <c r="AM116" i="7"/>
  <c r="AJ116" i="7"/>
  <c r="AG116" i="7"/>
  <c r="AD116" i="7"/>
  <c r="X116" i="7" a="1"/>
  <c r="X116" i="7" s="1"/>
  <c r="Y116" i="7" s="1"/>
  <c r="V116" i="7"/>
  <c r="R116" i="7"/>
  <c r="N116" i="7" a="1"/>
  <c r="N116" i="7" s="1"/>
  <c r="O116" i="7" s="1"/>
  <c r="L116" i="7"/>
  <c r="H116" i="7"/>
  <c r="C116" i="7" a="1"/>
  <c r="C116" i="7" s="1"/>
  <c r="A116" i="7" a="1"/>
  <c r="A116" i="7" s="1"/>
  <c r="AT115" i="7" a="1"/>
  <c r="AT115" i="7" s="1"/>
  <c r="AS115" i="7"/>
  <c r="AP115" i="7"/>
  <c r="AM115" i="7"/>
  <c r="AJ115" i="7"/>
  <c r="AG115" i="7"/>
  <c r="AD115" i="7"/>
  <c r="X115" i="7" a="1"/>
  <c r="X115" i="7" s="1"/>
  <c r="Y115" i="7" s="1"/>
  <c r="V115" i="7"/>
  <c r="R115" i="7"/>
  <c r="N115" i="7" a="1"/>
  <c r="N115" i="7" s="1"/>
  <c r="O115" i="7" s="1"/>
  <c r="L115" i="7"/>
  <c r="H115" i="7"/>
  <c r="C115" i="7" a="1"/>
  <c r="C115" i="7" s="1"/>
  <c r="A115" i="7" a="1"/>
  <c r="A115" i="7" s="1"/>
  <c r="AT114" i="7" a="1"/>
  <c r="AT114" i="7" s="1"/>
  <c r="AS114" i="7"/>
  <c r="AP114" i="7"/>
  <c r="AM114" i="7"/>
  <c r="AJ114" i="7"/>
  <c r="AG114" i="7"/>
  <c r="AD114" i="7"/>
  <c r="X114" i="7" a="1"/>
  <c r="X114" i="7" s="1"/>
  <c r="D114" i="7" s="1"/>
  <c r="V114" i="7"/>
  <c r="R114" i="7"/>
  <c r="N114" i="7" a="1"/>
  <c r="N114" i="7" s="1"/>
  <c r="O114" i="7" s="1"/>
  <c r="L114" i="7"/>
  <c r="H114" i="7"/>
  <c r="C114" i="7" a="1"/>
  <c r="C114" i="7" s="1"/>
  <c r="A114" i="7" a="1"/>
  <c r="A114" i="7" s="1"/>
  <c r="AT113" i="7" a="1"/>
  <c r="AT113" i="7" s="1"/>
  <c r="AS113" i="7"/>
  <c r="AP113" i="7"/>
  <c r="AM113" i="7"/>
  <c r="AJ113" i="7"/>
  <c r="AG113" i="7"/>
  <c r="AD113" i="7"/>
  <c r="X113" i="7" a="1"/>
  <c r="X113" i="7" s="1"/>
  <c r="D113" i="7" s="1"/>
  <c r="V113" i="7"/>
  <c r="R113" i="7"/>
  <c r="N113" i="7" a="1"/>
  <c r="N113" i="7" s="1"/>
  <c r="O113" i="7" s="1"/>
  <c r="L113" i="7"/>
  <c r="H113" i="7"/>
  <c r="C113" i="7" a="1"/>
  <c r="C113" i="7" s="1"/>
  <c r="A113" i="7" a="1"/>
  <c r="A113" i="7" s="1"/>
  <c r="AT112" i="7" a="1"/>
  <c r="AT112" i="7" s="1"/>
  <c r="AS112" i="7"/>
  <c r="AP112" i="7"/>
  <c r="AM112" i="7"/>
  <c r="AJ112" i="7"/>
  <c r="AG112" i="7"/>
  <c r="AD112" i="7"/>
  <c r="X112" i="7" a="1"/>
  <c r="X112" i="7" s="1"/>
  <c r="V112" i="7"/>
  <c r="R112" i="7"/>
  <c r="N112" i="7" a="1"/>
  <c r="N112" i="7" s="1"/>
  <c r="O112" i="7" s="1"/>
  <c r="L112" i="7"/>
  <c r="H112" i="7"/>
  <c r="C112" i="7" a="1"/>
  <c r="C112" i="7" s="1"/>
  <c r="A112" i="7" a="1"/>
  <c r="A112" i="7" s="1"/>
  <c r="AT111" i="7" a="1"/>
  <c r="AT111" i="7" s="1"/>
  <c r="AS111" i="7"/>
  <c r="AP111" i="7"/>
  <c r="AM111" i="7"/>
  <c r="AJ111" i="7"/>
  <c r="AG111" i="7"/>
  <c r="AD111" i="7"/>
  <c r="X111" i="7" a="1"/>
  <c r="X111" i="7" s="1"/>
  <c r="D111" i="7" s="1"/>
  <c r="V111" i="7"/>
  <c r="R111" i="7"/>
  <c r="N111" i="7" a="1"/>
  <c r="N111" i="7" s="1"/>
  <c r="O111" i="7" s="1"/>
  <c r="L111" i="7"/>
  <c r="H111" i="7"/>
  <c r="C111" i="7" a="1"/>
  <c r="C111" i="7" s="1"/>
  <c r="A111" i="7" a="1"/>
  <c r="A111" i="7" s="1"/>
  <c r="AT110" i="7" a="1"/>
  <c r="AT110" i="7" s="1"/>
  <c r="AS110" i="7"/>
  <c r="AP110" i="7"/>
  <c r="AM110" i="7"/>
  <c r="AJ110" i="7"/>
  <c r="AG110" i="7"/>
  <c r="AD110" i="7"/>
  <c r="X110" i="7" a="1"/>
  <c r="X110" i="7" s="1"/>
  <c r="D110" i="7" s="1"/>
  <c r="V110" i="7"/>
  <c r="R110" i="7"/>
  <c r="N110" i="7" a="1"/>
  <c r="N110" i="7" s="1"/>
  <c r="O110" i="7" s="1"/>
  <c r="L110" i="7"/>
  <c r="H110" i="7"/>
  <c r="C110" i="7" a="1"/>
  <c r="C110" i="7" s="1"/>
  <c r="A110" i="7" a="1"/>
  <c r="A110" i="7" s="1"/>
  <c r="AT109" i="7" a="1"/>
  <c r="AT109" i="7" s="1"/>
  <c r="AS109" i="7"/>
  <c r="AP109" i="7"/>
  <c r="AM109" i="7"/>
  <c r="AJ109" i="7"/>
  <c r="AG109" i="7"/>
  <c r="AD109" i="7"/>
  <c r="X109" i="7" a="1"/>
  <c r="X109" i="7" s="1"/>
  <c r="Y109" i="7" s="1"/>
  <c r="V109" i="7"/>
  <c r="R109" i="7"/>
  <c r="N109" i="7" a="1"/>
  <c r="N109" i="7" s="1"/>
  <c r="O109" i="7" s="1"/>
  <c r="L109" i="7"/>
  <c r="H109" i="7"/>
  <c r="C109" i="7" a="1"/>
  <c r="C109" i="7" s="1"/>
  <c r="A109" i="7" a="1"/>
  <c r="A109" i="7" s="1"/>
  <c r="AT108" i="7" a="1"/>
  <c r="AT108" i="7" s="1"/>
  <c r="AS108" i="7"/>
  <c r="AP108" i="7"/>
  <c r="AM108" i="7"/>
  <c r="AJ108" i="7"/>
  <c r="AG108" i="7"/>
  <c r="AD108" i="7"/>
  <c r="X108" i="7" a="1"/>
  <c r="X108" i="7" s="1"/>
  <c r="Y108" i="7" s="1"/>
  <c r="V108" i="7"/>
  <c r="R108" i="7"/>
  <c r="N108" i="7" a="1"/>
  <c r="N108" i="7" s="1"/>
  <c r="O108" i="7" s="1"/>
  <c r="L108" i="7"/>
  <c r="H108" i="7"/>
  <c r="C108" i="7" a="1"/>
  <c r="C108" i="7" s="1"/>
  <c r="A108" i="7" a="1"/>
  <c r="A108" i="7" s="1"/>
  <c r="AT107" i="7" a="1"/>
  <c r="AT107" i="7" s="1"/>
  <c r="AS107" i="7"/>
  <c r="AP107" i="7"/>
  <c r="AM107" i="7"/>
  <c r="AJ107" i="7"/>
  <c r="AG107" i="7"/>
  <c r="AD107" i="7"/>
  <c r="X107" i="7" a="1"/>
  <c r="X107" i="7" s="1"/>
  <c r="Y107" i="7" s="1"/>
  <c r="V107" i="7"/>
  <c r="R107" i="7"/>
  <c r="N107" i="7" a="1"/>
  <c r="N107" i="7" s="1"/>
  <c r="O107" i="7" s="1"/>
  <c r="L107" i="7"/>
  <c r="H107" i="7"/>
  <c r="C107" i="7" a="1"/>
  <c r="C107" i="7" s="1"/>
  <c r="A107" i="7" a="1"/>
  <c r="A107" i="7" s="1"/>
  <c r="AT106" i="7" a="1"/>
  <c r="AT106" i="7" s="1"/>
  <c r="AS106" i="7"/>
  <c r="AP106" i="7"/>
  <c r="AM106" i="7"/>
  <c r="AJ106" i="7"/>
  <c r="AG106" i="7"/>
  <c r="AD106" i="7"/>
  <c r="X106" i="7" a="1"/>
  <c r="X106" i="7" s="1"/>
  <c r="Y106" i="7" s="1"/>
  <c r="V106" i="7"/>
  <c r="R106" i="7"/>
  <c r="N106" i="7" a="1"/>
  <c r="N106" i="7" s="1"/>
  <c r="O106" i="7" s="1"/>
  <c r="L106" i="7"/>
  <c r="H106" i="7"/>
  <c r="C106" i="7" a="1"/>
  <c r="C106" i="7" s="1"/>
  <c r="A106" i="7" a="1"/>
  <c r="A106" i="7" s="1"/>
  <c r="AT105" i="7" a="1"/>
  <c r="AT105" i="7" s="1"/>
  <c r="AS105" i="7"/>
  <c r="AP105" i="7"/>
  <c r="AM105" i="7"/>
  <c r="AJ105" i="7"/>
  <c r="AG105" i="7"/>
  <c r="AD105" i="7"/>
  <c r="X105" i="7" a="1"/>
  <c r="X105" i="7" s="1"/>
  <c r="D105" i="7" s="1"/>
  <c r="V105" i="7"/>
  <c r="R105" i="7"/>
  <c r="N105" i="7" a="1"/>
  <c r="N105" i="7" s="1"/>
  <c r="O105" i="7" s="1"/>
  <c r="L105" i="7"/>
  <c r="H105" i="7"/>
  <c r="C105" i="7" a="1"/>
  <c r="C105" i="7" s="1"/>
  <c r="A105" i="7" a="1"/>
  <c r="A105" i="7" s="1"/>
  <c r="AT104" i="7" a="1"/>
  <c r="AT104" i="7" s="1"/>
  <c r="AS104" i="7"/>
  <c r="AP104" i="7"/>
  <c r="AM104" i="7"/>
  <c r="AJ104" i="7"/>
  <c r="AG104" i="7"/>
  <c r="AD104" i="7"/>
  <c r="X104" i="7" a="1"/>
  <c r="X104" i="7" s="1"/>
  <c r="Y104" i="7" s="1"/>
  <c r="R104" i="7"/>
  <c r="N104" i="7" a="1"/>
  <c r="N104" i="7" s="1"/>
  <c r="O104" i="7" s="1"/>
  <c r="L104" i="7"/>
  <c r="H104" i="7"/>
  <c r="C104" i="7" a="1"/>
  <c r="C104" i="7" s="1"/>
  <c r="A104" i="7" a="1"/>
  <c r="A104" i="7" s="1"/>
  <c r="AT103" i="7" a="1"/>
  <c r="AT103" i="7" s="1"/>
  <c r="AS103" i="7"/>
  <c r="AP103" i="7"/>
  <c r="AM103" i="7"/>
  <c r="AJ103" i="7"/>
  <c r="AG103" i="7"/>
  <c r="AD103" i="7"/>
  <c r="X103" i="7" a="1"/>
  <c r="X103" i="7" s="1"/>
  <c r="D103" i="7" s="1"/>
  <c r="V103" i="7"/>
  <c r="R103" i="7"/>
  <c r="N103" i="7" a="1"/>
  <c r="N103" i="7" s="1"/>
  <c r="O103" i="7" s="1"/>
  <c r="L103" i="7"/>
  <c r="H103" i="7"/>
  <c r="C103" i="7" a="1"/>
  <c r="C103" i="7" s="1"/>
  <c r="A103" i="7" a="1"/>
  <c r="A103" i="7" s="1"/>
  <c r="AT102" i="7" a="1"/>
  <c r="AT102" i="7" s="1"/>
  <c r="AS102" i="7"/>
  <c r="AP102" i="7"/>
  <c r="AM102" i="7"/>
  <c r="AJ102" i="7"/>
  <c r="AG102" i="7"/>
  <c r="AD102" i="7"/>
  <c r="X102" i="7" a="1"/>
  <c r="X102" i="7" s="1"/>
  <c r="D102" i="7" s="1"/>
  <c r="V102" i="7"/>
  <c r="R102" i="7"/>
  <c r="N102" i="7" a="1"/>
  <c r="N102" i="7" s="1"/>
  <c r="O102" i="7" s="1"/>
  <c r="L102" i="7"/>
  <c r="H102" i="7"/>
  <c r="C102" i="7" a="1"/>
  <c r="C102" i="7" s="1"/>
  <c r="A102" i="7" a="1"/>
  <c r="A102" i="7" s="1"/>
  <c r="AT101" i="7" a="1"/>
  <c r="AT101" i="7" s="1"/>
  <c r="AS101" i="7"/>
  <c r="AP101" i="7"/>
  <c r="AM101" i="7"/>
  <c r="AJ101" i="7"/>
  <c r="AG101" i="7"/>
  <c r="AD101" i="7"/>
  <c r="X101" i="7" a="1"/>
  <c r="X101" i="7" s="1"/>
  <c r="D101" i="7" s="1"/>
  <c r="V101" i="7"/>
  <c r="R101" i="7"/>
  <c r="N101" i="7" a="1"/>
  <c r="N101" i="7" s="1"/>
  <c r="O101" i="7" s="1"/>
  <c r="L101" i="7"/>
  <c r="H101" i="7"/>
  <c r="C101" i="7" a="1"/>
  <c r="C101" i="7" s="1"/>
  <c r="A101" i="7" a="1"/>
  <c r="A101" i="7" s="1"/>
  <c r="AT100" i="7" a="1"/>
  <c r="AT100" i="7" s="1"/>
  <c r="AS100" i="7"/>
  <c r="AP100" i="7"/>
  <c r="AM100" i="7"/>
  <c r="AJ100" i="7"/>
  <c r="AG100" i="7"/>
  <c r="AD100" i="7"/>
  <c r="X100" i="7" a="1"/>
  <c r="X100" i="7" s="1"/>
  <c r="D100" i="7" s="1"/>
  <c r="V100" i="7"/>
  <c r="R100" i="7"/>
  <c r="N100" i="7" a="1"/>
  <c r="N100" i="7" s="1"/>
  <c r="O100" i="7" s="1"/>
  <c r="L100" i="7"/>
  <c r="H100" i="7"/>
  <c r="C100" i="7" a="1"/>
  <c r="C100" i="7" s="1"/>
  <c r="A100" i="7" a="1"/>
  <c r="A100" i="7" s="1"/>
  <c r="AT99" i="7" a="1"/>
  <c r="AT99" i="7" s="1"/>
  <c r="AS99" i="7"/>
  <c r="AP99" i="7"/>
  <c r="AM99" i="7"/>
  <c r="AJ99" i="7"/>
  <c r="AG99" i="7"/>
  <c r="AD99" i="7"/>
  <c r="X99" i="7" a="1"/>
  <c r="X99" i="7" s="1"/>
  <c r="D99" i="7" s="1"/>
  <c r="V99" i="7"/>
  <c r="R99" i="7"/>
  <c r="N99" i="7" a="1"/>
  <c r="N99" i="7" s="1"/>
  <c r="O99" i="7" s="1"/>
  <c r="L99" i="7"/>
  <c r="H99" i="7"/>
  <c r="C99" i="7" a="1"/>
  <c r="C99" i="7" s="1"/>
  <c r="A99" i="7" a="1"/>
  <c r="A99" i="7" s="1"/>
  <c r="AT98" i="7" a="1"/>
  <c r="AT98" i="7" s="1"/>
  <c r="AS98" i="7"/>
  <c r="AP98" i="7"/>
  <c r="AM98" i="7"/>
  <c r="AJ98" i="7"/>
  <c r="AG98" i="7"/>
  <c r="AD98" i="7"/>
  <c r="X98" i="7" a="1"/>
  <c r="X98" i="7" s="1"/>
  <c r="D98" i="7" s="1"/>
  <c r="V98" i="7"/>
  <c r="R98" i="7"/>
  <c r="N98" i="7" a="1"/>
  <c r="N98" i="7" s="1"/>
  <c r="O98" i="7" s="1"/>
  <c r="L98" i="7"/>
  <c r="H98" i="7"/>
  <c r="C98" i="7" a="1"/>
  <c r="C98" i="7" s="1"/>
  <c r="A98" i="7" a="1"/>
  <c r="A98" i="7" s="1"/>
  <c r="AT97" i="7" a="1"/>
  <c r="AT97" i="7" s="1"/>
  <c r="AS97" i="7"/>
  <c r="AP97" i="7"/>
  <c r="AM97" i="7"/>
  <c r="AJ97" i="7"/>
  <c r="AG97" i="7"/>
  <c r="AD97" i="7"/>
  <c r="X97" i="7" a="1"/>
  <c r="X97" i="7" s="1"/>
  <c r="D97" i="7" s="1"/>
  <c r="V97" i="7"/>
  <c r="R97" i="7"/>
  <c r="N97" i="7" a="1"/>
  <c r="N97" i="7" s="1"/>
  <c r="O97" i="7" s="1"/>
  <c r="L97" i="7"/>
  <c r="H97" i="7"/>
  <c r="C97" i="7" a="1"/>
  <c r="C97" i="7" s="1"/>
  <c r="A97" i="7" a="1"/>
  <c r="A97" i="7" s="1"/>
  <c r="AT96" i="7" a="1"/>
  <c r="AT96" i="7" s="1"/>
  <c r="AS96" i="7"/>
  <c r="AP96" i="7"/>
  <c r="AM96" i="7"/>
  <c r="AJ96" i="7"/>
  <c r="AG96" i="7"/>
  <c r="AD96" i="7"/>
  <c r="X96" i="7" a="1"/>
  <c r="X96" i="7" s="1"/>
  <c r="Y96" i="7" s="1"/>
  <c r="V96" i="7"/>
  <c r="R96" i="7"/>
  <c r="N96" i="7" a="1"/>
  <c r="N96" i="7" s="1"/>
  <c r="O96" i="7" s="1"/>
  <c r="L96" i="7"/>
  <c r="H96" i="7"/>
  <c r="C96" i="7" a="1"/>
  <c r="C96" i="7" s="1"/>
  <c r="A96" i="7" a="1"/>
  <c r="A96" i="7" s="1"/>
  <c r="AT95" i="7" a="1"/>
  <c r="AT95" i="7" s="1"/>
  <c r="AS95" i="7"/>
  <c r="AP95" i="7"/>
  <c r="AM95" i="7"/>
  <c r="AJ95" i="7"/>
  <c r="AG95" i="7"/>
  <c r="AD95" i="7"/>
  <c r="X95" i="7" a="1"/>
  <c r="X95" i="7" s="1"/>
  <c r="D95" i="7" s="1"/>
  <c r="V95" i="7"/>
  <c r="R95" i="7"/>
  <c r="N95" i="7" a="1"/>
  <c r="N95" i="7" s="1"/>
  <c r="O95" i="7" s="1"/>
  <c r="L95" i="7"/>
  <c r="H95" i="7"/>
  <c r="C95" i="7" a="1"/>
  <c r="C95" i="7" s="1"/>
  <c r="A95" i="7" a="1"/>
  <c r="A95" i="7" s="1"/>
  <c r="AT94" i="7" a="1"/>
  <c r="AT94" i="7" s="1"/>
  <c r="AS94" i="7"/>
  <c r="AP94" i="7"/>
  <c r="AM94" i="7"/>
  <c r="AJ94" i="7"/>
  <c r="AG94" i="7"/>
  <c r="AD94" i="7"/>
  <c r="X94" i="7" a="1"/>
  <c r="X94" i="7" s="1"/>
  <c r="Y94" i="7" s="1"/>
  <c r="V94" i="7"/>
  <c r="R94" i="7"/>
  <c r="N94" i="7" a="1"/>
  <c r="N94" i="7" s="1"/>
  <c r="O94" i="7" s="1"/>
  <c r="L94" i="7"/>
  <c r="H94" i="7"/>
  <c r="C94" i="7" a="1"/>
  <c r="C94" i="7" s="1"/>
  <c r="A94" i="7" a="1"/>
  <c r="A94" i="7" s="1"/>
  <c r="AT93" i="7" a="1"/>
  <c r="AT93" i="7" s="1"/>
  <c r="AS93" i="7"/>
  <c r="AP93" i="7"/>
  <c r="AM93" i="7"/>
  <c r="AJ93" i="7"/>
  <c r="AG93" i="7"/>
  <c r="AD93" i="7"/>
  <c r="X93" i="7" a="1"/>
  <c r="X93" i="7" s="1"/>
  <c r="D93" i="7" s="1"/>
  <c r="V93" i="7"/>
  <c r="R93" i="7"/>
  <c r="N93" i="7" a="1"/>
  <c r="N93" i="7" s="1"/>
  <c r="O93" i="7" s="1"/>
  <c r="L93" i="7"/>
  <c r="H93" i="7"/>
  <c r="C93" i="7" a="1"/>
  <c r="C93" i="7" s="1"/>
  <c r="A93" i="7" a="1"/>
  <c r="A93" i="7" s="1"/>
  <c r="AT92" i="7" a="1"/>
  <c r="AT92" i="7" s="1"/>
  <c r="AS92" i="7"/>
  <c r="AP92" i="7"/>
  <c r="AM92" i="7"/>
  <c r="AJ92" i="7"/>
  <c r="AG92" i="7"/>
  <c r="AD92" i="7"/>
  <c r="X92" i="7" a="1"/>
  <c r="X92" i="7" s="1"/>
  <c r="D92" i="7" s="1"/>
  <c r="V92" i="7"/>
  <c r="R92" i="7"/>
  <c r="N92" i="7" a="1"/>
  <c r="N92" i="7" s="1"/>
  <c r="O92" i="7" s="1"/>
  <c r="L92" i="7"/>
  <c r="H92" i="7"/>
  <c r="C92" i="7" a="1"/>
  <c r="C92" i="7" s="1"/>
  <c r="A92" i="7" a="1"/>
  <c r="A92" i="7" s="1"/>
  <c r="AT91" i="7" a="1"/>
  <c r="AT91" i="7" s="1"/>
  <c r="AS91" i="7"/>
  <c r="AP91" i="7"/>
  <c r="AM91" i="7"/>
  <c r="AJ91" i="7"/>
  <c r="AG91" i="7"/>
  <c r="AD91" i="7"/>
  <c r="X91" i="7" a="1"/>
  <c r="X91" i="7" s="1"/>
  <c r="D91" i="7" s="1"/>
  <c r="V91" i="7"/>
  <c r="R91" i="7"/>
  <c r="N91" i="7" a="1"/>
  <c r="N91" i="7" s="1"/>
  <c r="O91" i="7" s="1"/>
  <c r="L91" i="7"/>
  <c r="H91" i="7"/>
  <c r="C91" i="7" a="1"/>
  <c r="C91" i="7" s="1"/>
  <c r="A91" i="7" a="1"/>
  <c r="A91" i="7" s="1"/>
  <c r="AT90" i="7" a="1"/>
  <c r="AT90" i="7" s="1"/>
  <c r="AS90" i="7"/>
  <c r="AP90" i="7"/>
  <c r="AM90" i="7"/>
  <c r="AJ90" i="7"/>
  <c r="AG90" i="7"/>
  <c r="AD90" i="7"/>
  <c r="X90" i="7" a="1"/>
  <c r="X90" i="7" s="1"/>
  <c r="D90" i="7" s="1"/>
  <c r="V90" i="7"/>
  <c r="R90" i="7"/>
  <c r="N90" i="7" a="1"/>
  <c r="N90" i="7" s="1"/>
  <c r="O90" i="7" s="1"/>
  <c r="L90" i="7"/>
  <c r="H90" i="7"/>
  <c r="C90" i="7" a="1"/>
  <c r="C90" i="7" s="1"/>
  <c r="A90" i="7" a="1"/>
  <c r="A90" i="7" s="1"/>
  <c r="AT89" i="7" a="1"/>
  <c r="AT89" i="7" s="1"/>
  <c r="AS89" i="7"/>
  <c r="AP89" i="7"/>
  <c r="AM89" i="7"/>
  <c r="AJ89" i="7"/>
  <c r="AG89" i="7"/>
  <c r="AD89" i="7"/>
  <c r="X89" i="7" a="1"/>
  <c r="X89" i="7" s="1"/>
  <c r="D89" i="7" s="1"/>
  <c r="V89" i="7"/>
  <c r="R89" i="7"/>
  <c r="N89" i="7" a="1"/>
  <c r="N89" i="7" s="1"/>
  <c r="O89" i="7" s="1"/>
  <c r="L89" i="7"/>
  <c r="H89" i="7"/>
  <c r="C89" i="7" a="1"/>
  <c r="C89" i="7" s="1"/>
  <c r="A89" i="7" a="1"/>
  <c r="A89" i="7" s="1"/>
  <c r="AT88" i="7" a="1"/>
  <c r="AT88" i="7" s="1"/>
  <c r="AS88" i="7"/>
  <c r="AP88" i="7"/>
  <c r="AM88" i="7"/>
  <c r="AJ88" i="7"/>
  <c r="AG88" i="7"/>
  <c r="AD88" i="7"/>
  <c r="X88" i="7" a="1"/>
  <c r="X88" i="7" s="1"/>
  <c r="Y88" i="7" s="1"/>
  <c r="V88" i="7"/>
  <c r="R88" i="7"/>
  <c r="N88" i="7" a="1"/>
  <c r="N88" i="7" s="1"/>
  <c r="O88" i="7" s="1"/>
  <c r="L88" i="7"/>
  <c r="H88" i="7"/>
  <c r="C88" i="7" a="1"/>
  <c r="C88" i="7" s="1"/>
  <c r="A88" i="7" a="1"/>
  <c r="A88" i="7" s="1"/>
  <c r="AT87" i="7" a="1"/>
  <c r="AT87" i="7" s="1"/>
  <c r="AS87" i="7"/>
  <c r="AP87" i="7"/>
  <c r="AM87" i="7"/>
  <c r="AJ87" i="7"/>
  <c r="AG87" i="7"/>
  <c r="AD87" i="7"/>
  <c r="X87" i="7" a="1"/>
  <c r="X87" i="7" s="1"/>
  <c r="Y87" i="7" s="1"/>
  <c r="V87" i="7"/>
  <c r="R87" i="7"/>
  <c r="N87" i="7" a="1"/>
  <c r="N87" i="7" s="1"/>
  <c r="O87" i="7" s="1"/>
  <c r="L87" i="7"/>
  <c r="H87" i="7"/>
  <c r="C87" i="7" a="1"/>
  <c r="C87" i="7" s="1"/>
  <c r="A87" i="7" a="1"/>
  <c r="A87" i="7" s="1"/>
  <c r="AT86" i="7" a="1"/>
  <c r="AT86" i="7" s="1"/>
  <c r="AS86" i="7"/>
  <c r="AP86" i="7"/>
  <c r="AM86" i="7"/>
  <c r="AJ86" i="7"/>
  <c r="AG86" i="7"/>
  <c r="AD86" i="7"/>
  <c r="X86" i="7" a="1"/>
  <c r="X86" i="7" s="1"/>
  <c r="Y86" i="7" s="1"/>
  <c r="V86" i="7"/>
  <c r="R86" i="7"/>
  <c r="N86" i="7" a="1"/>
  <c r="N86" i="7" s="1"/>
  <c r="O86" i="7" s="1"/>
  <c r="L86" i="7"/>
  <c r="H86" i="7"/>
  <c r="C86" i="7" a="1"/>
  <c r="C86" i="7" s="1"/>
  <c r="A86" i="7" a="1"/>
  <c r="A86" i="7" s="1"/>
  <c r="AT85" i="7" a="1"/>
  <c r="AT85" i="7" s="1"/>
  <c r="AS85" i="7"/>
  <c r="AP85" i="7"/>
  <c r="AM85" i="7"/>
  <c r="AJ85" i="7"/>
  <c r="AG85" i="7"/>
  <c r="AD85" i="7"/>
  <c r="X85" i="7" a="1"/>
  <c r="X85" i="7" s="1"/>
  <c r="D85" i="7" s="1"/>
  <c r="V85" i="7"/>
  <c r="R85" i="7"/>
  <c r="N85" i="7" a="1"/>
  <c r="N85" i="7" s="1"/>
  <c r="O85" i="7" s="1"/>
  <c r="L85" i="7"/>
  <c r="H85" i="7"/>
  <c r="C85" i="7" a="1"/>
  <c r="C85" i="7" s="1"/>
  <c r="A85" i="7" a="1"/>
  <c r="A85" i="7" s="1"/>
  <c r="AT84" i="7" a="1"/>
  <c r="AT84" i="7" s="1"/>
  <c r="AS84" i="7"/>
  <c r="AP84" i="7"/>
  <c r="AM84" i="7"/>
  <c r="AJ84" i="7"/>
  <c r="AG84" i="7"/>
  <c r="AD84" i="7"/>
  <c r="X84" i="7" a="1"/>
  <c r="X84" i="7" s="1"/>
  <c r="D84" i="7" s="1"/>
  <c r="V84" i="7"/>
  <c r="R84" i="7"/>
  <c r="N84" i="7" a="1"/>
  <c r="N84" i="7" s="1"/>
  <c r="O84" i="7" s="1"/>
  <c r="L84" i="7"/>
  <c r="H84" i="7"/>
  <c r="C84" i="7" a="1"/>
  <c r="C84" i="7" s="1"/>
  <c r="A84" i="7" a="1"/>
  <c r="A84" i="7" s="1"/>
  <c r="AT83" i="7" a="1"/>
  <c r="AT83" i="7" s="1"/>
  <c r="AS83" i="7"/>
  <c r="AP83" i="7"/>
  <c r="AM83" i="7"/>
  <c r="AJ83" i="7"/>
  <c r="AG83" i="7"/>
  <c r="AD83" i="7"/>
  <c r="X83" i="7" a="1"/>
  <c r="X83" i="7" s="1"/>
  <c r="Y83" i="7" s="1"/>
  <c r="V83" i="7"/>
  <c r="R83" i="7"/>
  <c r="N83" i="7" a="1"/>
  <c r="N83" i="7" s="1"/>
  <c r="O83" i="7" s="1"/>
  <c r="L83" i="7"/>
  <c r="H83" i="7"/>
  <c r="C83" i="7" a="1"/>
  <c r="C83" i="7" s="1"/>
  <c r="A83" i="7" a="1"/>
  <c r="A83" i="7" s="1"/>
  <c r="AT82" i="7" a="1"/>
  <c r="AT82" i="7" s="1"/>
  <c r="AS82" i="7"/>
  <c r="AP82" i="7"/>
  <c r="AM82" i="7"/>
  <c r="AJ82" i="7"/>
  <c r="AG82" i="7"/>
  <c r="AD82" i="7"/>
  <c r="X82" i="7" a="1"/>
  <c r="X82" i="7" s="1"/>
  <c r="Y82" i="7" s="1"/>
  <c r="V82" i="7"/>
  <c r="R82" i="7"/>
  <c r="N82" i="7" a="1"/>
  <c r="N82" i="7" s="1"/>
  <c r="O82" i="7" s="1"/>
  <c r="L82" i="7"/>
  <c r="H82" i="7"/>
  <c r="C82" i="7" a="1"/>
  <c r="C82" i="7" s="1"/>
  <c r="A82" i="7" a="1"/>
  <c r="A82" i="7" s="1"/>
  <c r="AT81" i="7" a="1"/>
  <c r="AT81" i="7" s="1"/>
  <c r="AS81" i="7"/>
  <c r="AP81" i="7"/>
  <c r="AM81" i="7"/>
  <c r="AJ81" i="7"/>
  <c r="AG81" i="7"/>
  <c r="AD81" i="7"/>
  <c r="X81" i="7" a="1"/>
  <c r="X81" i="7" s="1"/>
  <c r="D81" i="7" s="1"/>
  <c r="V81" i="7"/>
  <c r="R81" i="7"/>
  <c r="N81" i="7" a="1"/>
  <c r="N81" i="7" s="1"/>
  <c r="O81" i="7" s="1"/>
  <c r="L81" i="7"/>
  <c r="H81" i="7"/>
  <c r="C81" i="7" a="1"/>
  <c r="C81" i="7" s="1"/>
  <c r="A81" i="7" a="1"/>
  <c r="A81" i="7" s="1"/>
  <c r="AT80" i="7" a="1"/>
  <c r="AT80" i="7" s="1"/>
  <c r="AS80" i="7"/>
  <c r="AP80" i="7"/>
  <c r="AM80" i="7"/>
  <c r="AJ80" i="7"/>
  <c r="AG80" i="7"/>
  <c r="AD80" i="7"/>
  <c r="X80" i="7" a="1"/>
  <c r="X80" i="7" s="1"/>
  <c r="D80" i="7" s="1"/>
  <c r="V80" i="7"/>
  <c r="R80" i="7"/>
  <c r="N80" i="7" a="1"/>
  <c r="N80" i="7" s="1"/>
  <c r="O80" i="7" s="1"/>
  <c r="L80" i="7"/>
  <c r="H80" i="7"/>
  <c r="C80" i="7" a="1"/>
  <c r="C80" i="7" s="1"/>
  <c r="A80" i="7" a="1"/>
  <c r="A80" i="7" s="1"/>
  <c r="AT79" i="7" a="1"/>
  <c r="AT79" i="7" s="1"/>
  <c r="AS79" i="7"/>
  <c r="AP79" i="7"/>
  <c r="AM79" i="7"/>
  <c r="AJ79" i="7"/>
  <c r="AG79" i="7"/>
  <c r="AD79" i="7"/>
  <c r="X79" i="7" a="1"/>
  <c r="X79" i="7" s="1"/>
  <c r="Y79" i="7" s="1"/>
  <c r="V79" i="7"/>
  <c r="R79" i="7"/>
  <c r="N79" i="7" a="1"/>
  <c r="N79" i="7" s="1"/>
  <c r="O79" i="7" s="1"/>
  <c r="L79" i="7"/>
  <c r="H79" i="7"/>
  <c r="C79" i="7" a="1"/>
  <c r="C79" i="7" s="1"/>
  <c r="A79" i="7" a="1"/>
  <c r="A79" i="7" s="1"/>
  <c r="AT78" i="7" a="1"/>
  <c r="AT78" i="7" s="1"/>
  <c r="AS78" i="7"/>
  <c r="AP78" i="7"/>
  <c r="AM78" i="7"/>
  <c r="AJ78" i="7"/>
  <c r="AG78" i="7"/>
  <c r="AD78" i="7"/>
  <c r="X78" i="7" a="1"/>
  <c r="X78" i="7" s="1"/>
  <c r="Y78" i="7" s="1"/>
  <c r="V78" i="7"/>
  <c r="R78" i="7"/>
  <c r="N78" i="7" a="1"/>
  <c r="N78" i="7" s="1"/>
  <c r="O78" i="7" s="1"/>
  <c r="L78" i="7"/>
  <c r="H78" i="7"/>
  <c r="C78" i="7" a="1"/>
  <c r="C78" i="7" s="1"/>
  <c r="A78" i="7" a="1"/>
  <c r="A78" i="7" s="1"/>
  <c r="AT77" i="7" a="1"/>
  <c r="AT77" i="7" s="1"/>
  <c r="AS77" i="7"/>
  <c r="AP77" i="7"/>
  <c r="AM77" i="7"/>
  <c r="AJ77" i="7"/>
  <c r="AG77" i="7"/>
  <c r="AD77" i="7"/>
  <c r="X77" i="7" a="1"/>
  <c r="X77" i="7" s="1"/>
  <c r="D77" i="7" s="1"/>
  <c r="V77" i="7"/>
  <c r="R77" i="7"/>
  <c r="N77" i="7" a="1"/>
  <c r="N77" i="7" s="1"/>
  <c r="O77" i="7" s="1"/>
  <c r="L77" i="7"/>
  <c r="H77" i="7"/>
  <c r="C77" i="7" a="1"/>
  <c r="C77" i="7" s="1"/>
  <c r="A77" i="7" a="1"/>
  <c r="A77" i="7" s="1"/>
  <c r="AT76" i="7" a="1"/>
  <c r="AT76" i="7" s="1"/>
  <c r="AS76" i="7"/>
  <c r="AP76" i="7"/>
  <c r="AM76" i="7"/>
  <c r="AJ76" i="7"/>
  <c r="AG76" i="7"/>
  <c r="AD76" i="7"/>
  <c r="X76" i="7" a="1"/>
  <c r="X76" i="7" s="1"/>
  <c r="Y76" i="7" s="1"/>
  <c r="V76" i="7"/>
  <c r="R76" i="7"/>
  <c r="N76" i="7" a="1"/>
  <c r="N76" i="7" s="1"/>
  <c r="O76" i="7" s="1"/>
  <c r="L76" i="7"/>
  <c r="H76" i="7"/>
  <c r="C76" i="7" a="1"/>
  <c r="C76" i="7" s="1"/>
  <c r="A76" i="7" a="1"/>
  <c r="A76" i="7" s="1"/>
  <c r="AT75" i="7" a="1"/>
  <c r="AT75" i="7" s="1"/>
  <c r="AS75" i="7"/>
  <c r="AP75" i="7"/>
  <c r="AM75" i="7"/>
  <c r="AJ75" i="7"/>
  <c r="AG75" i="7"/>
  <c r="AD75" i="7"/>
  <c r="X75" i="7" a="1"/>
  <c r="X75" i="7" s="1"/>
  <c r="D75" i="7" s="1"/>
  <c r="V75" i="7"/>
  <c r="R75" i="7"/>
  <c r="N75" i="7" a="1"/>
  <c r="N75" i="7" s="1"/>
  <c r="O75" i="7" s="1"/>
  <c r="L75" i="7"/>
  <c r="H75" i="7"/>
  <c r="C75" i="7" a="1"/>
  <c r="C75" i="7" s="1"/>
  <c r="A75" i="7" a="1"/>
  <c r="A75" i="7" s="1"/>
  <c r="AT74" i="7" a="1"/>
  <c r="AT74" i="7" s="1"/>
  <c r="AS74" i="7"/>
  <c r="AP74" i="7"/>
  <c r="AM74" i="7"/>
  <c r="AJ74" i="7"/>
  <c r="AG74" i="7"/>
  <c r="AD74" i="7"/>
  <c r="X74" i="7" a="1"/>
  <c r="X74" i="7" s="1"/>
  <c r="Y74" i="7" s="1"/>
  <c r="V74" i="7"/>
  <c r="R74" i="7"/>
  <c r="N74" i="7" a="1"/>
  <c r="N74" i="7" s="1"/>
  <c r="O74" i="7" s="1"/>
  <c r="L74" i="7"/>
  <c r="H74" i="7"/>
  <c r="C74" i="7" a="1"/>
  <c r="C74" i="7" s="1"/>
  <c r="A74" i="7" a="1"/>
  <c r="A74" i="7" s="1"/>
  <c r="AT73" i="7" a="1"/>
  <c r="AT73" i="7" s="1"/>
  <c r="AS73" i="7"/>
  <c r="AP73" i="7"/>
  <c r="AM73" i="7"/>
  <c r="AJ73" i="7"/>
  <c r="AG73" i="7"/>
  <c r="AD73" i="7"/>
  <c r="X73" i="7" a="1"/>
  <c r="X73" i="7" s="1"/>
  <c r="D73" i="7" s="1"/>
  <c r="V73" i="7"/>
  <c r="R73" i="7"/>
  <c r="N73" i="7" a="1"/>
  <c r="N73" i="7" s="1"/>
  <c r="O73" i="7" s="1"/>
  <c r="L73" i="7"/>
  <c r="H73" i="7"/>
  <c r="C73" i="7" a="1"/>
  <c r="C73" i="7" s="1"/>
  <c r="A73" i="7" a="1"/>
  <c r="A73" i="7" s="1"/>
  <c r="AT72" i="7" a="1"/>
  <c r="AT72" i="7" s="1"/>
  <c r="AS72" i="7"/>
  <c r="AP72" i="7"/>
  <c r="AM72" i="7"/>
  <c r="AJ72" i="7"/>
  <c r="AG72" i="7"/>
  <c r="AD72" i="7"/>
  <c r="X72" i="7" a="1"/>
  <c r="X72" i="7" s="1"/>
  <c r="D72" i="7" s="1"/>
  <c r="V72" i="7"/>
  <c r="R72" i="7"/>
  <c r="N72" i="7" a="1"/>
  <c r="N72" i="7" s="1"/>
  <c r="O72" i="7" s="1"/>
  <c r="L72" i="7"/>
  <c r="H72" i="7"/>
  <c r="C72" i="7" a="1"/>
  <c r="C72" i="7" s="1"/>
  <c r="A72" i="7" a="1"/>
  <c r="A72" i="7" s="1"/>
  <c r="AT71" i="7" a="1"/>
  <c r="AT71" i="7" s="1"/>
  <c r="AS71" i="7"/>
  <c r="AP71" i="7"/>
  <c r="AM71" i="7"/>
  <c r="AJ71" i="7"/>
  <c r="AG71" i="7"/>
  <c r="AD71" i="7"/>
  <c r="X71" i="7" a="1"/>
  <c r="X71" i="7" s="1"/>
  <c r="D71" i="7" s="1"/>
  <c r="V71" i="7"/>
  <c r="R71" i="7"/>
  <c r="N71" i="7" a="1"/>
  <c r="N71" i="7" s="1"/>
  <c r="O71" i="7" s="1"/>
  <c r="L71" i="7"/>
  <c r="H71" i="7"/>
  <c r="C71" i="7" a="1"/>
  <c r="C71" i="7" s="1"/>
  <c r="A71" i="7" a="1"/>
  <c r="A71" i="7" s="1"/>
  <c r="AT70" i="7" a="1"/>
  <c r="AT70" i="7" s="1"/>
  <c r="AS70" i="7"/>
  <c r="AP70" i="7"/>
  <c r="AM70" i="7"/>
  <c r="AJ70" i="7"/>
  <c r="AG70" i="7"/>
  <c r="AD70" i="7"/>
  <c r="X70" i="7" a="1"/>
  <c r="X70" i="7" s="1"/>
  <c r="D70" i="7" s="1"/>
  <c r="V70" i="7"/>
  <c r="R70" i="7"/>
  <c r="N70" i="7" a="1"/>
  <c r="N70" i="7" s="1"/>
  <c r="O70" i="7" s="1"/>
  <c r="L70" i="7"/>
  <c r="H70" i="7"/>
  <c r="C70" i="7" a="1"/>
  <c r="C70" i="7" s="1"/>
  <c r="A70" i="7" a="1"/>
  <c r="A70" i="7" s="1"/>
  <c r="AT69" i="7" a="1"/>
  <c r="AT69" i="7" s="1"/>
  <c r="AS69" i="7"/>
  <c r="AP69" i="7"/>
  <c r="AM69" i="7"/>
  <c r="AJ69" i="7"/>
  <c r="AG69" i="7"/>
  <c r="AD69" i="7"/>
  <c r="X69" i="7" a="1"/>
  <c r="X69" i="7" s="1"/>
  <c r="D69" i="7" s="1"/>
  <c r="V69" i="7"/>
  <c r="R69" i="7"/>
  <c r="N69" i="7" a="1"/>
  <c r="N69" i="7" s="1"/>
  <c r="O69" i="7" s="1"/>
  <c r="L69" i="7"/>
  <c r="H69" i="7"/>
  <c r="C69" i="7" a="1"/>
  <c r="C69" i="7" s="1"/>
  <c r="A69" i="7" a="1"/>
  <c r="A69" i="7" s="1"/>
  <c r="AT68" i="7" a="1"/>
  <c r="AT68" i="7" s="1"/>
  <c r="AS68" i="7"/>
  <c r="AP68" i="7"/>
  <c r="AM68" i="7"/>
  <c r="AJ68" i="7"/>
  <c r="AG68" i="7"/>
  <c r="AD68" i="7"/>
  <c r="X68" i="7" a="1"/>
  <c r="X68" i="7" s="1"/>
  <c r="Y68" i="7" s="1"/>
  <c r="V68" i="7"/>
  <c r="R68" i="7"/>
  <c r="N68" i="7" a="1"/>
  <c r="N68" i="7" s="1"/>
  <c r="O68" i="7" s="1"/>
  <c r="L68" i="7"/>
  <c r="H68" i="7"/>
  <c r="C68" i="7" a="1"/>
  <c r="C68" i="7" s="1"/>
  <c r="A68" i="7" a="1"/>
  <c r="A68" i="7" s="1"/>
  <c r="AT67" i="7" a="1"/>
  <c r="AT67" i="7" s="1"/>
  <c r="AS67" i="7"/>
  <c r="AP67" i="7"/>
  <c r="AM67" i="7"/>
  <c r="AJ67" i="7"/>
  <c r="AG67" i="7"/>
  <c r="AD67" i="7"/>
  <c r="X67" i="7" a="1"/>
  <c r="X67" i="7" s="1"/>
  <c r="Y67" i="7" s="1"/>
  <c r="V67" i="7"/>
  <c r="R67" i="7"/>
  <c r="N67" i="7" a="1"/>
  <c r="N67" i="7" s="1"/>
  <c r="O67" i="7" s="1"/>
  <c r="L67" i="7"/>
  <c r="H67" i="7"/>
  <c r="C67" i="7" a="1"/>
  <c r="C67" i="7" s="1"/>
  <c r="A67" i="7" a="1"/>
  <c r="A67" i="7" s="1"/>
  <c r="AT66" i="7" a="1"/>
  <c r="AT66" i="7" s="1"/>
  <c r="AS66" i="7"/>
  <c r="AP66" i="7"/>
  <c r="AM66" i="7"/>
  <c r="AJ66" i="7"/>
  <c r="AG66" i="7"/>
  <c r="AD66" i="7"/>
  <c r="X66" i="7" a="1"/>
  <c r="X66" i="7" s="1"/>
  <c r="D66" i="7" s="1"/>
  <c r="V66" i="7"/>
  <c r="R66" i="7"/>
  <c r="N66" i="7" a="1"/>
  <c r="N66" i="7" s="1"/>
  <c r="O66" i="7" s="1"/>
  <c r="L66" i="7"/>
  <c r="H66" i="7"/>
  <c r="C66" i="7" a="1"/>
  <c r="C66" i="7" s="1"/>
  <c r="A66" i="7" a="1"/>
  <c r="A66" i="7" s="1"/>
  <c r="AT65" i="7" a="1"/>
  <c r="AT65" i="7" s="1"/>
  <c r="AS65" i="7"/>
  <c r="AP65" i="7"/>
  <c r="AM65" i="7"/>
  <c r="AJ65" i="7"/>
  <c r="AG65" i="7"/>
  <c r="AD65" i="7"/>
  <c r="X65" i="7" a="1"/>
  <c r="X65" i="7" s="1"/>
  <c r="D65" i="7" s="1"/>
  <c r="V65" i="7"/>
  <c r="R65" i="7"/>
  <c r="N65" i="7" a="1"/>
  <c r="N65" i="7" s="1"/>
  <c r="O65" i="7" s="1"/>
  <c r="L65" i="7"/>
  <c r="H65" i="7"/>
  <c r="C65" i="7" a="1"/>
  <c r="C65" i="7" s="1"/>
  <c r="A65" i="7" a="1"/>
  <c r="A65" i="7" s="1"/>
  <c r="AT64" i="7" a="1"/>
  <c r="AT64" i="7" s="1"/>
  <c r="AS64" i="7"/>
  <c r="AP64" i="7"/>
  <c r="AM64" i="7"/>
  <c r="AJ64" i="7"/>
  <c r="AG64" i="7"/>
  <c r="AD64" i="7"/>
  <c r="X64" i="7" a="1"/>
  <c r="X64" i="7" s="1"/>
  <c r="D64" i="7" s="1"/>
  <c r="V64" i="7"/>
  <c r="R64" i="7"/>
  <c r="N64" i="7" a="1"/>
  <c r="N64" i="7" s="1"/>
  <c r="O64" i="7" s="1"/>
  <c r="L64" i="7"/>
  <c r="H64" i="7"/>
  <c r="C64" i="7" a="1"/>
  <c r="C64" i="7" s="1"/>
  <c r="A64" i="7" a="1"/>
  <c r="A64" i="7" s="1"/>
  <c r="AT63" i="7" a="1"/>
  <c r="AT63" i="7" s="1"/>
  <c r="AS63" i="7"/>
  <c r="AP63" i="7"/>
  <c r="AM63" i="7"/>
  <c r="AJ63" i="7"/>
  <c r="AG63" i="7"/>
  <c r="AD63" i="7"/>
  <c r="X63" i="7" a="1"/>
  <c r="X63" i="7" s="1"/>
  <c r="D63" i="7" s="1"/>
  <c r="V63" i="7"/>
  <c r="R63" i="7"/>
  <c r="N63" i="7" a="1"/>
  <c r="N63" i="7" s="1"/>
  <c r="O63" i="7" s="1"/>
  <c r="L63" i="7"/>
  <c r="H63" i="7"/>
  <c r="C63" i="7" a="1"/>
  <c r="C63" i="7" s="1"/>
  <c r="A63" i="7" a="1"/>
  <c r="A63" i="7" s="1"/>
  <c r="AT62" i="7" a="1"/>
  <c r="AT62" i="7" s="1"/>
  <c r="AS62" i="7"/>
  <c r="AP62" i="7"/>
  <c r="AM62" i="7"/>
  <c r="AJ62" i="7"/>
  <c r="AG62" i="7"/>
  <c r="AD62" i="7"/>
  <c r="X62" i="7" a="1"/>
  <c r="X62" i="7" s="1"/>
  <c r="Y62" i="7" s="1"/>
  <c r="V62" i="7"/>
  <c r="R62" i="7"/>
  <c r="N62" i="7" a="1"/>
  <c r="N62" i="7" s="1"/>
  <c r="O62" i="7" s="1"/>
  <c r="L62" i="7"/>
  <c r="H62" i="7"/>
  <c r="C62" i="7" a="1"/>
  <c r="C62" i="7" s="1"/>
  <c r="A62" i="7" a="1"/>
  <c r="A62" i="7" s="1"/>
  <c r="AT61" i="7" a="1"/>
  <c r="AT61" i="7" s="1"/>
  <c r="AS61" i="7"/>
  <c r="AP61" i="7"/>
  <c r="AM61" i="7"/>
  <c r="AJ61" i="7"/>
  <c r="AG61" i="7"/>
  <c r="AD61" i="7"/>
  <c r="X61" i="7" a="1"/>
  <c r="X61" i="7" s="1"/>
  <c r="D61" i="7" s="1"/>
  <c r="V61" i="7"/>
  <c r="R61" i="7"/>
  <c r="N61" i="7" a="1"/>
  <c r="N61" i="7" s="1"/>
  <c r="O61" i="7" s="1"/>
  <c r="L61" i="7"/>
  <c r="H61" i="7"/>
  <c r="C61" i="7" a="1"/>
  <c r="C61" i="7" s="1"/>
  <c r="A61" i="7" a="1"/>
  <c r="A61" i="7" s="1"/>
  <c r="AT60" i="7" a="1"/>
  <c r="AT60" i="7" s="1"/>
  <c r="AS60" i="7"/>
  <c r="AP60" i="7"/>
  <c r="AM60" i="7"/>
  <c r="AJ60" i="7"/>
  <c r="AG60" i="7"/>
  <c r="AD60" i="7"/>
  <c r="X60" i="7" a="1"/>
  <c r="X60" i="7" s="1"/>
  <c r="D60" i="7" s="1"/>
  <c r="V60" i="7"/>
  <c r="R60" i="7"/>
  <c r="N60" i="7" a="1"/>
  <c r="N60" i="7" s="1"/>
  <c r="O60" i="7" s="1"/>
  <c r="L60" i="7"/>
  <c r="H60" i="7"/>
  <c r="C60" i="7" a="1"/>
  <c r="C60" i="7" s="1"/>
  <c r="A60" i="7" a="1"/>
  <c r="A60" i="7" s="1"/>
  <c r="AT59" i="7" a="1"/>
  <c r="AT59" i="7" s="1"/>
  <c r="AS59" i="7"/>
  <c r="AP59" i="7"/>
  <c r="AM59" i="7"/>
  <c r="AJ59" i="7"/>
  <c r="AG59" i="7"/>
  <c r="AD59" i="7"/>
  <c r="X59" i="7" a="1"/>
  <c r="X59" i="7" s="1"/>
  <c r="Y59" i="7" s="1"/>
  <c r="V59" i="7"/>
  <c r="R59" i="7"/>
  <c r="N59" i="7" a="1"/>
  <c r="N59" i="7" s="1"/>
  <c r="O59" i="7" s="1"/>
  <c r="L59" i="7"/>
  <c r="H59" i="7"/>
  <c r="C59" i="7" a="1"/>
  <c r="C59" i="7" s="1"/>
  <c r="A59" i="7" a="1"/>
  <c r="A59" i="7" s="1"/>
  <c r="AT58" i="7" a="1"/>
  <c r="AT58" i="7" s="1"/>
  <c r="AS58" i="7"/>
  <c r="AP58" i="7"/>
  <c r="AM58" i="7"/>
  <c r="AJ58" i="7"/>
  <c r="AG58" i="7"/>
  <c r="AD58" i="7"/>
  <c r="X58" i="7" a="1"/>
  <c r="X58" i="7" s="1"/>
  <c r="D58" i="7" s="1"/>
  <c r="V58" i="7"/>
  <c r="R58" i="7"/>
  <c r="N58" i="7" a="1"/>
  <c r="N58" i="7" s="1"/>
  <c r="O58" i="7" s="1"/>
  <c r="L58" i="7"/>
  <c r="H58" i="7"/>
  <c r="C58" i="7" a="1"/>
  <c r="C58" i="7" s="1"/>
  <c r="A58" i="7" a="1"/>
  <c r="A58" i="7" s="1"/>
  <c r="AT57" i="7" a="1"/>
  <c r="AT57" i="7" s="1"/>
  <c r="AS57" i="7"/>
  <c r="AP57" i="7"/>
  <c r="AM57" i="7"/>
  <c r="AJ57" i="7"/>
  <c r="AG57" i="7"/>
  <c r="AD57" i="7"/>
  <c r="X57" i="7" a="1"/>
  <c r="X57" i="7" s="1"/>
  <c r="D57" i="7" s="1"/>
  <c r="V57" i="7"/>
  <c r="R57" i="7"/>
  <c r="N57" i="7" a="1"/>
  <c r="N57" i="7" s="1"/>
  <c r="O57" i="7" s="1"/>
  <c r="L57" i="7"/>
  <c r="H57" i="7"/>
  <c r="C57" i="7" a="1"/>
  <c r="C57" i="7" s="1"/>
  <c r="A57" i="7" a="1"/>
  <c r="A57" i="7" s="1"/>
  <c r="AT56" i="7" a="1"/>
  <c r="AT56" i="7" s="1"/>
  <c r="AS56" i="7"/>
  <c r="AP56" i="7"/>
  <c r="AM56" i="7"/>
  <c r="AJ56" i="7"/>
  <c r="AG56" i="7"/>
  <c r="AD56" i="7"/>
  <c r="X56" i="7" a="1"/>
  <c r="X56" i="7" s="1"/>
  <c r="D56" i="7" s="1"/>
  <c r="V56" i="7"/>
  <c r="R56" i="7"/>
  <c r="N56" i="7" a="1"/>
  <c r="N56" i="7" s="1"/>
  <c r="O56" i="7" s="1"/>
  <c r="L56" i="7"/>
  <c r="H56" i="7"/>
  <c r="C56" i="7" a="1"/>
  <c r="C56" i="7" s="1"/>
  <c r="A56" i="7" a="1"/>
  <c r="A56" i="7" s="1"/>
  <c r="AT55" i="7" a="1"/>
  <c r="AT55" i="7" s="1"/>
  <c r="AS55" i="7"/>
  <c r="AP55" i="7"/>
  <c r="AM55" i="7"/>
  <c r="AJ55" i="7"/>
  <c r="AG55" i="7"/>
  <c r="AD55" i="7"/>
  <c r="X55" i="7" a="1"/>
  <c r="X55" i="7" s="1"/>
  <c r="D55" i="7" s="1"/>
  <c r="V55" i="7"/>
  <c r="R55" i="7"/>
  <c r="N55" i="7" a="1"/>
  <c r="N55" i="7" s="1"/>
  <c r="O55" i="7" s="1"/>
  <c r="L55" i="7"/>
  <c r="H55" i="7"/>
  <c r="C55" i="7" a="1"/>
  <c r="C55" i="7" s="1"/>
  <c r="A55" i="7" a="1"/>
  <c r="A55" i="7" s="1"/>
  <c r="AT54" i="7" a="1"/>
  <c r="AT54" i="7" s="1"/>
  <c r="AS54" i="7"/>
  <c r="AP54" i="7"/>
  <c r="AM54" i="7"/>
  <c r="AJ54" i="7"/>
  <c r="AG54" i="7"/>
  <c r="AD54" i="7"/>
  <c r="X54" i="7" a="1"/>
  <c r="X54" i="7" s="1"/>
  <c r="D54" i="7" s="1"/>
  <c r="V54" i="7"/>
  <c r="R54" i="7"/>
  <c r="N54" i="7" a="1"/>
  <c r="N54" i="7" s="1"/>
  <c r="O54" i="7" s="1"/>
  <c r="L54" i="7"/>
  <c r="H54" i="7"/>
  <c r="C54" i="7" a="1"/>
  <c r="C54" i="7" s="1"/>
  <c r="A54" i="7" a="1"/>
  <c r="A54" i="7" s="1"/>
  <c r="AT53" i="7" a="1"/>
  <c r="AT53" i="7" s="1"/>
  <c r="AS53" i="7"/>
  <c r="AP53" i="7"/>
  <c r="AM53" i="7"/>
  <c r="AJ53" i="7"/>
  <c r="AG53" i="7"/>
  <c r="AD53" i="7"/>
  <c r="X53" i="7" a="1"/>
  <c r="X53" i="7" s="1"/>
  <c r="Y53" i="7" s="1"/>
  <c r="V53" i="7"/>
  <c r="R53" i="7"/>
  <c r="N53" i="7" a="1"/>
  <c r="N53" i="7" s="1"/>
  <c r="O53" i="7" s="1"/>
  <c r="L53" i="7"/>
  <c r="H53" i="7"/>
  <c r="C53" i="7" a="1"/>
  <c r="C53" i="7" s="1"/>
  <c r="A53" i="7" a="1"/>
  <c r="A53" i="7" s="1"/>
  <c r="AT52" i="7" a="1"/>
  <c r="AT52" i="7" s="1"/>
  <c r="AS52" i="7"/>
  <c r="AP52" i="7"/>
  <c r="AM52" i="7"/>
  <c r="AJ52" i="7"/>
  <c r="AG52" i="7"/>
  <c r="AD52" i="7"/>
  <c r="X52" i="7" a="1"/>
  <c r="X52" i="7" s="1"/>
  <c r="Y52" i="7" s="1"/>
  <c r="V52" i="7"/>
  <c r="R52" i="7"/>
  <c r="N52" i="7" a="1"/>
  <c r="N52" i="7" s="1"/>
  <c r="O52" i="7" s="1"/>
  <c r="L52" i="7"/>
  <c r="H52" i="7"/>
  <c r="C52" i="7" a="1"/>
  <c r="C52" i="7" s="1"/>
  <c r="A52" i="7" a="1"/>
  <c r="A52" i="7" s="1"/>
  <c r="AT51" i="7" a="1"/>
  <c r="AT51" i="7" s="1"/>
  <c r="AS51" i="7"/>
  <c r="AP51" i="7"/>
  <c r="AM51" i="7"/>
  <c r="AJ51" i="7"/>
  <c r="AG51" i="7"/>
  <c r="AD51" i="7"/>
  <c r="X51" i="7" a="1"/>
  <c r="X51" i="7" s="1"/>
  <c r="Y51" i="7" s="1"/>
  <c r="V51" i="7"/>
  <c r="R51" i="7"/>
  <c r="N51" i="7" a="1"/>
  <c r="N51" i="7" s="1"/>
  <c r="O51" i="7" s="1"/>
  <c r="L51" i="7"/>
  <c r="H51" i="7"/>
  <c r="C51" i="7" a="1"/>
  <c r="C51" i="7" s="1"/>
  <c r="A51" i="7" a="1"/>
  <c r="A51" i="7" s="1"/>
  <c r="AT50" i="7" a="1"/>
  <c r="AT50" i="7" s="1"/>
  <c r="AS50" i="7"/>
  <c r="AP50" i="7"/>
  <c r="AM50" i="7"/>
  <c r="AJ50" i="7"/>
  <c r="AG50" i="7"/>
  <c r="AD50" i="7"/>
  <c r="X50" i="7" a="1"/>
  <c r="X50" i="7" s="1"/>
  <c r="D50" i="7" s="1"/>
  <c r="V50" i="7"/>
  <c r="R50" i="7"/>
  <c r="N50" i="7" a="1"/>
  <c r="N50" i="7" s="1"/>
  <c r="O50" i="7" s="1"/>
  <c r="L50" i="7"/>
  <c r="H50" i="7"/>
  <c r="C50" i="7" a="1"/>
  <c r="C50" i="7" s="1"/>
  <c r="A50" i="7" a="1"/>
  <c r="A50" i="7" s="1"/>
  <c r="AT49" i="7" a="1"/>
  <c r="AT49" i="7" s="1"/>
  <c r="AS49" i="7"/>
  <c r="AP49" i="7"/>
  <c r="AM49" i="7"/>
  <c r="AJ49" i="7"/>
  <c r="AG49" i="7"/>
  <c r="AD49" i="7"/>
  <c r="X49" i="7" a="1"/>
  <c r="X49" i="7" s="1"/>
  <c r="Y49" i="7" s="1"/>
  <c r="V49" i="7"/>
  <c r="R49" i="7"/>
  <c r="N49" i="7" a="1"/>
  <c r="N49" i="7" s="1"/>
  <c r="O49" i="7" s="1"/>
  <c r="L49" i="7"/>
  <c r="H49" i="7"/>
  <c r="C49" i="7" a="1"/>
  <c r="C49" i="7" s="1"/>
  <c r="A49" i="7" a="1"/>
  <c r="A49" i="7" s="1"/>
  <c r="AT48" i="7" a="1"/>
  <c r="AT48" i="7" s="1"/>
  <c r="AS48" i="7"/>
  <c r="AP48" i="7"/>
  <c r="AM48" i="7"/>
  <c r="AJ48" i="7"/>
  <c r="AG48" i="7"/>
  <c r="AD48" i="7"/>
  <c r="X48" i="7" a="1"/>
  <c r="X48" i="7" s="1"/>
  <c r="Y48" i="7" s="1"/>
  <c r="V48" i="7"/>
  <c r="R48" i="7"/>
  <c r="N48" i="7" a="1"/>
  <c r="N48" i="7" s="1"/>
  <c r="O48" i="7" s="1"/>
  <c r="L48" i="7"/>
  <c r="H48" i="7"/>
  <c r="C48" i="7" a="1"/>
  <c r="C48" i="7" s="1"/>
  <c r="A48" i="7" a="1"/>
  <c r="A48" i="7" s="1"/>
  <c r="AT47" i="7" a="1"/>
  <c r="AT47" i="7" s="1"/>
  <c r="AS47" i="7"/>
  <c r="AP47" i="7"/>
  <c r="AM47" i="7"/>
  <c r="AJ47" i="7"/>
  <c r="AG47" i="7"/>
  <c r="AD47" i="7"/>
  <c r="X47" i="7" a="1"/>
  <c r="X47" i="7" s="1"/>
  <c r="D47" i="7" s="1"/>
  <c r="V47" i="7"/>
  <c r="R47" i="7"/>
  <c r="N47" i="7" a="1"/>
  <c r="N47" i="7" s="1"/>
  <c r="O47" i="7" s="1"/>
  <c r="L47" i="7"/>
  <c r="H47" i="7"/>
  <c r="C47" i="7" a="1"/>
  <c r="C47" i="7" s="1"/>
  <c r="A47" i="7" a="1"/>
  <c r="A47" i="7" s="1"/>
  <c r="AT46" i="7" a="1"/>
  <c r="AT46" i="7" s="1"/>
  <c r="AS46" i="7"/>
  <c r="AP46" i="7"/>
  <c r="AM46" i="7"/>
  <c r="AJ46" i="7"/>
  <c r="AG46" i="7"/>
  <c r="AD46" i="7"/>
  <c r="X46" i="7" a="1"/>
  <c r="X46" i="7" s="1"/>
  <c r="Y46" i="7" s="1"/>
  <c r="V46" i="7"/>
  <c r="R46" i="7"/>
  <c r="N46" i="7" a="1"/>
  <c r="N46" i="7" s="1"/>
  <c r="O46" i="7" s="1"/>
  <c r="L46" i="7"/>
  <c r="H46" i="7"/>
  <c r="C46" i="7" a="1"/>
  <c r="C46" i="7" s="1"/>
  <c r="A46" i="7" a="1"/>
  <c r="A46" i="7" s="1"/>
  <c r="AT45" i="7" a="1"/>
  <c r="AT45" i="7" s="1"/>
  <c r="AS45" i="7"/>
  <c r="AP45" i="7"/>
  <c r="AM45" i="7"/>
  <c r="AJ45" i="7"/>
  <c r="AG45" i="7"/>
  <c r="AD45" i="7"/>
  <c r="X45" i="7" a="1"/>
  <c r="X45" i="7" s="1"/>
  <c r="D45" i="7" s="1"/>
  <c r="V45" i="7"/>
  <c r="R45" i="7"/>
  <c r="N45" i="7" a="1"/>
  <c r="N45" i="7" s="1"/>
  <c r="O45" i="7" s="1"/>
  <c r="L45" i="7"/>
  <c r="H45" i="7"/>
  <c r="C45" i="7" a="1"/>
  <c r="C45" i="7" s="1"/>
  <c r="A45" i="7" a="1"/>
  <c r="A45" i="7" s="1"/>
  <c r="AT44" i="7" a="1"/>
  <c r="AT44" i="7" s="1"/>
  <c r="AS44" i="7"/>
  <c r="AP44" i="7"/>
  <c r="AM44" i="7"/>
  <c r="AJ44" i="7"/>
  <c r="AG44" i="7"/>
  <c r="AD44" i="7"/>
  <c r="X44" i="7" a="1"/>
  <c r="X44" i="7" s="1"/>
  <c r="D44" i="7" s="1"/>
  <c r="V44" i="7"/>
  <c r="R44" i="7"/>
  <c r="N44" i="7" a="1"/>
  <c r="N44" i="7" s="1"/>
  <c r="O44" i="7" s="1"/>
  <c r="L44" i="7"/>
  <c r="H44" i="7"/>
  <c r="C44" i="7" a="1"/>
  <c r="C44" i="7" s="1"/>
  <c r="A44" i="7" a="1"/>
  <c r="A44" i="7" s="1"/>
  <c r="AT43" i="7" a="1"/>
  <c r="AT43" i="7" s="1"/>
  <c r="AS43" i="7"/>
  <c r="AP43" i="7"/>
  <c r="AM43" i="7"/>
  <c r="AJ43" i="7"/>
  <c r="AG43" i="7"/>
  <c r="AD43" i="7"/>
  <c r="X43" i="7" a="1"/>
  <c r="X43" i="7" s="1"/>
  <c r="Y43" i="7" s="1"/>
  <c r="V43" i="7"/>
  <c r="R43" i="7"/>
  <c r="N43" i="7" a="1"/>
  <c r="N43" i="7" s="1"/>
  <c r="O43" i="7" s="1"/>
  <c r="L43" i="7"/>
  <c r="H43" i="7"/>
  <c r="C43" i="7" a="1"/>
  <c r="C43" i="7" s="1"/>
  <c r="A43" i="7" a="1"/>
  <c r="A43" i="7" s="1"/>
  <c r="AT42" i="7" a="1"/>
  <c r="AT42" i="7" s="1"/>
  <c r="AS42" i="7"/>
  <c r="AP42" i="7"/>
  <c r="AM42" i="7"/>
  <c r="AJ42" i="7"/>
  <c r="AG42" i="7"/>
  <c r="AD42" i="7"/>
  <c r="X42" i="7" a="1"/>
  <c r="X42" i="7" s="1"/>
  <c r="D42" i="7" s="1"/>
  <c r="V42" i="7"/>
  <c r="R42" i="7"/>
  <c r="N42" i="7" a="1"/>
  <c r="N42" i="7" s="1"/>
  <c r="O42" i="7" s="1"/>
  <c r="L42" i="7"/>
  <c r="H42" i="7"/>
  <c r="C42" i="7" a="1"/>
  <c r="C42" i="7" s="1"/>
  <c r="A42" i="7" a="1"/>
  <c r="A42" i="7" s="1"/>
  <c r="AT41" i="7" a="1"/>
  <c r="AT41" i="7" s="1"/>
  <c r="AS41" i="7"/>
  <c r="AP41" i="7"/>
  <c r="AM41" i="7"/>
  <c r="AJ41" i="7"/>
  <c r="AG41" i="7"/>
  <c r="AD41" i="7"/>
  <c r="X41" i="7" a="1"/>
  <c r="X41" i="7" s="1"/>
  <c r="Y41" i="7" s="1"/>
  <c r="V41" i="7"/>
  <c r="R41" i="7"/>
  <c r="N41" i="7" a="1"/>
  <c r="N41" i="7" s="1"/>
  <c r="O41" i="7" s="1"/>
  <c r="L41" i="7"/>
  <c r="H41" i="7"/>
  <c r="C41" i="7" a="1"/>
  <c r="C41" i="7" s="1"/>
  <c r="A41" i="7" a="1"/>
  <c r="A41" i="7" s="1"/>
  <c r="AT40" i="7" a="1"/>
  <c r="AT40" i="7" s="1"/>
  <c r="AS40" i="7"/>
  <c r="AP40" i="7"/>
  <c r="AM40" i="7"/>
  <c r="AJ40" i="7"/>
  <c r="AG40" i="7"/>
  <c r="AD40" i="7"/>
  <c r="X40" i="7" a="1"/>
  <c r="X40" i="7" s="1"/>
  <c r="D40" i="7" s="1"/>
  <c r="V40" i="7"/>
  <c r="R40" i="7"/>
  <c r="N40" i="7" a="1"/>
  <c r="N40" i="7" s="1"/>
  <c r="O40" i="7" s="1"/>
  <c r="L40" i="7"/>
  <c r="H40" i="7"/>
  <c r="C40" i="7" a="1"/>
  <c r="C40" i="7" s="1"/>
  <c r="A40" i="7" a="1"/>
  <c r="A40" i="7" s="1"/>
  <c r="AT39" i="7" a="1"/>
  <c r="AT39" i="7" s="1"/>
  <c r="AS39" i="7"/>
  <c r="AP39" i="7"/>
  <c r="AM39" i="7"/>
  <c r="AJ39" i="7"/>
  <c r="AG39" i="7"/>
  <c r="AD39" i="7"/>
  <c r="X39" i="7" a="1"/>
  <c r="X39" i="7" s="1"/>
  <c r="D39" i="7" s="1"/>
  <c r="V39" i="7"/>
  <c r="R39" i="7"/>
  <c r="N39" i="7" a="1"/>
  <c r="N39" i="7" s="1"/>
  <c r="O39" i="7" s="1"/>
  <c r="L39" i="7"/>
  <c r="H39" i="7"/>
  <c r="C39" i="7" a="1"/>
  <c r="C39" i="7" s="1"/>
  <c r="A39" i="7" a="1"/>
  <c r="A39" i="7" s="1"/>
  <c r="AT38" i="7" a="1"/>
  <c r="AT38" i="7" s="1"/>
  <c r="AS38" i="7"/>
  <c r="AP38" i="7"/>
  <c r="AM38" i="7"/>
  <c r="AJ38" i="7"/>
  <c r="AG38" i="7"/>
  <c r="AD38" i="7"/>
  <c r="X38" i="7" a="1"/>
  <c r="X38" i="7" s="1"/>
  <c r="D38" i="7" s="1"/>
  <c r="V38" i="7"/>
  <c r="R38" i="7"/>
  <c r="N38" i="7" a="1"/>
  <c r="N38" i="7" s="1"/>
  <c r="O38" i="7" s="1"/>
  <c r="L38" i="7"/>
  <c r="H38" i="7"/>
  <c r="C38" i="7" a="1"/>
  <c r="C38" i="7" s="1"/>
  <c r="A38" i="7" a="1"/>
  <c r="A38" i="7" s="1"/>
  <c r="AT37" i="7" a="1"/>
  <c r="AT37" i="7" s="1"/>
  <c r="AS37" i="7"/>
  <c r="AP37" i="7"/>
  <c r="AM37" i="7"/>
  <c r="AJ37" i="7"/>
  <c r="AG37" i="7"/>
  <c r="AD37" i="7"/>
  <c r="X37" i="7" a="1"/>
  <c r="X37" i="7" s="1"/>
  <c r="D37" i="7" s="1"/>
  <c r="V37" i="7"/>
  <c r="R37" i="7"/>
  <c r="N37" i="7" a="1"/>
  <c r="N37" i="7" s="1"/>
  <c r="O37" i="7" s="1"/>
  <c r="L37" i="7"/>
  <c r="H37" i="7"/>
  <c r="C37" i="7" a="1"/>
  <c r="C37" i="7" s="1"/>
  <c r="A37" i="7" a="1"/>
  <c r="A37" i="7" s="1"/>
  <c r="AT36" i="7" a="1"/>
  <c r="AT36" i="7" s="1"/>
  <c r="AS36" i="7"/>
  <c r="AP36" i="7"/>
  <c r="AM36" i="7"/>
  <c r="AJ36" i="7"/>
  <c r="AG36" i="7"/>
  <c r="AD36" i="7"/>
  <c r="X36" i="7" a="1"/>
  <c r="X36" i="7" s="1"/>
  <c r="Y36" i="7" s="1"/>
  <c r="V36" i="7"/>
  <c r="R36" i="7"/>
  <c r="N36" i="7" a="1"/>
  <c r="N36" i="7" s="1"/>
  <c r="O36" i="7" s="1"/>
  <c r="L36" i="7"/>
  <c r="H36" i="7"/>
  <c r="C36" i="7" a="1"/>
  <c r="C36" i="7" s="1"/>
  <c r="A36" i="7" a="1"/>
  <c r="A36" i="7" s="1"/>
  <c r="AT35" i="7" a="1"/>
  <c r="AT35" i="7" s="1"/>
  <c r="AS35" i="7"/>
  <c r="AP35" i="7"/>
  <c r="AM35" i="7"/>
  <c r="AJ35" i="7"/>
  <c r="AG35" i="7"/>
  <c r="AD35" i="7"/>
  <c r="X35" i="7" a="1"/>
  <c r="X35" i="7" s="1"/>
  <c r="D35" i="7" s="1"/>
  <c r="V35" i="7"/>
  <c r="R35" i="7"/>
  <c r="N35" i="7" a="1"/>
  <c r="N35" i="7" s="1"/>
  <c r="O35" i="7" s="1"/>
  <c r="L35" i="7"/>
  <c r="H35" i="7"/>
  <c r="C35" i="7" a="1"/>
  <c r="C35" i="7" s="1"/>
  <c r="A35" i="7" a="1"/>
  <c r="A35" i="7" s="1"/>
  <c r="AT34" i="7" a="1"/>
  <c r="AT34" i="7" s="1"/>
  <c r="AS34" i="7"/>
  <c r="AP34" i="7"/>
  <c r="AM34" i="7"/>
  <c r="AJ34" i="7"/>
  <c r="AG34" i="7"/>
  <c r="AD34" i="7"/>
  <c r="X34" i="7" a="1"/>
  <c r="X34" i="7" s="1"/>
  <c r="Y34" i="7" s="1"/>
  <c r="V34" i="7"/>
  <c r="R34" i="7"/>
  <c r="N34" i="7" a="1"/>
  <c r="N34" i="7" s="1"/>
  <c r="O34" i="7" s="1"/>
  <c r="L34" i="7"/>
  <c r="H34" i="7"/>
  <c r="C34" i="7" a="1"/>
  <c r="C34" i="7" s="1"/>
  <c r="A34" i="7" a="1"/>
  <c r="A34" i="7" s="1"/>
  <c r="AT33" i="7" a="1"/>
  <c r="AT33" i="7" s="1"/>
  <c r="AS33" i="7"/>
  <c r="AP33" i="7"/>
  <c r="AM33" i="7"/>
  <c r="AJ33" i="7"/>
  <c r="AG33" i="7"/>
  <c r="AD33" i="7"/>
  <c r="X33" i="7" a="1"/>
  <c r="X33" i="7" s="1"/>
  <c r="D33" i="7" s="1"/>
  <c r="V33" i="7"/>
  <c r="R33" i="7"/>
  <c r="N33" i="7" a="1"/>
  <c r="N33" i="7" s="1"/>
  <c r="O33" i="7" s="1"/>
  <c r="L33" i="7"/>
  <c r="H33" i="7"/>
  <c r="C33" i="7" a="1"/>
  <c r="C33" i="7" s="1"/>
  <c r="A33" i="7" a="1"/>
  <c r="A33" i="7" s="1"/>
  <c r="AT32" i="7" a="1"/>
  <c r="AT32" i="7" s="1"/>
  <c r="AS32" i="7"/>
  <c r="AP32" i="7"/>
  <c r="AM32" i="7"/>
  <c r="AJ32" i="7"/>
  <c r="AG32" i="7"/>
  <c r="AD32" i="7"/>
  <c r="X32" i="7" a="1"/>
  <c r="X32" i="7" s="1"/>
  <c r="D32" i="7" s="1"/>
  <c r="V32" i="7"/>
  <c r="R32" i="7"/>
  <c r="N32" i="7" a="1"/>
  <c r="N32" i="7" s="1"/>
  <c r="O32" i="7" s="1"/>
  <c r="L32" i="7"/>
  <c r="H32" i="7"/>
  <c r="C32" i="7" a="1"/>
  <c r="C32" i="7" s="1"/>
  <c r="A32" i="7" a="1"/>
  <c r="A32" i="7" s="1"/>
  <c r="AT31" i="7" a="1"/>
  <c r="AT31" i="7" s="1"/>
  <c r="AS31" i="7"/>
  <c r="AP31" i="7"/>
  <c r="AM31" i="7"/>
  <c r="AJ31" i="7"/>
  <c r="AG31" i="7"/>
  <c r="AD31" i="7"/>
  <c r="X31" i="7" a="1"/>
  <c r="X31" i="7" s="1"/>
  <c r="D31" i="7" s="1"/>
  <c r="V31" i="7"/>
  <c r="R31" i="7"/>
  <c r="N31" i="7" a="1"/>
  <c r="N31" i="7" s="1"/>
  <c r="O31" i="7" s="1"/>
  <c r="L31" i="7"/>
  <c r="H31" i="7"/>
  <c r="C31" i="7" a="1"/>
  <c r="C31" i="7" s="1"/>
  <c r="A31" i="7" a="1"/>
  <c r="A31" i="7" s="1"/>
  <c r="AT30" i="7" a="1"/>
  <c r="AT30" i="7" s="1"/>
  <c r="AS30" i="7"/>
  <c r="AP30" i="7"/>
  <c r="AM30" i="7"/>
  <c r="AJ30" i="7"/>
  <c r="AG30" i="7"/>
  <c r="AD30" i="7"/>
  <c r="X30" i="7" a="1"/>
  <c r="X30" i="7" s="1"/>
  <c r="D30" i="7" s="1"/>
  <c r="V30" i="7"/>
  <c r="R30" i="7"/>
  <c r="N30" i="7" a="1"/>
  <c r="N30" i="7" s="1"/>
  <c r="O30" i="7" s="1"/>
  <c r="L30" i="7"/>
  <c r="H30" i="7"/>
  <c r="C30" i="7" a="1"/>
  <c r="C30" i="7" s="1"/>
  <c r="A30" i="7" a="1"/>
  <c r="A30" i="7" s="1"/>
  <c r="AT29" i="7" a="1"/>
  <c r="AT29" i="7" s="1"/>
  <c r="AS29" i="7"/>
  <c r="AP29" i="7"/>
  <c r="AM29" i="7"/>
  <c r="AJ29" i="7"/>
  <c r="AG29" i="7"/>
  <c r="AD29" i="7"/>
  <c r="X29" i="7" a="1"/>
  <c r="X29" i="7" s="1"/>
  <c r="D29" i="7" s="1"/>
  <c r="V29" i="7"/>
  <c r="R29" i="7"/>
  <c r="N29" i="7" a="1"/>
  <c r="N29" i="7" s="1"/>
  <c r="O29" i="7" s="1"/>
  <c r="L29" i="7"/>
  <c r="H29" i="7"/>
  <c r="C29" i="7" a="1"/>
  <c r="C29" i="7" s="1"/>
  <c r="A29" i="7" a="1"/>
  <c r="A29" i="7" s="1"/>
  <c r="AT28" i="7" a="1"/>
  <c r="AT28" i="7" s="1"/>
  <c r="AS28" i="7"/>
  <c r="AP28" i="7"/>
  <c r="AM28" i="7"/>
  <c r="AJ28" i="7"/>
  <c r="AG28" i="7"/>
  <c r="AD28" i="7"/>
  <c r="X28" i="7" a="1"/>
  <c r="X28" i="7" s="1"/>
  <c r="Y28" i="7" s="1"/>
  <c r="V28" i="7"/>
  <c r="R28" i="7"/>
  <c r="N28" i="7" a="1"/>
  <c r="N28" i="7" s="1"/>
  <c r="O28" i="7" s="1"/>
  <c r="L28" i="7"/>
  <c r="H28" i="7"/>
  <c r="C28" i="7" a="1"/>
  <c r="C28" i="7" s="1"/>
  <c r="A28" i="7" a="1"/>
  <c r="A28" i="7" s="1"/>
  <c r="AT27" i="7" a="1"/>
  <c r="AT27" i="7" s="1"/>
  <c r="AS27" i="7"/>
  <c r="AP27" i="7"/>
  <c r="AM27" i="7"/>
  <c r="AJ27" i="7"/>
  <c r="AG27" i="7"/>
  <c r="AD27" i="7"/>
  <c r="X27" i="7" a="1"/>
  <c r="X27" i="7" s="1"/>
  <c r="D27" i="7" s="1"/>
  <c r="V27" i="7"/>
  <c r="R27" i="7"/>
  <c r="N27" i="7" a="1"/>
  <c r="N27" i="7" s="1"/>
  <c r="O27" i="7" s="1"/>
  <c r="L27" i="7"/>
  <c r="H27" i="7"/>
  <c r="C27" i="7" a="1"/>
  <c r="C27" i="7" s="1"/>
  <c r="A27" i="7" a="1"/>
  <c r="A27" i="7" s="1"/>
  <c r="AT26" i="7" a="1"/>
  <c r="AT26" i="7" s="1"/>
  <c r="AS26" i="7"/>
  <c r="AP26" i="7"/>
  <c r="AM26" i="7"/>
  <c r="AJ26" i="7"/>
  <c r="AG26" i="7"/>
  <c r="AD26" i="7"/>
  <c r="X26" i="7" a="1"/>
  <c r="X26" i="7" s="1"/>
  <c r="Y26" i="7" s="1"/>
  <c r="V26" i="7"/>
  <c r="R26" i="7"/>
  <c r="N26" i="7" a="1"/>
  <c r="N26" i="7" s="1"/>
  <c r="O26" i="7" s="1"/>
  <c r="L26" i="7"/>
  <c r="H26" i="7"/>
  <c r="C26" i="7" a="1"/>
  <c r="C26" i="7" s="1"/>
  <c r="A26" i="7" a="1"/>
  <c r="A26" i="7" s="1"/>
  <c r="AT25" i="7" a="1"/>
  <c r="AT25" i="7" s="1"/>
  <c r="AS25" i="7"/>
  <c r="AP25" i="7"/>
  <c r="AM25" i="7"/>
  <c r="AJ25" i="7"/>
  <c r="AG25" i="7"/>
  <c r="AD25" i="7"/>
  <c r="X25" i="7" a="1"/>
  <c r="X25" i="7" s="1"/>
  <c r="Y25" i="7" s="1"/>
  <c r="V25" i="7"/>
  <c r="R25" i="7"/>
  <c r="N25" i="7" a="1"/>
  <c r="N25" i="7" s="1"/>
  <c r="O25" i="7" s="1"/>
  <c r="L25" i="7"/>
  <c r="H25" i="7"/>
  <c r="C25" i="7" a="1"/>
  <c r="C25" i="7" s="1"/>
  <c r="A25" i="7" a="1"/>
  <c r="A25" i="7" s="1"/>
  <c r="AT24" i="7" a="1"/>
  <c r="AT24" i="7" s="1"/>
  <c r="AS24" i="7"/>
  <c r="AP24" i="7"/>
  <c r="AM24" i="7"/>
  <c r="AJ24" i="7"/>
  <c r="AG24" i="7"/>
  <c r="AD24" i="7"/>
  <c r="X24" i="7" a="1"/>
  <c r="X24" i="7" s="1"/>
  <c r="D24" i="7" s="1"/>
  <c r="V24" i="7"/>
  <c r="R24" i="7"/>
  <c r="N24" i="7" a="1"/>
  <c r="N24" i="7" s="1"/>
  <c r="O24" i="7" s="1"/>
  <c r="L24" i="7"/>
  <c r="H24" i="7"/>
  <c r="C24" i="7" a="1"/>
  <c r="C24" i="7" s="1"/>
  <c r="A24" i="7" a="1"/>
  <c r="A24" i="7" s="1"/>
  <c r="AS23" i="7"/>
  <c r="AP23" i="7"/>
  <c r="AM23" i="7"/>
  <c r="AJ23" i="7"/>
  <c r="AG23" i="7"/>
  <c r="AD23" i="7"/>
  <c r="V23" i="7"/>
  <c r="R23" i="7"/>
  <c r="N23" i="7" a="1"/>
  <c r="N23" i="7" s="1"/>
  <c r="O23" i="7" s="1"/>
  <c r="L23" i="7"/>
  <c r="H23" i="7"/>
  <c r="C23" i="7" a="1"/>
  <c r="C23" i="7" s="1"/>
  <c r="A23" i="7" a="1"/>
  <c r="A23" i="7" s="1"/>
  <c r="AT22" i="7" a="1"/>
  <c r="AT22" i="7" s="1"/>
  <c r="AS22" i="7"/>
  <c r="AP22" i="7"/>
  <c r="AM22" i="7"/>
  <c r="AJ22" i="7"/>
  <c r="AG22" i="7"/>
  <c r="AD22" i="7"/>
  <c r="X22" i="7" a="1"/>
  <c r="X22" i="7" s="1"/>
  <c r="V22" i="7"/>
  <c r="R22" i="7"/>
  <c r="N22" i="7" a="1"/>
  <c r="N22" i="7" s="1"/>
  <c r="O22" i="7" s="1"/>
  <c r="L22" i="7"/>
  <c r="H22" i="7"/>
  <c r="C22" i="7" a="1"/>
  <c r="C22" i="7" s="1"/>
  <c r="A22" i="7" a="1"/>
  <c r="A22" i="7" s="1"/>
  <c r="AT21" i="7" a="1"/>
  <c r="AT21" i="7" s="1"/>
  <c r="AS21" i="7"/>
  <c r="AP21" i="7"/>
  <c r="AM21" i="7"/>
  <c r="AJ21" i="7"/>
  <c r="AG21" i="7"/>
  <c r="AD21" i="7"/>
  <c r="X21" i="7" a="1"/>
  <c r="X21" i="7" s="1"/>
  <c r="D21" i="7" s="1"/>
  <c r="V21" i="7"/>
  <c r="T21" i="7" a="1"/>
  <c r="T21" i="7" s="1"/>
  <c r="W21" i="7" s="1"/>
  <c r="R21" i="7"/>
  <c r="N21" i="7" a="1"/>
  <c r="N21" i="7" s="1"/>
  <c r="O21" i="7" s="1"/>
  <c r="L21" i="7"/>
  <c r="H21" i="7"/>
  <c r="C21" i="7" a="1"/>
  <c r="C21" i="7" s="1"/>
  <c r="A21" i="7" a="1"/>
  <c r="A21" i="7" s="1"/>
  <c r="AT20" i="7" a="1"/>
  <c r="AT20" i="7" s="1"/>
  <c r="AS20" i="7"/>
  <c r="AP20" i="7"/>
  <c r="AM20" i="7"/>
  <c r="AJ20" i="7"/>
  <c r="AG20" i="7"/>
  <c r="AD20" i="7"/>
  <c r="X20" i="7" a="1"/>
  <c r="X20" i="7" s="1"/>
  <c r="D20" i="7" s="1"/>
  <c r="V20" i="7"/>
  <c r="T20" i="7" a="1"/>
  <c r="T20" i="7" s="1"/>
  <c r="W20" i="7" s="1"/>
  <c r="R20" i="7"/>
  <c r="N20" i="7" a="1"/>
  <c r="N20" i="7" s="1"/>
  <c r="O20" i="7" s="1"/>
  <c r="L20" i="7"/>
  <c r="H20" i="7"/>
  <c r="C20" i="7" a="1"/>
  <c r="C20" i="7" s="1"/>
  <c r="A20" i="7" a="1"/>
  <c r="A20" i="7" s="1"/>
  <c r="AT19" i="7" a="1"/>
  <c r="AT19" i="7" s="1"/>
  <c r="AS19" i="7"/>
  <c r="AP19" i="7"/>
  <c r="AM19" i="7"/>
  <c r="AJ19" i="7"/>
  <c r="AG19" i="7"/>
  <c r="AD19" i="7"/>
  <c r="X19" i="7" a="1"/>
  <c r="X19" i="7" s="1"/>
  <c r="D19" i="7" s="1"/>
  <c r="V19" i="7"/>
  <c r="T19" i="7" a="1"/>
  <c r="T19" i="7" s="1"/>
  <c r="W19" i="7" s="1"/>
  <c r="R19" i="7"/>
  <c r="N19" i="7" a="1"/>
  <c r="N19" i="7" s="1"/>
  <c r="O19" i="7" s="1"/>
  <c r="L19" i="7"/>
  <c r="H19" i="7"/>
  <c r="C19" i="7" a="1"/>
  <c r="C19" i="7" s="1"/>
  <c r="A19" i="7" a="1"/>
  <c r="A19" i="7" s="1"/>
  <c r="AT18" i="7" a="1"/>
  <c r="AT18" i="7" s="1"/>
  <c r="AS18" i="7"/>
  <c r="AP18" i="7"/>
  <c r="AM18" i="7"/>
  <c r="AJ18" i="7"/>
  <c r="AG18" i="7"/>
  <c r="AD18" i="7"/>
  <c r="X18" i="7" a="1"/>
  <c r="X18" i="7" s="1"/>
  <c r="D18" i="7" s="1"/>
  <c r="V18" i="7"/>
  <c r="T18" i="7" a="1"/>
  <c r="T18" i="7" s="1"/>
  <c r="W18" i="7" s="1"/>
  <c r="R18" i="7"/>
  <c r="N18" i="7" a="1"/>
  <c r="N18" i="7" s="1"/>
  <c r="O18" i="7" s="1"/>
  <c r="L18" i="7"/>
  <c r="H18" i="7"/>
  <c r="C18" i="7" a="1"/>
  <c r="C18" i="7" s="1"/>
  <c r="A18" i="7" a="1"/>
  <c r="A18" i="7" s="1"/>
  <c r="AT17" i="7" a="1"/>
  <c r="AT17" i="7" s="1"/>
  <c r="AS17" i="7"/>
  <c r="AP17" i="7"/>
  <c r="AM17" i="7"/>
  <c r="AJ17" i="7"/>
  <c r="AG17" i="7"/>
  <c r="AD17" i="7"/>
  <c r="X17" i="7" a="1"/>
  <c r="X17" i="7" s="1"/>
  <c r="D17" i="7" s="1"/>
  <c r="V17" i="7"/>
  <c r="T17" i="7"/>
  <c r="W17" i="7" s="1"/>
  <c r="R17" i="7"/>
  <c r="N17" i="7" a="1"/>
  <c r="N17" i="7" s="1"/>
  <c r="O17" i="7" s="1"/>
  <c r="L17" i="7"/>
  <c r="H17" i="7"/>
  <c r="C17" i="7" a="1"/>
  <c r="C17" i="7" s="1"/>
  <c r="A17" i="7" a="1"/>
  <c r="A17" i="7" s="1"/>
  <c r="AT16" i="7" a="1"/>
  <c r="AT16" i="7" s="1"/>
  <c r="AS16" i="7"/>
  <c r="AP16" i="7"/>
  <c r="AM16" i="7"/>
  <c r="AJ16" i="7"/>
  <c r="AG16" i="7"/>
  <c r="AD16" i="7"/>
  <c r="X16" i="7" a="1"/>
  <c r="X16" i="7" s="1"/>
  <c r="D16" i="7" s="1"/>
  <c r="V16" i="7"/>
  <c r="T16" i="7"/>
  <c r="W16" i="7" s="1"/>
  <c r="R16" i="7"/>
  <c r="N16" i="7" a="1"/>
  <c r="N16" i="7" s="1"/>
  <c r="O16" i="7" s="1"/>
  <c r="L16" i="7"/>
  <c r="H16" i="7"/>
  <c r="C16" i="7" a="1"/>
  <c r="C16" i="7" s="1"/>
  <c r="A16" i="7" a="1"/>
  <c r="A16" i="7" s="1"/>
  <c r="AT15" i="7" a="1"/>
  <c r="AT15" i="7" s="1"/>
  <c r="AS15" i="7"/>
  <c r="AP15" i="7"/>
  <c r="AM15" i="7"/>
  <c r="AJ15" i="7"/>
  <c r="AG15" i="7"/>
  <c r="AD15" i="7"/>
  <c r="X15" i="7" a="1"/>
  <c r="X15" i="7" s="1"/>
  <c r="D15" i="7" s="1"/>
  <c r="V15" i="7"/>
  <c r="R15" i="7"/>
  <c r="N15" i="7" a="1"/>
  <c r="N15" i="7" s="1"/>
  <c r="O15" i="7" s="1"/>
  <c r="L15" i="7"/>
  <c r="H15" i="7"/>
  <c r="C15" i="7" a="1"/>
  <c r="C15" i="7" s="1"/>
  <c r="A15" i="7" a="1"/>
  <c r="A15" i="7" s="1"/>
  <c r="AT14" i="7" a="1"/>
  <c r="AT14" i="7" s="1"/>
  <c r="AS14" i="7"/>
  <c r="AP14" i="7"/>
  <c r="AM14" i="7"/>
  <c r="AJ14" i="7"/>
  <c r="AG14" i="7"/>
  <c r="AD14" i="7"/>
  <c r="X14" i="7" a="1"/>
  <c r="X14" i="7" s="1"/>
  <c r="D14" i="7" s="1"/>
  <c r="V14" i="7"/>
  <c r="R14" i="7"/>
  <c r="N14" i="7" a="1"/>
  <c r="N14" i="7" s="1"/>
  <c r="O14" i="7" s="1"/>
  <c r="L14" i="7"/>
  <c r="H14" i="7"/>
  <c r="C14" i="7" a="1"/>
  <c r="C14" i="7" s="1"/>
  <c r="A14" i="7" a="1"/>
  <c r="A14" i="7" s="1"/>
  <c r="AT13" i="7" a="1"/>
  <c r="AT13" i="7" s="1"/>
  <c r="AS13" i="7"/>
  <c r="AP13" i="7"/>
  <c r="AM13" i="7"/>
  <c r="AJ13" i="7"/>
  <c r="AG13" i="7"/>
  <c r="AD13" i="7"/>
  <c r="X13" i="7" a="1"/>
  <c r="X13" i="7" s="1"/>
  <c r="V13" i="7"/>
  <c r="R13" i="7"/>
  <c r="N13" i="7" a="1"/>
  <c r="N13" i="7" s="1"/>
  <c r="O13" i="7" s="1"/>
  <c r="L13" i="7"/>
  <c r="H13" i="7"/>
  <c r="C13" i="7" a="1"/>
  <c r="C13" i="7" s="1"/>
  <c r="A13" i="7" a="1"/>
  <c r="A13" i="7" s="1"/>
  <c r="AT12" i="7" a="1"/>
  <c r="AT12" i="7" s="1"/>
  <c r="AS12" i="7"/>
  <c r="AP12" i="7"/>
  <c r="AM12" i="7"/>
  <c r="AJ12" i="7"/>
  <c r="AG12" i="7"/>
  <c r="AD12" i="7"/>
  <c r="X12" i="7" a="1"/>
  <c r="X12" i="7" s="1"/>
  <c r="Y12" i="7" s="1"/>
  <c r="V12" i="7"/>
  <c r="R12" i="7"/>
  <c r="N12" i="7" a="1"/>
  <c r="N12" i="7" s="1"/>
  <c r="O12" i="7" s="1"/>
  <c r="L12" i="7"/>
  <c r="H12" i="7"/>
  <c r="C12" i="7" a="1"/>
  <c r="C12" i="7" s="1"/>
  <c r="A12" i="7" a="1"/>
  <c r="A12" i="7" s="1"/>
  <c r="AT11" i="7" a="1"/>
  <c r="AT11" i="7" s="1"/>
  <c r="AS11" i="7"/>
  <c r="AP11" i="7"/>
  <c r="AM11" i="7"/>
  <c r="AJ11" i="7"/>
  <c r="AG11" i="7"/>
  <c r="AD11" i="7"/>
  <c r="X11" i="7" a="1"/>
  <c r="X11" i="7" s="1"/>
  <c r="Y11" i="7" s="1"/>
  <c r="V11" i="7"/>
  <c r="R11" i="7"/>
  <c r="N11" i="7" a="1"/>
  <c r="N11" i="7" s="1"/>
  <c r="O11" i="7" s="1"/>
  <c r="L11" i="7"/>
  <c r="H11" i="7"/>
  <c r="C11" i="7" a="1"/>
  <c r="C11" i="7" s="1"/>
  <c r="A11" i="7" a="1"/>
  <c r="A11" i="7" s="1"/>
  <c r="AT10" i="7" a="1"/>
  <c r="AT10" i="7" s="1"/>
  <c r="AS10" i="7"/>
  <c r="AP10" i="7"/>
  <c r="AM10" i="7"/>
  <c r="AJ10" i="7"/>
  <c r="AG10" i="7"/>
  <c r="AD10" i="7"/>
  <c r="X10" i="7" a="1"/>
  <c r="X10" i="7" s="1"/>
  <c r="V10" i="7"/>
  <c r="R10" i="7"/>
  <c r="N10" i="7" a="1"/>
  <c r="N10" i="7" s="1"/>
  <c r="O10" i="7" s="1"/>
  <c r="L10" i="7"/>
  <c r="H10" i="7"/>
  <c r="C10" i="7" a="1"/>
  <c r="C10" i="7" s="1"/>
  <c r="A10" i="7" a="1"/>
  <c r="A10" i="7" s="1"/>
  <c r="AT9" i="7" a="1"/>
  <c r="AT9" i="7" s="1"/>
  <c r="AS9" i="7"/>
  <c r="AP9" i="7"/>
  <c r="AM9" i="7"/>
  <c r="AJ9" i="7"/>
  <c r="AG9" i="7"/>
  <c r="AD9" i="7"/>
  <c r="X9" i="7" a="1"/>
  <c r="X9" i="7" s="1"/>
  <c r="V9" i="7"/>
  <c r="R9" i="7"/>
  <c r="N9" i="7" a="1"/>
  <c r="N9" i="7" s="1"/>
  <c r="O9" i="7" s="1"/>
  <c r="L9" i="7"/>
  <c r="H9" i="7"/>
  <c r="C9" i="7" a="1"/>
  <c r="C9" i="7" s="1"/>
  <c r="A9" i="7" a="1"/>
  <c r="A9" i="7" s="1"/>
  <c r="AT8" i="7" a="1"/>
  <c r="AT8" i="7" s="1"/>
  <c r="AS8" i="7"/>
  <c r="AP8" i="7"/>
  <c r="AM8" i="7"/>
  <c r="AJ8" i="7"/>
  <c r="AG8" i="7"/>
  <c r="AD8" i="7"/>
  <c r="X8" i="7" a="1"/>
  <c r="X8" i="7" s="1"/>
  <c r="Y8" i="7" s="1"/>
  <c r="V8" i="7"/>
  <c r="R8" i="7"/>
  <c r="N8" i="7" a="1"/>
  <c r="N8" i="7" s="1"/>
  <c r="O8" i="7" s="1"/>
  <c r="L8" i="7"/>
  <c r="H8" i="7"/>
  <c r="C8" i="7" a="1"/>
  <c r="C8" i="7" s="1"/>
  <c r="A8" i="7" a="1"/>
  <c r="A8" i="7" s="1"/>
  <c r="AT7" i="7" a="1"/>
  <c r="AT7" i="7" s="1"/>
  <c r="AS7" i="7"/>
  <c r="AP7" i="7"/>
  <c r="AM7" i="7"/>
  <c r="AJ7" i="7"/>
  <c r="AG7" i="7"/>
  <c r="AD7" i="7"/>
  <c r="X7" i="7" a="1"/>
  <c r="X7" i="7" s="1"/>
  <c r="V7" i="7"/>
  <c r="T7" i="7" a="1"/>
  <c r="T7" i="7" s="1"/>
  <c r="W7" i="7" s="1"/>
  <c r="R7" i="7"/>
  <c r="N7" i="7" a="1"/>
  <c r="N7" i="7" s="1"/>
  <c r="O7" i="7" s="1"/>
  <c r="L7" i="7"/>
  <c r="H7" i="7"/>
  <c r="C7" i="7" a="1"/>
  <c r="C7" i="7" s="1"/>
  <c r="A7" i="7" a="1"/>
  <c r="A7" i="7" s="1"/>
  <c r="AT6" i="7" a="1"/>
  <c r="AT6" i="7" s="1"/>
  <c r="AS6" i="7"/>
  <c r="AP6" i="7"/>
  <c r="AM6" i="7"/>
  <c r="AJ6" i="7"/>
  <c r="AG6" i="7"/>
  <c r="AD6" i="7"/>
  <c r="X6" i="7" a="1"/>
  <c r="X6" i="7" s="1"/>
  <c r="V6" i="7"/>
  <c r="T6" i="7" a="1"/>
  <c r="T6" i="7" s="1"/>
  <c r="W6" i="7" s="1"/>
  <c r="R6" i="7"/>
  <c r="N6" i="7" a="1"/>
  <c r="N6" i="7" s="1"/>
  <c r="O6" i="7" s="1"/>
  <c r="L6" i="7"/>
  <c r="H6" i="7"/>
  <c r="C6" i="7" a="1"/>
  <c r="C6" i="7" s="1"/>
  <c r="A6" i="7" a="1"/>
  <c r="A6" i="7" s="1"/>
  <c r="AT5" i="7" a="1"/>
  <c r="AT5" i="7" s="1"/>
  <c r="AS5" i="7"/>
  <c r="AP5" i="7"/>
  <c r="AM5" i="7"/>
  <c r="AJ5" i="7"/>
  <c r="AG5" i="7"/>
  <c r="AD5" i="7"/>
  <c r="X5" i="7" a="1"/>
  <c r="X5" i="7" s="1"/>
  <c r="V5" i="7"/>
  <c r="T5" i="7" a="1"/>
  <c r="T5" i="7" s="1"/>
  <c r="W5" i="7" s="1"/>
  <c r="R5" i="7"/>
  <c r="N5" i="7" a="1"/>
  <c r="N5" i="7" s="1"/>
  <c r="O5" i="7" s="1"/>
  <c r="L5" i="7"/>
  <c r="H5" i="7"/>
  <c r="C5" i="7" a="1"/>
  <c r="C5" i="7" s="1"/>
  <c r="A5" i="7" a="1"/>
  <c r="A5" i="7" s="1"/>
  <c r="AT4" i="7" a="1"/>
  <c r="AT4" i="7" s="1"/>
  <c r="AS4" i="7"/>
  <c r="AP4" i="7"/>
  <c r="AM4" i="7"/>
  <c r="AJ4" i="7"/>
  <c r="AG4" i="7"/>
  <c r="AD4" i="7"/>
  <c r="X4" i="7" a="1"/>
  <c r="X4" i="7" s="1"/>
  <c r="V4" i="7"/>
  <c r="T4" i="7" a="1"/>
  <c r="T4" i="7" s="1"/>
  <c r="W4" i="7" s="1"/>
  <c r="R4" i="7"/>
  <c r="N4" i="7" a="1"/>
  <c r="N4" i="7" s="1"/>
  <c r="O4" i="7" s="1"/>
  <c r="L4" i="7"/>
  <c r="H4" i="7"/>
  <c r="C4" i="7" a="1"/>
  <c r="C4" i="7" s="1"/>
  <c r="A4" i="7" a="1"/>
  <c r="A4" i="7" s="1"/>
  <c r="AT3" i="7" a="1"/>
  <c r="AT3" i="7" s="1"/>
  <c r="AS3" i="7"/>
  <c r="AP3" i="7"/>
  <c r="AM3" i="7"/>
  <c r="AJ3" i="7"/>
  <c r="AG3" i="7"/>
  <c r="AD3" i="7"/>
  <c r="X3" i="7" a="1"/>
  <c r="X3" i="7" s="1"/>
  <c r="V3" i="7"/>
  <c r="T3" i="7" a="1"/>
  <c r="T3" i="7" s="1"/>
  <c r="W3" i="7" s="1"/>
  <c r="R3" i="7"/>
  <c r="N3" i="7" a="1"/>
  <c r="N3" i="7" s="1"/>
  <c r="O3" i="7" s="1"/>
  <c r="L3" i="7"/>
  <c r="H3" i="7"/>
  <c r="C3" i="7" a="1"/>
  <c r="C3" i="7" s="1"/>
  <c r="A3" i="7" a="1"/>
  <c r="A3" i="7" s="1"/>
  <c r="AT2" i="7" a="1"/>
  <c r="AT2" i="7" s="1"/>
  <c r="AS2" i="7"/>
  <c r="AP2" i="7"/>
  <c r="AM2" i="7"/>
  <c r="AJ2" i="7"/>
  <c r="AG2" i="7"/>
  <c r="AD2" i="7"/>
  <c r="X2" i="7" a="1"/>
  <c r="X2" i="7" s="1"/>
  <c r="V2" i="7"/>
  <c r="T2" i="7" a="1"/>
  <c r="T2" i="7" s="1"/>
  <c r="W2" i="7" s="1"/>
  <c r="R2" i="7"/>
  <c r="N2" i="7" a="1"/>
  <c r="N2" i="7" s="1"/>
  <c r="O2" i="7" s="1"/>
  <c r="L2" i="7"/>
  <c r="H2" i="7"/>
  <c r="A2" i="7" a="1"/>
  <c r="A2" i="7" s="1"/>
  <c r="Y10" i="7" l="1"/>
  <c r="AA10" i="7" s="1"/>
  <c r="Y9" i="7"/>
  <c r="Y22" i="7"/>
  <c r="Y151" i="7"/>
  <c r="Y159" i="7"/>
  <c r="AA159" i="7" s="1"/>
  <c r="Y167" i="7"/>
  <c r="AA167" i="7" s="1"/>
  <c r="Y135" i="7"/>
  <c r="AA135" i="7" s="1"/>
  <c r="Y143" i="7"/>
  <c r="AA143" i="7" s="1"/>
  <c r="Y150" i="7"/>
  <c r="AA150" i="7" s="1"/>
  <c r="Y13" i="7"/>
  <c r="Y152" i="7"/>
  <c r="Y160" i="7"/>
  <c r="AA160" i="7" s="1"/>
  <c r="Y168" i="7"/>
  <c r="AA168" i="7" s="1"/>
  <c r="Y112" i="7"/>
  <c r="AA112" i="7" s="1"/>
  <c r="Y128" i="7"/>
  <c r="AA128" i="7" s="1"/>
  <c r="Y136" i="7"/>
  <c r="AA136" i="7" s="1"/>
  <c r="Y144" i="7"/>
  <c r="AA144" i="7" s="1"/>
  <c r="Y3" i="7"/>
  <c r="Y5" i="7"/>
  <c r="Y6" i="7"/>
  <c r="Y19" i="7"/>
  <c r="Y2" i="7"/>
  <c r="AA2" i="7" s="1"/>
  <c r="Y4" i="7"/>
  <c r="AA4" i="7" s="1"/>
  <c r="Y7" i="7"/>
  <c r="AA7" i="7" s="1"/>
  <c r="Y18" i="7"/>
  <c r="AA18" i="7" s="1"/>
  <c r="Y20" i="7"/>
  <c r="AA20" i="7" s="1"/>
  <c r="Y21" i="7"/>
  <c r="Y153" i="7"/>
  <c r="Y129" i="7"/>
  <c r="Y113" i="7"/>
  <c r="AA113" i="7" s="1"/>
  <c r="Y105" i="7"/>
  <c r="AA105" i="7" s="1"/>
  <c r="Y97" i="7"/>
  <c r="AA97" i="7" s="1"/>
  <c r="Y89" i="7"/>
  <c r="AA89" i="7" s="1"/>
  <c r="Y81" i="7"/>
  <c r="Y73" i="7"/>
  <c r="Y65" i="7"/>
  <c r="Y57" i="7"/>
  <c r="AA57" i="7" s="1"/>
  <c r="Y33" i="7"/>
  <c r="AA33" i="7" s="1"/>
  <c r="Y17" i="7"/>
  <c r="AA17" i="7" s="1"/>
  <c r="Y120" i="7"/>
  <c r="AA120" i="7" s="1"/>
  <c r="Y80" i="7"/>
  <c r="AA80" i="7" s="1"/>
  <c r="Y72" i="7"/>
  <c r="Y64" i="7"/>
  <c r="Y56" i="7"/>
  <c r="Y40" i="7"/>
  <c r="AA40" i="7" s="1"/>
  <c r="Y32" i="7"/>
  <c r="AA32" i="7" s="1"/>
  <c r="Y24" i="7"/>
  <c r="AA24" i="7" s="1"/>
  <c r="Y16" i="7"/>
  <c r="AA16" i="7" s="1"/>
  <c r="Y127" i="7"/>
  <c r="AA127" i="7" s="1"/>
  <c r="Y119" i="7"/>
  <c r="Y111" i="7"/>
  <c r="AA111" i="7" s="1"/>
  <c r="Y103" i="7"/>
  <c r="AA103" i="7" s="1"/>
  <c r="Y95" i="7"/>
  <c r="AA95" i="7" s="1"/>
  <c r="Y71" i="7"/>
  <c r="AA71" i="7" s="1"/>
  <c r="Y63" i="7"/>
  <c r="AA63" i="7" s="1"/>
  <c r="Y55" i="7"/>
  <c r="AA55" i="7" s="1"/>
  <c r="Y47" i="7"/>
  <c r="AA47" i="7" s="1"/>
  <c r="Y39" i="7"/>
  <c r="Y31" i="7"/>
  <c r="Y15" i="7"/>
  <c r="AA15" i="7" s="1"/>
  <c r="Y166" i="7"/>
  <c r="AA166" i="7" s="1"/>
  <c r="Y158" i="7"/>
  <c r="AA158" i="7" s="1"/>
  <c r="Y126" i="7"/>
  <c r="AA126" i="7" s="1"/>
  <c r="Y118" i="7"/>
  <c r="AA118" i="7" s="1"/>
  <c r="Y110" i="7"/>
  <c r="AA110" i="7" s="1"/>
  <c r="Y102" i="7"/>
  <c r="AA102" i="7" s="1"/>
  <c r="Y70" i="7"/>
  <c r="Y54" i="7"/>
  <c r="Y38" i="7"/>
  <c r="Y30" i="7"/>
  <c r="AA30" i="7" s="1"/>
  <c r="Y14" i="7"/>
  <c r="AA14" i="7" s="1"/>
  <c r="Y157" i="7"/>
  <c r="AA157" i="7" s="1"/>
  <c r="Y117" i="7"/>
  <c r="AA117" i="7" s="1"/>
  <c r="Y101" i="7"/>
  <c r="AA101" i="7" s="1"/>
  <c r="Y93" i="7"/>
  <c r="Y85" i="7"/>
  <c r="Y77" i="7"/>
  <c r="AA77" i="7" s="1"/>
  <c r="Y69" i="7"/>
  <c r="AA69" i="7" s="1"/>
  <c r="Y61" i="7"/>
  <c r="AA61" i="7" s="1"/>
  <c r="Y45" i="7"/>
  <c r="AA45" i="7" s="1"/>
  <c r="Y37" i="7"/>
  <c r="AA37" i="7" s="1"/>
  <c r="Y29" i="7"/>
  <c r="AA29" i="7" s="1"/>
  <c r="Y172" i="7"/>
  <c r="AA172" i="7" s="1"/>
  <c r="Y164" i="7"/>
  <c r="AA164" i="7" s="1"/>
  <c r="Y156" i="7"/>
  <c r="AA156" i="7" s="1"/>
  <c r="Y100" i="7"/>
  <c r="AA100" i="7" s="1"/>
  <c r="Y92" i="7"/>
  <c r="AA92" i="7" s="1"/>
  <c r="Y84" i="7"/>
  <c r="AA84" i="7" s="1"/>
  <c r="Y60" i="7"/>
  <c r="AA60" i="7" s="1"/>
  <c r="Y44" i="7"/>
  <c r="AA44" i="7" s="1"/>
  <c r="Y171" i="7"/>
  <c r="Y163" i="7"/>
  <c r="AA163" i="7" s="1"/>
  <c r="Y155" i="7"/>
  <c r="AA155" i="7" s="1"/>
  <c r="Y131" i="7"/>
  <c r="AA131" i="7" s="1"/>
  <c r="Y123" i="7"/>
  <c r="AA123" i="7" s="1"/>
  <c r="Y99" i="7"/>
  <c r="AA99" i="7" s="1"/>
  <c r="Y91" i="7"/>
  <c r="AA91" i="7" s="1"/>
  <c r="Y75" i="7"/>
  <c r="AA75" i="7" s="1"/>
  <c r="Y35" i="7"/>
  <c r="AA35" i="7" s="1"/>
  <c r="Y27" i="7"/>
  <c r="AA27" i="7" s="1"/>
  <c r="Y170" i="7"/>
  <c r="AA170" i="7" s="1"/>
  <c r="Y162" i="7"/>
  <c r="AA162" i="7" s="1"/>
  <c r="Y154" i="7"/>
  <c r="AA154" i="7" s="1"/>
  <c r="Y130" i="7"/>
  <c r="AA130" i="7" s="1"/>
  <c r="Y122" i="7"/>
  <c r="AA122" i="7" s="1"/>
  <c r="Y114" i="7"/>
  <c r="AA114" i="7" s="1"/>
  <c r="Y98" i="7"/>
  <c r="AA98" i="7" s="1"/>
  <c r="Y90" i="7"/>
  <c r="AA90" i="7" s="1"/>
  <c r="Y66" i="7"/>
  <c r="AA66" i="7" s="1"/>
  <c r="Y58" i="7"/>
  <c r="AA58" i="7" s="1"/>
  <c r="Y50" i="7"/>
  <c r="AA50" i="7" s="1"/>
  <c r="Y42" i="7"/>
  <c r="AA42" i="7" s="1"/>
  <c r="AA8" i="7"/>
  <c r="AA11" i="7"/>
  <c r="AA109" i="7"/>
  <c r="AA23" i="7"/>
  <c r="AA53" i="7"/>
  <c r="AA79" i="7"/>
  <c r="AA87" i="7"/>
  <c r="AA169" i="7"/>
  <c r="AA12" i="7"/>
  <c r="AA62" i="7"/>
  <c r="D161" i="7"/>
  <c r="AA161" i="7"/>
  <c r="D62" i="7"/>
  <c r="D28" i="7"/>
  <c r="AA28" i="7"/>
  <c r="D96" i="7"/>
  <c r="AA96" i="7"/>
  <c r="AA21" i="7"/>
  <c r="D83" i="7"/>
  <c r="AA83" i="7"/>
  <c r="D128" i="7"/>
  <c r="D67" i="7"/>
  <c r="AA67" i="7"/>
  <c r="D41" i="7"/>
  <c r="AA41" i="7"/>
  <c r="D88" i="7"/>
  <c r="AA88" i="7"/>
  <c r="AA85" i="7"/>
  <c r="AA147" i="7"/>
  <c r="AA152" i="7"/>
  <c r="AA148" i="7"/>
  <c r="D36" i="7"/>
  <c r="AA36" i="7"/>
  <c r="D79" i="7"/>
  <c r="AA34" i="7"/>
  <c r="D53" i="7"/>
  <c r="D132" i="7"/>
  <c r="AA132" i="7"/>
  <c r="D160" i="7"/>
  <c r="D68" i="7"/>
  <c r="AA68" i="7"/>
  <c r="D106" i="7"/>
  <c r="AA106" i="7"/>
  <c r="D125" i="7"/>
  <c r="AA125" i="7"/>
  <c r="D49" i="7"/>
  <c r="AA49" i="7"/>
  <c r="AA13" i="7"/>
  <c r="AA9" i="7"/>
  <c r="AA48" i="7"/>
  <c r="D48" i="7"/>
  <c r="AA54" i="7"/>
  <c r="AA59" i="7"/>
  <c r="D87" i="7"/>
  <c r="D76" i="7"/>
  <c r="AA76" i="7"/>
  <c r="AA139" i="7"/>
  <c r="AA140" i="7"/>
  <c r="D109" i="7"/>
  <c r="AA129" i="7"/>
  <c r="D165" i="7"/>
  <c r="AA165" i="7"/>
  <c r="AA171" i="7"/>
  <c r="AA134" i="7"/>
  <c r="AA138" i="7"/>
  <c r="AA146" i="7"/>
  <c r="AA153" i="7"/>
  <c r="AA3" i="7"/>
  <c r="AA5" i="7"/>
  <c r="AA6" i="7"/>
  <c r="D25" i="7"/>
  <c r="AA25" i="7"/>
  <c r="D26" i="7"/>
  <c r="AA26" i="7"/>
  <c r="D22" i="7"/>
  <c r="AA22" i="7"/>
  <c r="AA19" i="7"/>
  <c r="D43" i="7"/>
  <c r="AA43" i="7"/>
  <c r="D51" i="7"/>
  <c r="AA51" i="7"/>
  <c r="AA31" i="7"/>
  <c r="AA38" i="7"/>
  <c r="AA39" i="7"/>
  <c r="AA46" i="7"/>
  <c r="D46" i="7"/>
  <c r="AA52" i="7"/>
  <c r="AA56" i="7"/>
  <c r="AA65" i="7"/>
  <c r="AA72" i="7"/>
  <c r="AA82" i="7"/>
  <c r="D82" i="7"/>
  <c r="AA108" i="7"/>
  <c r="D108" i="7"/>
  <c r="AA116" i="7"/>
  <c r="D116" i="7"/>
  <c r="AA74" i="7"/>
  <c r="D74" i="7"/>
  <c r="AA81" i="7"/>
  <c r="AA94" i="7"/>
  <c r="D94" i="7"/>
  <c r="D104" i="7"/>
  <c r="AA104" i="7"/>
  <c r="D121" i="7"/>
  <c r="AA121" i="7"/>
  <c r="AA124" i="7"/>
  <c r="D124" i="7"/>
  <c r="AA64" i="7"/>
  <c r="AA70" i="7"/>
  <c r="AA73" i="7"/>
  <c r="AA78" i="7"/>
  <c r="D78" i="7"/>
  <c r="AA86" i="7"/>
  <c r="D86" i="7"/>
  <c r="AA93" i="7"/>
  <c r="AA107" i="7"/>
  <c r="D107" i="7"/>
  <c r="D112" i="7"/>
  <c r="AA115" i="7"/>
  <c r="D115" i="7"/>
  <c r="AA119" i="7"/>
  <c r="D133" i="7"/>
  <c r="AA133" i="7"/>
  <c r="AA149" i="7"/>
  <c r="AA137" i="7"/>
  <c r="AA151" i="7"/>
  <c r="AA145" i="7"/>
  <c r="D159" i="7"/>
  <c r="AA141" i="7"/>
  <c r="AA142" i="7"/>
  <c r="C14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3" i="6"/>
  <c r="C12" i="6"/>
  <c r="C11" i="6"/>
  <c r="C10" i="6"/>
  <c r="C9" i="6"/>
  <c r="C8" i="6"/>
  <c r="C7" i="6"/>
  <c r="C6" i="6"/>
  <c r="C5" i="6"/>
  <c r="C4" i="6"/>
  <c r="C3" i="6"/>
  <c r="C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Osama</author>
    <author>YN</author>
  </authors>
  <commentList>
    <comment ref="W1" authorId="0" shapeId="0" xr:uid="{05E06D0A-8ECA-4873-A9D8-4A953593D103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50% * قيمة سند الامر</t>
        </r>
      </text>
    </comment>
    <comment ref="C23" authorId="1" shapeId="0" xr:uid="{942376F8-690D-47C3-8676-F96BE21D2F26}">
      <text>
        <r>
          <rPr>
            <b/>
            <sz val="11"/>
            <color indexed="81"/>
            <rFont val="Tahoma"/>
          </rPr>
          <t>YN:</t>
        </r>
        <r>
          <rPr>
            <sz val="11"/>
            <color indexed="81"/>
            <rFont val="Tahoma"/>
          </rPr>
          <t xml:space="preserve">
مكرر ولم يتم التعامل على هذا الحساب </t>
        </r>
      </text>
    </comment>
    <comment ref="T73" authorId="0" shapeId="0" xr:uid="{C9191826-8263-422D-8395-4CD1ACF95851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العميل لديه سندين امر و لكن سيعتد بالاحدث فقط حسب افادة استاذ اسامة ابو زياد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ustomer Data" description="Connection to the 'Customer Data' query in the workbook." type="5" refreshedVersion="8" background="1" saveData="1">
    <dbPr connection="Provider=Microsoft.Mashup.OleDb.1;Data Source=$Workbook$;Location=&quot;Customer Data&quot;;Extended Properties=&quot;&quot;" command="SELECT * FROM [Customer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<sst xmlns="http://schemas.openxmlformats.org/spreadsheetml/2006/main" count="4044" uniqueCount="1000">
  <si>
    <t>رمز شريك الأعمال</t>
  </si>
  <si>
    <t>اسم شريك الأعمال</t>
  </si>
  <si>
    <t>معرف الضريبة الحكومية</t>
  </si>
  <si>
    <t>تاريخ الإنشاء</t>
  </si>
  <si>
    <t>CS05</t>
  </si>
  <si>
    <t>CS09</t>
  </si>
  <si>
    <t>B0085</t>
  </si>
  <si>
    <t>CS03</t>
  </si>
  <si>
    <t>شركة النظم الثلاثية للتجارة</t>
  </si>
  <si>
    <t>شركة اضافة البصمة التجارية</t>
  </si>
  <si>
    <t>D0001</t>
  </si>
  <si>
    <t>CS02</t>
  </si>
  <si>
    <t>D0003</t>
  </si>
  <si>
    <t>مؤسسة احمد محمد احمد الهندي لمواد البناء</t>
  </si>
  <si>
    <t>مؤسسة هناء زين محمد علي التجارية</t>
  </si>
  <si>
    <t>H0001</t>
  </si>
  <si>
    <t>مؤسسة اسامه عبدالله الموسي التجارية-نقدي</t>
  </si>
  <si>
    <t>H0002</t>
  </si>
  <si>
    <t>مؤسسة عيسى يوسف الفهيد للانارة - نقدي</t>
  </si>
  <si>
    <t>LB2H003</t>
  </si>
  <si>
    <t>LB07</t>
  </si>
  <si>
    <t>LB2H016</t>
  </si>
  <si>
    <t>LB2H018</t>
  </si>
  <si>
    <t>CS08</t>
  </si>
  <si>
    <t>N0002</t>
  </si>
  <si>
    <t>N0003</t>
  </si>
  <si>
    <t>R0001</t>
  </si>
  <si>
    <t>R0002</t>
  </si>
  <si>
    <t>R0003</t>
  </si>
  <si>
    <t>R0004</t>
  </si>
  <si>
    <t>اسم المالك</t>
  </si>
  <si>
    <t>طلب فتح حساب مصدق</t>
  </si>
  <si>
    <t>حالة طلب فتح الحساب</t>
  </si>
  <si>
    <t>السجل التجارى</t>
  </si>
  <si>
    <t>تاريخ انتهاء السجل التجارى</t>
  </si>
  <si>
    <t>حالة السجل التجارى</t>
  </si>
  <si>
    <t>مطابقة اسم العميل بالاسم بالسجل التجارى</t>
  </si>
  <si>
    <t>البطاقة الضريبية</t>
  </si>
  <si>
    <t>حالة البطاقة الضريبية</t>
  </si>
  <si>
    <t>رخصة النشاط التجارى</t>
  </si>
  <si>
    <t>تاريخ انتهاء رخصة النشاط التجارى</t>
  </si>
  <si>
    <t>حالة رخصة النشاط التجارى</t>
  </si>
  <si>
    <t>سند الامر</t>
  </si>
  <si>
    <t>مطابقة الحد الائتمانى</t>
  </si>
  <si>
    <t>حالة سند الامر</t>
  </si>
  <si>
    <t>مطابقة رقم السجل التجارى بسند الامر</t>
  </si>
  <si>
    <t xml:space="preserve"> صورة عن هوية المالك</t>
  </si>
  <si>
    <t>تاريخ انتهاء هوية المالك</t>
  </si>
  <si>
    <t>حالة هوية المالك</t>
  </si>
  <si>
    <t xml:space="preserve"> صورة عن هوية الضامن الاحتياطي في السند لأمر</t>
  </si>
  <si>
    <t>تاريخ انتهاء صورة عن هوية الضامن الاحتياطي في السند لأمر</t>
  </si>
  <si>
    <t>حالة  صورة عن هوية الضامن الاحتياطي في السند لأمر</t>
  </si>
  <si>
    <t xml:space="preserve"> صورة عن العنوان الوطني للمؤسسة</t>
  </si>
  <si>
    <t>المجموعة</t>
  </si>
  <si>
    <t>موجود</t>
  </si>
  <si>
    <t>مطابق</t>
  </si>
  <si>
    <t>غير موجود</t>
  </si>
  <si>
    <t>غير مطابق</t>
  </si>
  <si>
    <t>شركة جملة الدرب الحديث التجارية</t>
  </si>
  <si>
    <t>قيمة سند الامر المضبوطة</t>
  </si>
  <si>
    <t>حد الائتمان على SAP</t>
  </si>
  <si>
    <t>الملاحظات</t>
  </si>
  <si>
    <t>غير مصدق</t>
  </si>
  <si>
    <t>تاريخ انتهاء العنوان الوطنى للمؤسسة</t>
  </si>
  <si>
    <t>حالة العنوان الوطنى للمؤسسة</t>
  </si>
  <si>
    <t xml:space="preserve"> صورة عن العنوان الوطني للضامن الاحتياطي في سند الامر</t>
  </si>
  <si>
    <t>تاريخ انتهاء العنوان الوطني للضامن الاحتياطي في سند الامر</t>
  </si>
  <si>
    <t>حالة  العنوان الوطني للضامن الاحتياطي في سند الامر</t>
  </si>
  <si>
    <t>LB10018</t>
  </si>
  <si>
    <t>R0005</t>
  </si>
  <si>
    <t>R0006</t>
  </si>
  <si>
    <t>مؤسسة محمود سعود المروحن التجارية - نقدي</t>
  </si>
  <si>
    <t>مؤسسة عشاق التميز للتجارة الفرع الرئيسي</t>
  </si>
  <si>
    <t>مؤسسة عشاق التميز للتجارة الفرع 1</t>
  </si>
  <si>
    <t>شركة محفوظ المميز الرئيسي للتجارة</t>
  </si>
  <si>
    <t>مؤسسة الدقة العمرانية لمواد البناء</t>
  </si>
  <si>
    <t>مجموعة سليمان الربيعه الدوليه للتجارة-الملز</t>
  </si>
  <si>
    <t>شركة نوارة التميز-نقدي</t>
  </si>
  <si>
    <t>شركة فروع البناء لمواد البناء</t>
  </si>
  <si>
    <t>مؤسسة نهر الانارة للتجارة - نقدي</t>
  </si>
  <si>
    <t>مؤسسة يحيي حسن عيظة عوجري التجارية</t>
  </si>
  <si>
    <t>D0004</t>
  </si>
  <si>
    <t>D0005</t>
  </si>
  <si>
    <t>مؤسسة شواهد تميز للتجارة</t>
  </si>
  <si>
    <t>D0006</t>
  </si>
  <si>
    <t>مؤسسة مدينة الاضاءة للتجارة-نقدي</t>
  </si>
  <si>
    <t>D0009</t>
  </si>
  <si>
    <t>LB10001</t>
  </si>
  <si>
    <t>مؤسسة ركن الشعلة للتجارة</t>
  </si>
  <si>
    <t>LB02</t>
  </si>
  <si>
    <t>LB10002</t>
  </si>
  <si>
    <t>شركة مساعد محمد بن عجلان للتجارة -فرع المشاريع</t>
  </si>
  <si>
    <t>LB01</t>
  </si>
  <si>
    <t>LB10003</t>
  </si>
  <si>
    <t>مؤسسة راجح سفر العصيمي للتجارة</t>
  </si>
  <si>
    <t>LB10004</t>
  </si>
  <si>
    <t>LB10005</t>
  </si>
  <si>
    <t>شركة قمة المرسلات للتجارة-الصحافة</t>
  </si>
  <si>
    <t>LB10006</t>
  </si>
  <si>
    <t>مجموعة سليمان الربيعه الدوليه للتجارة-التخصصي</t>
  </si>
  <si>
    <t>LB10007</t>
  </si>
  <si>
    <t>مؤسسة التوريد الفوري للتجارة -المرسلات</t>
  </si>
  <si>
    <t>LB10008</t>
  </si>
  <si>
    <t>مجموعة سليمان الربيعه الدوليه للتجارة-المرسلات</t>
  </si>
  <si>
    <t>LB10009</t>
  </si>
  <si>
    <t>مؤسسة التوريد الفوري للتجارة -العارض</t>
  </si>
  <si>
    <t>LB10010</t>
  </si>
  <si>
    <t>شركة الفياض للانارة والكهرباء - التخصصي</t>
  </si>
  <si>
    <t>LB10011</t>
  </si>
  <si>
    <t>شركة الفياض للانارة والكهرباء - الصحافة</t>
  </si>
  <si>
    <t>LB10012</t>
  </si>
  <si>
    <t>شركة الفياض للانارة والكهرباء - الملز</t>
  </si>
  <si>
    <t>LB10013</t>
  </si>
  <si>
    <t>شركة الفياض للانارة والكهرباء - الغرابي</t>
  </si>
  <si>
    <t>LB10014</t>
  </si>
  <si>
    <t>مجموعة سليمان الربيعه الدوليه للتجارة-خالد ابن الوليد</t>
  </si>
  <si>
    <t>LB10015</t>
  </si>
  <si>
    <t>مؤسسة التوريد الفوري للتجارة / ظهرة لبن</t>
  </si>
  <si>
    <t>LB10016</t>
  </si>
  <si>
    <t>شركة عبدالرحمن محمد العواد التجارية</t>
  </si>
  <si>
    <t>LB10017</t>
  </si>
  <si>
    <t>LB10019</t>
  </si>
  <si>
    <t>مؤسسة اول اعمار للتجارة</t>
  </si>
  <si>
    <t>LB10020</t>
  </si>
  <si>
    <t>مؤسسة قلعة النجوم للتجارة</t>
  </si>
  <si>
    <t>LB10021</t>
  </si>
  <si>
    <t>شركة مساعد محمد بن عجلان للتجارة/النرجس</t>
  </si>
  <si>
    <t>LB10022</t>
  </si>
  <si>
    <t>مجموعة سليمان الربيعه الدوليه للتجارة-فرع الغرابي</t>
  </si>
  <si>
    <t>LB10023</t>
  </si>
  <si>
    <t>شركة ركيزة النماء الدائم المحدودة</t>
  </si>
  <si>
    <t>LB10024</t>
  </si>
  <si>
    <t>شركة مساعد محمد بن عجلان للتجارة-الصحافة 1</t>
  </si>
  <si>
    <t>LB10025</t>
  </si>
  <si>
    <t>شركة مساعد محمد بن عجلان للتجارة-الصحافة 2</t>
  </si>
  <si>
    <t>LB10026</t>
  </si>
  <si>
    <t>شركة مساعد محمد بن عجلان للتجارة-العارض</t>
  </si>
  <si>
    <t>LB10029</t>
  </si>
  <si>
    <t>مؤسسة التوريد الفوري للتجارة / النرجس</t>
  </si>
  <si>
    <t>LB10030</t>
  </si>
  <si>
    <t>مؤسسة التوريد الفوري للتجارة / الصحافة</t>
  </si>
  <si>
    <t>LB10031</t>
  </si>
  <si>
    <t>LB10032</t>
  </si>
  <si>
    <t>مجموعة سليمان الربيعه الدوليه للتجارة/ ظهرة لبن</t>
  </si>
  <si>
    <t>LB10033</t>
  </si>
  <si>
    <t>مؤسسة الكهرباء المشعة للتجارة</t>
  </si>
  <si>
    <t>LB10034</t>
  </si>
  <si>
    <t>LB10037</t>
  </si>
  <si>
    <t>مؤسسة الثريا الافلاج للادوات الكهربائية</t>
  </si>
  <si>
    <t>LB10055</t>
  </si>
  <si>
    <t>شركة ركن الدائرة للتجارة</t>
  </si>
  <si>
    <t>LB20001</t>
  </si>
  <si>
    <t>مؤسسة تسهيلات الطائف التجارية</t>
  </si>
  <si>
    <t>LB04</t>
  </si>
  <si>
    <t>LB20002</t>
  </si>
  <si>
    <t>شركة الكيان المتجدد التجارية</t>
  </si>
  <si>
    <t>LB20003</t>
  </si>
  <si>
    <t>مؤسسة ابداع الغربية للتجارة</t>
  </si>
  <si>
    <t>LB20006</t>
  </si>
  <si>
    <t>LB20007</t>
  </si>
  <si>
    <t>مؤسسة ركيزة الإعمار للتجارة</t>
  </si>
  <si>
    <t>LB09</t>
  </si>
  <si>
    <t>LB20010</t>
  </si>
  <si>
    <t>مؤسسة عبدالاله حمزة حمدي القرشي للتجارة- نقدي</t>
  </si>
  <si>
    <t>LB20011</t>
  </si>
  <si>
    <t>مؤسسة بروج القمة التجارية</t>
  </si>
  <si>
    <t>LB2H001</t>
  </si>
  <si>
    <t>LB2H002</t>
  </si>
  <si>
    <t>مؤسسة البنيان المتكامل الماسية لمواد البناء</t>
  </si>
  <si>
    <t>LB2H004</t>
  </si>
  <si>
    <t>مؤسسة عبدالله بن حسين خضر الزهراني - نقدي</t>
  </si>
  <si>
    <t>LB2H005</t>
  </si>
  <si>
    <t>شركة جسور الإمداد للخدمات اللوجستية -نقدي</t>
  </si>
  <si>
    <t>LB2H006</t>
  </si>
  <si>
    <t>شركة السرعة الرابعة للتجارة</t>
  </si>
  <si>
    <t>LB2H007</t>
  </si>
  <si>
    <t>شركة السماحة المتطورة للتجارة  -نقدي</t>
  </si>
  <si>
    <t>LB2H008</t>
  </si>
  <si>
    <t>مؤسسة توهج الاضاءة التجارية  -نقدي</t>
  </si>
  <si>
    <t>LB2H009</t>
  </si>
  <si>
    <t>مؤسسة المهارة الحديثة لمواد البناء -نقدي</t>
  </si>
  <si>
    <t>LB2H010</t>
  </si>
  <si>
    <t>مؤسسة سامي هاشم عبدالحكيم الصبحي</t>
  </si>
  <si>
    <t>LB2H011</t>
  </si>
  <si>
    <t>مؤسسة القمة الهادفة للمقاولات العامة -نقدي</t>
  </si>
  <si>
    <t>LB2H012</t>
  </si>
  <si>
    <t>مؤسسة تغريد محمد عبدالله الحارثي لمواد البناء - نقدي</t>
  </si>
  <si>
    <t>LB2H013</t>
  </si>
  <si>
    <t>شركة جوهرة جدة للانارة والكهرباء - نقدي</t>
  </si>
  <si>
    <t>LB2H014</t>
  </si>
  <si>
    <t>شركة بصمة تطوير للتجارة</t>
  </si>
  <si>
    <t>LB2H015</t>
  </si>
  <si>
    <t>شركة سنا الاصيل التجارية</t>
  </si>
  <si>
    <t>مؤسسة حمادي معلا المحمادي للتجارة</t>
  </si>
  <si>
    <t>LB2H017</t>
  </si>
  <si>
    <t>مؤسسة مبروك بركةالله الصاعدي</t>
  </si>
  <si>
    <t>LB2H019</t>
  </si>
  <si>
    <t>مؤسسة عبدالله سعيد الزهراني التجارية</t>
  </si>
  <si>
    <t>LB2H020</t>
  </si>
  <si>
    <t>مؤسسة البنيان الفاخر لمواد البناء - نقدي</t>
  </si>
  <si>
    <t>LB2H021</t>
  </si>
  <si>
    <t>LB2H022</t>
  </si>
  <si>
    <t>مؤسسة حسن ابراهيم محمد الشيخي التجارية</t>
  </si>
  <si>
    <t>LB2H023</t>
  </si>
  <si>
    <t>مؤسسة اضاءات المستقبل لمواد البناء</t>
  </si>
  <si>
    <t>LB2H024</t>
  </si>
  <si>
    <t>مؤسسة المبارك للتجارة - وادي قديد</t>
  </si>
  <si>
    <t>LB2H025</t>
  </si>
  <si>
    <t>شركة عتيق المطورة للتجارة</t>
  </si>
  <si>
    <t>LB2H026</t>
  </si>
  <si>
    <t>شركة تهامة الحجاز للتجارة</t>
  </si>
  <si>
    <t>LB2H027</t>
  </si>
  <si>
    <t>مؤسسة كادي الحديث التجارية</t>
  </si>
  <si>
    <t>LB2k001</t>
  </si>
  <si>
    <t>مؤسسة عبدالقادر فتن بنيان المحمدي التجارية - نقدي</t>
  </si>
  <si>
    <t>LB2k002</t>
  </si>
  <si>
    <t>LB2k004</t>
  </si>
  <si>
    <t>مؤسسة خطوط الاضاءة للكهرباء - نقدي</t>
  </si>
  <si>
    <t>LB2k005</t>
  </si>
  <si>
    <t>مؤسسة الخدمات الميدانية للمقاولات - نقدي</t>
  </si>
  <si>
    <t>LB2k006</t>
  </si>
  <si>
    <t>شركة بدر جدة التجارية - نقدي</t>
  </si>
  <si>
    <t>LB2k007</t>
  </si>
  <si>
    <t>شركة نقطة الكهرباء للادوات الكهربائية - نقدي</t>
  </si>
  <si>
    <t>LB2k008</t>
  </si>
  <si>
    <t>شركة روعة الانارة للادوات الكهربائية-نقدي</t>
  </si>
  <si>
    <t>LB2k009</t>
  </si>
  <si>
    <t>مؤسسة زياد عبدالله احمد الزهراني التجارية</t>
  </si>
  <si>
    <t>LB40001</t>
  </si>
  <si>
    <t>مؤسسة تراث الانارة للادوات الكهربائية- نقدي</t>
  </si>
  <si>
    <t>LB60001</t>
  </si>
  <si>
    <t>شركة حسن عبدالله المهناء للتجارة</t>
  </si>
  <si>
    <t>LB60002</t>
  </si>
  <si>
    <t>شركة سلطان سليمان السلطان وشركاه - نقدي</t>
  </si>
  <si>
    <t>LB60003</t>
  </si>
  <si>
    <t>مؤسسة اسرار البناء للادوات الصحية- نقدي</t>
  </si>
  <si>
    <t>LB60005</t>
  </si>
  <si>
    <t>مؤسسة صالح عبدالرحمن التركي للمقاولات- نقدي</t>
  </si>
  <si>
    <t>LB60010</t>
  </si>
  <si>
    <t>مؤسسة مملكة الانوار للتجارة</t>
  </si>
  <si>
    <t>LB60011</t>
  </si>
  <si>
    <t>مؤسسة محمد صالح الثويني التجارية</t>
  </si>
  <si>
    <t>LB60012</t>
  </si>
  <si>
    <t>مؤسسة حسن عجلان العجلان التجارية</t>
  </si>
  <si>
    <t>LB60013</t>
  </si>
  <si>
    <t>مؤسسة مبارك بن حمد بن عبدالرحمن الحميد التجارية</t>
  </si>
  <si>
    <t>LB60014</t>
  </si>
  <si>
    <t>مؤسسة كهرباء الريان التجارية</t>
  </si>
  <si>
    <t>LB60015</t>
  </si>
  <si>
    <t>محل عبدالرحمن سليمان السعد للادوات الكهربائية</t>
  </si>
  <si>
    <t>LB60016</t>
  </si>
  <si>
    <t>مؤسسة عبدالعزيز حسن المقبل للتجارة</t>
  </si>
  <si>
    <t>LB60017</t>
  </si>
  <si>
    <t>مجموعة صالح محمد صالح الخليفي التجارية -نقدي</t>
  </si>
  <si>
    <t>LB70001</t>
  </si>
  <si>
    <t>LB03</t>
  </si>
  <si>
    <t>LB70002</t>
  </si>
  <si>
    <t>شركة محفوظ المتحدة للتجارة- فرع جيزان</t>
  </si>
  <si>
    <t>LB70003</t>
  </si>
  <si>
    <t>مؤسسة حسين محمد حسن مبارك التجارية</t>
  </si>
  <si>
    <t>LB70004</t>
  </si>
  <si>
    <t>شركة اركان الموسى للتجارة</t>
  </si>
  <si>
    <t>LB70006</t>
  </si>
  <si>
    <t>مؤسسة التوريد الفوري للتجارة / فرع جيزان</t>
  </si>
  <si>
    <t>LB70007</t>
  </si>
  <si>
    <t>مؤسسة فالح سعد حمود الحتارشة للتجارة</t>
  </si>
  <si>
    <t>LB70008</t>
  </si>
  <si>
    <t>مؤسسة محمد عمر محمد الشريف للتجارة</t>
  </si>
  <si>
    <t>LB70009</t>
  </si>
  <si>
    <t>LB70010</t>
  </si>
  <si>
    <t>مؤسسة يوسف مسعود الشهراني التجارية</t>
  </si>
  <si>
    <t>LB70011</t>
  </si>
  <si>
    <t>LB70012</t>
  </si>
  <si>
    <t>مؤسسة منارات البناء للتجارة</t>
  </si>
  <si>
    <t>LB70013</t>
  </si>
  <si>
    <t>مؤسسة مرام عمر ابراهيم الكديسي لمواد البناء</t>
  </si>
  <si>
    <t>LB70014</t>
  </si>
  <si>
    <t>شركة محفوظ المتحدة للتجارة-فرع صبيا</t>
  </si>
  <si>
    <t>LB70015</t>
  </si>
  <si>
    <t>شركة محفوظ المتحدة للتجارة-فرع أبو عريش</t>
  </si>
  <si>
    <t>LB70016</t>
  </si>
  <si>
    <t>شركة محفوظ المتحدة للتجارة-فرع الدرب</t>
  </si>
  <si>
    <t>LB70017</t>
  </si>
  <si>
    <t>شركة محفوظ المتحدة للتجارة-فرع صامطة</t>
  </si>
  <si>
    <t>LB70018</t>
  </si>
  <si>
    <t>شركة محفوظ المتحدة للتجارة-فرع العيدابي</t>
  </si>
  <si>
    <t>LB70019</t>
  </si>
  <si>
    <t>مؤسسة العاصمة الرائدة- نقدي</t>
  </si>
  <si>
    <t>LB70020</t>
  </si>
  <si>
    <t>مؤسسة جملة الدائر لمواد البناء</t>
  </si>
  <si>
    <t>LB70021</t>
  </si>
  <si>
    <t>مؤسسة انارة الخميس التجارية</t>
  </si>
  <si>
    <t>LB70022</t>
  </si>
  <si>
    <t>مؤسسة حمود محمد احمد عواجي للتجارة</t>
  </si>
  <si>
    <t>LB70023</t>
  </si>
  <si>
    <t>مؤسسة قيمنا التجارية</t>
  </si>
  <si>
    <t>LB70024</t>
  </si>
  <si>
    <t>شركة سكني الحديث لمواد البناء</t>
  </si>
  <si>
    <t>مؤسسة اضواء الرائد التجارية</t>
  </si>
  <si>
    <t>مؤسسة نواف سالم ابراهيم الشريف للادوات الصحية</t>
  </si>
  <si>
    <t>شركة شيخ الانارة للتجارة والمقاولات -نقدي</t>
  </si>
  <si>
    <t>شركة أنوار الجاهزية للتجارة</t>
  </si>
  <si>
    <t>شركة اعمال المختص للتجارة -نقدي</t>
  </si>
  <si>
    <t>مؤسسة أنوار العاصمة للتجارة</t>
  </si>
  <si>
    <t>R0007</t>
  </si>
  <si>
    <t>R0008</t>
  </si>
  <si>
    <t>R0009</t>
  </si>
  <si>
    <t>R0010</t>
  </si>
  <si>
    <t>T0002</t>
  </si>
  <si>
    <t>ذات مسئولية محدودة مختلطة</t>
  </si>
  <si>
    <t>B0018</t>
  </si>
  <si>
    <t>مؤسسة طاهر حمد النمر التجارية</t>
  </si>
  <si>
    <t>طاهر حمد بن طاهر النمر</t>
  </si>
  <si>
    <t>H0006</t>
  </si>
  <si>
    <t>كلثم معتوق بن على البو على</t>
  </si>
  <si>
    <t>شركة تخصص الاعمار للتجارة</t>
  </si>
  <si>
    <t>https://maps.app.goo.gl/KVVYpq1CDwBtqbJo9</t>
  </si>
  <si>
    <t>المستند</t>
  </si>
  <si>
    <t>الكود</t>
  </si>
  <si>
    <t>G</t>
  </si>
  <si>
    <t>AK</t>
  </si>
  <si>
    <t>الافتراضات</t>
  </si>
  <si>
    <t>عدد الايام بعد تواريخ انتهاء المستندات</t>
  </si>
  <si>
    <t>D0010</t>
  </si>
  <si>
    <t>مؤسسة افاق الاعمار لمواد البناء - نقدي</t>
  </si>
  <si>
    <t>على محمد سعيد الشهرانى</t>
  </si>
  <si>
    <t>تم استثناء فتح حساب العميل من ا/ حاتم و يتم التعامل بالسداد المقدم لحين استكمال اوراق فتح تاحساب</t>
  </si>
  <si>
    <t>G0001</t>
  </si>
  <si>
    <t>مؤسسة بندر خالد عبدالله بن رباع التجارية - نقدي</t>
  </si>
  <si>
    <t>بندر خالد عبد الله بن رباع</t>
  </si>
  <si>
    <t>محدودة اجنبية</t>
  </si>
  <si>
    <t>جملة تسمية الملف</t>
  </si>
  <si>
    <t>لوكيشن العميل</t>
  </si>
  <si>
    <t>ابراهيم سعيد محمد آل عامر العسيرى</t>
  </si>
  <si>
    <t>عبد السلام حسين على الحارثى</t>
  </si>
  <si>
    <t>على محمد على العمرى</t>
  </si>
  <si>
    <t>حسام ابراهيم بن سيف قبورى</t>
  </si>
  <si>
    <t>سالم كرامه بن محسنمول الدويله المنهالى</t>
  </si>
  <si>
    <t>D0011</t>
  </si>
  <si>
    <t>مؤسسة محمد سالم بن سعد المهري للتجارة - نقدى</t>
  </si>
  <si>
    <t>محمد سالم بن سعد المهري</t>
  </si>
  <si>
    <t>تم السداد مقدما و عمل العميل غير نشط لحين استكمال باقى اوراق فتح الحساب</t>
  </si>
  <si>
    <t>صالح فهد حمود الوهبى</t>
  </si>
  <si>
    <t>D0012</t>
  </si>
  <si>
    <t>علي سعد محمد المهري</t>
  </si>
  <si>
    <t>مبارك بن حمد بن عبدالرحمن الحميد</t>
  </si>
  <si>
    <t>عبدالعزيز بن حسن بن محمد المقبل</t>
  </si>
  <si>
    <t>يوجد شاهدين بسند الامر و مرفق هوياتاهما</t>
  </si>
  <si>
    <t>العميل لديه فرعين و سندين الامر , السند الاول بقيمة 50000 و تم تقسيمه بنسبة 75% للفرع الرئيسى و 25% للفرع 1, السند الثانى قيمة 80000 و تم تقسيمه بنسبة 60% للفرع الرئيسى و 40% لفرع 1</t>
  </si>
  <si>
    <t>مؤسسة جوهرة الأحسبة لمواد البناء</t>
  </si>
  <si>
    <t>LB2H028</t>
  </si>
  <si>
    <t>الحسين عبدالله محمد العبدلي</t>
  </si>
  <si>
    <t>https://maps.app.goo.gl/jE3o1UfDUsbV7gJZ9</t>
  </si>
  <si>
    <t>شركة المستورة الحديثة التجارية</t>
  </si>
  <si>
    <t>https://maps.google.com/maps?q=19.1182717%2C41.086845&amp;z=17&amp;hl=en</t>
  </si>
  <si>
    <t>https://maps.app.goo.gl/SGodnZXVX7WLAQko7</t>
  </si>
  <si>
    <t>D0014</t>
  </si>
  <si>
    <t>D0015</t>
  </si>
  <si>
    <t>سعد سعيد محمد ال سيف</t>
  </si>
  <si>
    <t>مؤسسة سعد سعيد محمد ال سيف للتكييف والتبريد</t>
  </si>
  <si>
    <t>https://maps.app.goo.gl/gWxvoiQys9oNjdvZA</t>
  </si>
  <si>
    <t>يحيى حسن عيظه شيبان عوجري</t>
  </si>
  <si>
    <t>D0013</t>
  </si>
  <si>
    <t>LB2H029</t>
  </si>
  <si>
    <t>مؤسسة الخطوط المضيئة للادوات الكهربائية</t>
  </si>
  <si>
    <t>https://maps.app.goo.gl/ojcQewDsXPrjGtaTA?g_st=iwb</t>
  </si>
  <si>
    <t>سليمان فوزان محمد الربيعه</t>
  </si>
  <si>
    <t xml:space="preserve">احمد عبدالله عبدالرحمن النصار </t>
  </si>
  <si>
    <t>الكيان القانونى</t>
  </si>
  <si>
    <t>مستثنى</t>
  </si>
  <si>
    <t>ذات مسئولية محدودة</t>
  </si>
  <si>
    <t>العميل له حد ائتمانى و ليس له سند امر او استثناء</t>
  </si>
  <si>
    <t>محمد عبدالعزيز محمد الرزيز العنقرى</t>
  </si>
  <si>
    <t>حسن على حسين القاعى</t>
  </si>
  <si>
    <t>معيضه محمد على عسيرى</t>
  </si>
  <si>
    <t>حمزد محمد احمد عواجى</t>
  </si>
  <si>
    <t>نايف على محمد الشهرانى</t>
  </si>
  <si>
    <t>عبدالعزيز  يوسف بن عبده حزام</t>
  </si>
  <si>
    <t xml:space="preserve">حسين محمد حسين مبارك </t>
  </si>
  <si>
    <t>احمد عبدالله عبدالرحمن النصار</t>
  </si>
  <si>
    <t>فالح سعد حمود الحتارشه الشهرانى</t>
  </si>
  <si>
    <t xml:space="preserve"> محمد عمر محمد الشريف </t>
  </si>
  <si>
    <t>العميل له فرعين و مجموع الحدود الائتمانية 100% من قيمة سند الامر</t>
  </si>
  <si>
    <t xml:space="preserve"> يوسف مسعود علي مرزوق الشهراني</t>
  </si>
  <si>
    <t xml:space="preserve"> مرام عمر ابراهيم حسين الكديسى</t>
  </si>
  <si>
    <t>مؤسسة</t>
  </si>
  <si>
    <t/>
  </si>
  <si>
    <t>سعيد فهد سعيد الشغائره</t>
  </si>
  <si>
    <t xml:space="preserve">راجح سفر حماد العصيمي </t>
  </si>
  <si>
    <t>لا شهود لسند الامر</t>
  </si>
  <si>
    <t>نوع العميل</t>
  </si>
  <si>
    <t>نقدى</t>
  </si>
  <si>
    <t>آجل</t>
  </si>
  <si>
    <t>كيان العميل</t>
  </si>
  <si>
    <t>قيمة سند الامر او الاستثناء</t>
  </si>
  <si>
    <t xml:space="preserve"> صورة عن هوية الشاهد الاول في السند الامر</t>
  </si>
  <si>
    <t xml:space="preserve"> تاريخ انتهاء هوية الشاهد الاول في السند الامر</t>
  </si>
  <si>
    <t xml:space="preserve"> حالة هوية الشاهد الاول في السند الامر</t>
  </si>
  <si>
    <t xml:space="preserve"> صورة عن هوية الشاهد الثانى في السند الامر</t>
  </si>
  <si>
    <t xml:space="preserve"> تاريخ انتهاء هوية الشاهد الثانى في السند الامر</t>
  </si>
  <si>
    <t xml:space="preserve"> حالة هوية الشاهد الثانى في السند الامر</t>
  </si>
  <si>
    <t>I</t>
  </si>
  <si>
    <t>M</t>
  </si>
  <si>
    <t>P</t>
  </si>
  <si>
    <t>S</t>
  </si>
  <si>
    <t>AB</t>
  </si>
  <si>
    <t>AE</t>
  </si>
  <si>
    <t>AH</t>
  </si>
  <si>
    <t>AN</t>
  </si>
  <si>
    <t>AQ</t>
  </si>
  <si>
    <t>https://maps.google.com/maps?q=18.297774877641633,42.703468184908886</t>
  </si>
  <si>
    <t>شركة ضوء الأندلس التجارية</t>
  </si>
  <si>
    <t>رخصة نشاط العميل لا تخصه (على الارجح)</t>
  </si>
  <si>
    <t>مؤسسة الياقوت الجديد لمواد البناء</t>
  </si>
  <si>
    <t>انتصار بنت على بن احمد فدعق</t>
  </si>
  <si>
    <t>شركة مساهمة</t>
  </si>
  <si>
    <t>مساهمة مقفلة</t>
  </si>
  <si>
    <t>D0016</t>
  </si>
  <si>
    <t>كود مكرر .. التعامل مع العميل على الكود D0014</t>
  </si>
  <si>
    <t>نواف عبدالله بن سعيد الزهراني</t>
  </si>
  <si>
    <t xml:space="preserve">رقم السجل بسند الامر المكتوب باليد ينقصه رقم </t>
  </si>
  <si>
    <t>محمد فهد احمد السواط</t>
  </si>
  <si>
    <t>هناء زين محمد على</t>
  </si>
  <si>
    <t>عبدالاله حمزه حمدى القرشى</t>
  </si>
  <si>
    <t>تاريخ انشاء سند الامر او الاستثناء</t>
  </si>
  <si>
    <t>تاريخ انتهاء سند الامر او الاستثناء</t>
  </si>
  <si>
    <t>GroupName</t>
  </si>
  <si>
    <t>CardCode</t>
  </si>
  <si>
    <t>CardName</t>
  </si>
  <si>
    <t>CreditLine</t>
  </si>
  <si>
    <t>Balance</t>
  </si>
  <si>
    <t>Due Amount</t>
  </si>
  <si>
    <t>Due Period</t>
  </si>
  <si>
    <t>Avaliable CreditLine</t>
  </si>
  <si>
    <t>Free_Text</t>
  </si>
  <si>
    <t>CreateDate</t>
  </si>
  <si>
    <t>Creditline State</t>
  </si>
  <si>
    <t>DueAmount State</t>
  </si>
  <si>
    <t>محمود يوسف من 03.04.2023 الى CS05</t>
  </si>
  <si>
    <t>غير متجاوز الحد الائتماني</t>
  </si>
  <si>
    <t>غير متجاوز الفترة الائتمانية</t>
  </si>
  <si>
    <t>محمد طارق من 12.11.2022 الى 07.02.2023 CS09 / محمود يوسف من 07.02.2023 الى CS05</t>
  </si>
  <si>
    <t>CS01</t>
  </si>
  <si>
    <t>C0791</t>
  </si>
  <si>
    <t>عميل بضمان المندوب CS01</t>
  </si>
  <si>
    <t>محمود رمضان من 06.11.2022 الى CS01</t>
  </si>
  <si>
    <t>متجاوز الحد الائتماني</t>
  </si>
  <si>
    <t>C0792</t>
  </si>
  <si>
    <t>عميل بضمان المندوب CS03</t>
  </si>
  <si>
    <t>عمر الشرعبي من 06.11.2022 الى CS03</t>
  </si>
  <si>
    <t>متجاوز الفترة الائتمانية بمبلغ 2,146.73</t>
  </si>
  <si>
    <t>محمد رمضان من 10.12.2022 الى CS02</t>
  </si>
  <si>
    <t>محمد رمضان من 08.01.2023 الى CS02</t>
  </si>
  <si>
    <t>محمد رمضان من 29.01.2023 الى CS02</t>
  </si>
  <si>
    <t>محمد رمضان من 01.02.2023 الى CS02</t>
  </si>
  <si>
    <t>متجاوز الفترة الائتمانية بمبلغ 128.80</t>
  </si>
  <si>
    <t>محمد رمضان  من 04.03.2023 الى CS02</t>
  </si>
  <si>
    <t>محمد رمضان  من 08.03.2023 الى CS02</t>
  </si>
  <si>
    <t>محمد رمضان  من 13.04.2023 الى CS02</t>
  </si>
  <si>
    <t>محمد رمضان  من 30.04.2023 الى CS02</t>
  </si>
  <si>
    <t>مؤسسة اجيال العود التجارية-نقدي</t>
  </si>
  <si>
    <t>محمد رمضان  من 01.05.2023 الى CS02</t>
  </si>
  <si>
    <t>شركة انارة نجف التجارية</t>
  </si>
  <si>
    <t>D0069</t>
  </si>
  <si>
    <t>عميل بضمان المندوب CS02</t>
  </si>
  <si>
    <t>محمد رمضان  من 06.11.2022 الى CS02</t>
  </si>
  <si>
    <t>متجاوز الفترة الائتمانية بمبلغ 3,109.64</t>
  </si>
  <si>
    <t>CS06</t>
  </si>
  <si>
    <t>سامر الزيني  من 30.03.2023 الى CS06</t>
  </si>
  <si>
    <t>G0018</t>
  </si>
  <si>
    <t>عميل بضمان المندوب CS06</t>
  </si>
  <si>
    <t>معتز خضر من 06.11.2022 الى CS06</t>
  </si>
  <si>
    <t>متجاوز الفترة الائتمانية بمبلغ 1,551.40</t>
  </si>
  <si>
    <t>محمد طارق من 10.11.2022 الى 07.02.2023 CS09 / محمود يوسف من 07.02.2023 الى CS05</t>
  </si>
  <si>
    <t>مؤسسة روائع التوريد لمواد البناء</t>
  </si>
  <si>
    <t>محمود يوسف من 30.03.2023 الى CS05</t>
  </si>
  <si>
    <t>CS14</t>
  </si>
  <si>
    <t>K0017</t>
  </si>
  <si>
    <t>CS14 - عمبل بضمان المندوب</t>
  </si>
  <si>
    <t>عمر الدبيب من 27.03.2023 الى CS14</t>
  </si>
  <si>
    <t>L0001</t>
  </si>
  <si>
    <t>عميل بضمان المندوب -CS09</t>
  </si>
  <si>
    <t>محمد طارق من 06.11.2022 الى 07.02.2023 CS09 / عمرو سعيد الشحات من 07.02.2023 الى CS09</t>
  </si>
  <si>
    <t>متجاوز الفترة الائتمانية بمبلغ 660.89</t>
  </si>
  <si>
    <t>اشرف المصري من 08.01.2022 الى 01.12.2022 LB02 / صالح العواد من 01.12.2022 الى 23.01.2023 LB01  / عمر الشرعبي من 23.01.2023 الى CS03</t>
  </si>
  <si>
    <t>متجاوز الفترة الائتمانية بمبلغ 3,335.04</t>
  </si>
  <si>
    <t>صالح العواد من 19.01.2022 الى 23.01.2023 LB01 / عمر الشرعبي من 23.01.2023 الى CS03</t>
  </si>
  <si>
    <t>اشرف المصري من 30.01.2022 الى 01.12.2022 LB02 / صالح العواد من 01.12.2022 الى 23.01.2023 LB01  / عمر الشرعبي من 23.01.2023 الى CS03</t>
  </si>
  <si>
    <t>شركة ابداع المعاجم للادوات الصحية</t>
  </si>
  <si>
    <t>صالح العواد من 03.02.2022 الى 23.01.2023 LB01 / عمر الشرعبي من 23.01.2023 الى CS03</t>
  </si>
  <si>
    <t>صالح العواد من 20.02.2022 الى 23.01.2023 LB01 / عمر الشرعبي من 23.01.2023 الى CS03</t>
  </si>
  <si>
    <t>صالح العواد من 20.02.2022 الى 23.01.2023 LB01 / عمر الشرعبي من 23.01.2023 الى 07.02.2203 CS03  / عمرو سعيد الشحات من 23.01.2023 الى CS09</t>
  </si>
  <si>
    <t>صالح العواد من 21.02.2022 الى 23.01.2023 LB01 / عمر الشرعبي من 23.01.2023 الى CS03</t>
  </si>
  <si>
    <t>صالح العواد من 21.02.2022 الى 23.01.2023 LB01 / عمر الشرعبي من 23.01.2023 الى 07.02.2203 CS03  / عمرو سعيد الشحات من 23.01.2023 الى CS09</t>
  </si>
  <si>
    <t>صالح العواد من 24.02.2022 الى 23.01.2023 LB01 / عمر الشرعبي من 23.01.2023 الى 07.02.2203 CS03  / عمرو سعيد الشحات من 23.01.2023 الى CS09</t>
  </si>
  <si>
    <t>متجاوز الفترة الائتمانية بمبلغ 17,833.27</t>
  </si>
  <si>
    <t>صالح العواد من 24.02.2022 الى 23.01.2023 LB01 / عمر الشرعبي من 23.01.2023 الى CS03</t>
  </si>
  <si>
    <t>صالح العواد من 28.02.2022 الى 23.01.2023 LB01 / عمر الشرعبي من 23.01.2023 الى CS03</t>
  </si>
  <si>
    <t>متجاوز الفترة الائتمانية بمبلغ 196.61</t>
  </si>
  <si>
    <t>صالح العواد من 05.03.2022 الى 23.01.2023 LB01 / عمر الشرعبي من 23.01.2023 الى 07.02.2203 CS03  / عمرو سعيد الشحات من 23.01.2023 الى CS09</t>
  </si>
  <si>
    <t>اشرف المصري من 06.03.2022 الى 01.12.2022 LB02 / صالح العواد من 01.12.2022 الى 23.01.2023 LB01  / عمر الشرعبي من 23.01.2023 الى CS03</t>
  </si>
  <si>
    <t>اشرف المصري من 06.03.2022 الى 01.12.2022 LB02 / صالح العواد من 01.12.2022 الى 23.01.2203 LB01  / عمر الشرعبي من 23.01.2203 الى 07.02.2203 CS03  / عمرو سعيد الشحات من 01.12.2022 الى CS09</t>
  </si>
  <si>
    <t>متجاوز الفترة الائتمانية بمبلغ 0.63</t>
  </si>
  <si>
    <t>صالح العواد من 08.03.2022 الى 23.01.2023 LB01 / عمر الشرعبي من 23.01.2023 الى CS03</t>
  </si>
  <si>
    <t>صالح العواد من 13.03.2022 الى 23.01.2023 LB01 / عمر الشرعبي من 23.01.2023 الى 07.02.2203 CS03  / عمرو سعيد الشحات من 23.01.2023 الى CS09</t>
  </si>
  <si>
    <t>اشرف المصري من 16.03.2022 الى 01.12.2022 LB02 / صالح العواد من 01.12.2022 الى 23.01.2023 LB01  / عمر الشرعبي من 23.01.2023 الى CS03</t>
  </si>
  <si>
    <t>صالح العواد من 16.03.2022 الى 23.01.2023 LB01 / عمر الشرعبي من 23.01.2023 الى CS03</t>
  </si>
  <si>
    <t>صالح العواد من 20.03.2022 الى 23.01.2023 LB01 / عمر الشرعبي من 23.01.2023 الى CS03</t>
  </si>
  <si>
    <t>فراس الرشيدي من 22.03.2022 الى 01.04.2023 LB05 / محمود رمضان من 01.04.2023 الى CS01</t>
  </si>
  <si>
    <t>صالح العواد من 24.03.2022 الى 23.01.2023 LB01 / عمر الشرعبي من 23.01.2023 الى 07.02.2203 CS03  / عمرو سعيد الشحات من 23.01.2023 الى CS09</t>
  </si>
  <si>
    <t>صالح العواد من 27.03.2022 الى 23.01.2023 LB01 / عمر الشرعبي من 23.01.2023 الى 07.02.2203 CS03  / عمرو سعيد الشحات من 23.01.2023 الى CS09</t>
  </si>
  <si>
    <t>صالح العواد من 27.03.2022 الى 23.01.2023 LB01 / عمر الشرعبي من 23.01.2023 الى CS03</t>
  </si>
  <si>
    <t>LB10027</t>
  </si>
  <si>
    <t>عميل بضمان المندوب LB01</t>
  </si>
  <si>
    <t>صالح العواد من 29.03.2022 الى 23.01.2022 LB01</t>
  </si>
  <si>
    <t>متجاوز الفترة الائتمانية بمبلغ 5,948.06</t>
  </si>
  <si>
    <t>LB10028</t>
  </si>
  <si>
    <t>عميل بضمان المندوب LB02</t>
  </si>
  <si>
    <t xml:space="preserve">اشرف المصري من 29.03.2022 الى 01.12.2022 LB02 / صالح العواد من 01.12.2022 الى 23.01.2023 LB01 </t>
  </si>
  <si>
    <t>متجاوز الفترة الائتمانية بمبلغ 5,857.08</t>
  </si>
  <si>
    <t>صالح العواد من 30.03.2022 الى 23.01.2023 LB01 / عمر الشرعبي من 23.01.2023 الى 07.02.2203 CS03  / عمرو سعيد الشحات من 23.01.2023 الى CS09</t>
  </si>
  <si>
    <t>صالح العواد من 31.03.2022 الى 23.01.2023 LB01 / عمر الشرعبي من 23.01.2023 الى 07.02.2203 CS03  / عمرو سعيد الشحات من 23.01.2023 الى CS09</t>
  </si>
  <si>
    <t>شركة قمة المرسلات للتجارة/ المرسلات- نقدى</t>
  </si>
  <si>
    <t>صالح العواد من 31.03.2022 الى 23.01.2022 LB01 / عمر الشرعبي من 23.01.2022 الى CS03</t>
  </si>
  <si>
    <t>اشرف المصري من 31.03.2022 الى 01.12.2022 LB02 / صالح العواد من 01.12.2022 الى 23.01.2023 LB01  / عمر الشرعبي من 23.01.2023 الى CS03</t>
  </si>
  <si>
    <t>اشرف المصري من 30.07.2022 الى 01.12.2022 LB02 / صالح العواد من 01.12.2022 الى 23.01.2023 LB01  / عمر الشرعبي من 23.01.2023 الى CS03</t>
  </si>
  <si>
    <t>اشرف المصري من 05.06.2022 الى 01.12.2022 LB02 / صالح العواد من 01.12.2022 الى 23.01.2203 LB01  / عمر الشرعبي من 23.01.2203 الى 07.02.2203 CS03  / عمرو سعيد الشحات من 01.12.2022 الى CS09</t>
  </si>
  <si>
    <t>اشرف المصري من 09.06.2022 الى 01.12.2022 LB02 / صالح العواد من 01.12.2022 الى 23.01.2203 LB01  / عمر الشرعبي من 23.01.2203 الى 07.02.2203 CS03  / عمرو سعيد الشحات من 01.12.2022 الى CS09</t>
  </si>
  <si>
    <t>LB10</t>
  </si>
  <si>
    <t>LB11001</t>
  </si>
  <si>
    <t>عميل بضمان المندوب LB10</t>
  </si>
  <si>
    <t>عاطف من 22.05.2022 الى LB10</t>
  </si>
  <si>
    <t>متجاوز الفترة الائتمانية بمبلغ 162.06</t>
  </si>
  <si>
    <t>LB08</t>
  </si>
  <si>
    <t>بشار الديب من 06.03.2022 الى 01.04.2023 LB04 / طارق الزحيلي من 01.04.2023 الى LB08</t>
  </si>
  <si>
    <t>بشار الديب من 12.03.2022 الى 01.04.2023 LB04 / طارق الزحيلي من 01.04.2023 الى LB08</t>
  </si>
  <si>
    <t>بشار الديب من 29.03.2022 الى 01.04.2023 LB04 / طارق الزحيلي من 01.04.2023 الى LB08</t>
  </si>
  <si>
    <t>LB20004</t>
  </si>
  <si>
    <t>عميل بضمان المندوب LB04</t>
  </si>
  <si>
    <t>بشار الديب من 29.03.2022 الى LB04</t>
  </si>
  <si>
    <t>متجاوز الفترة الائتمانية بمبلغ 3,709.00</t>
  </si>
  <si>
    <t>LB20005</t>
  </si>
  <si>
    <t>عميل بضمان المندوب LB06</t>
  </si>
  <si>
    <t>بشار الديب من 05.04.2022 الى LB04</t>
  </si>
  <si>
    <t>متجاوز الفترة الائتمانية بمبلغ 2,098.98</t>
  </si>
  <si>
    <t>بشار الديب من 19.06.2022 الى 01.05.2023 LB04 / حسام شيخه من 01.05.2023 الى LB07</t>
  </si>
  <si>
    <t>متجاوز الفترة الائتمانية بمبلغ 41,990.72</t>
  </si>
  <si>
    <t>محمد رمضان  من 05.10.2022 الى CS02</t>
  </si>
  <si>
    <t>LB20008</t>
  </si>
  <si>
    <t>عميل بضمان المندوب LB07</t>
  </si>
  <si>
    <t>حسام شيخه من 09.10.2022 الى LB07</t>
  </si>
  <si>
    <t>LB20009</t>
  </si>
  <si>
    <t>عميل بضمان المندوب LB09</t>
  </si>
  <si>
    <t>كريم صقر من 13.10.2022 الى LB09</t>
  </si>
  <si>
    <t>متجاوز الفترة الائتمانية بمبلغ 1,793.06</t>
  </si>
  <si>
    <t>بشار الديب من 26.10.2022 الى 01.04.2023 LB04 / طارق الزحيلي من 01.04.2023 الى LB08</t>
  </si>
  <si>
    <t>بشار الديب من 14.01.2023 الى 01.04.2023 LB04 / كريم صقر  من 01.04.2023 الى LB09</t>
  </si>
  <si>
    <t>شركة أركان الأمجاد للتجارة</t>
  </si>
  <si>
    <t>حسام شيخه من 24.10.2022 الى LB07</t>
  </si>
  <si>
    <t>حسام شيخه من 25.10.2022 الى LB07</t>
  </si>
  <si>
    <t>حسام شيخه من 30.10.2022 الى LB07</t>
  </si>
  <si>
    <t>حسام شيخه من 31.10.2022 الى 01.04.2023 LB07 / سامر الزيني  من 01.04.2023 الى CS06</t>
  </si>
  <si>
    <t>حسام شيخه من 07.11.2022 الى LB07</t>
  </si>
  <si>
    <t>حسام شيخه من 12.11.2022 الى LB07</t>
  </si>
  <si>
    <t>حسام شيخه من 13.11.2022 الى LB07</t>
  </si>
  <si>
    <t>حسام شيخه من 13.11.2022 الى 01.04.2023 LB07 / سامر الزيني  من 01.04.2023 الى CS06</t>
  </si>
  <si>
    <t>حسام شيخه من 16.11.2022 الى LB07</t>
  </si>
  <si>
    <t>حسام شيخه من 20.11.2022 الى LB07</t>
  </si>
  <si>
    <t>حسام شيخه من 30.11.2022 الى LB07</t>
  </si>
  <si>
    <t>حسام شيخه من 30.11.2022 الى 01.04.2023 LB07 / سامر الزيني  من 01.04.2023 الى CS06</t>
  </si>
  <si>
    <t>حسام شيخه من 06.12.2022 الى LB07</t>
  </si>
  <si>
    <t>حسام شيخه من 07.12.2022 الى LB07</t>
  </si>
  <si>
    <t>متجاوز الفترة الائتمانية بمبلغ 520.11</t>
  </si>
  <si>
    <t>حسام شيخه من 13.12.2022 الى LB07</t>
  </si>
  <si>
    <t>شركة المبارك للتجارة-فرع خليص</t>
  </si>
  <si>
    <t>حسام شيخه من 29.12.2022 الى LB07</t>
  </si>
  <si>
    <t>حسام شيخه من 09.01.2023 الى LB07</t>
  </si>
  <si>
    <t>متجاوز الفترة الائتمانية بمبلغ 0.22</t>
  </si>
  <si>
    <t>حسام شيخه من 21.01.2023 الى LB07</t>
  </si>
  <si>
    <t>حسام شيخه من 28.01.2023 الى LB07</t>
  </si>
  <si>
    <t>حسام شيخه من 11.02.2023 الى LB07</t>
  </si>
  <si>
    <t>حسام شيخه من 12.02.2023 الى LB07</t>
  </si>
  <si>
    <t>حسام شيخه من 13.02.2023 الى LB07</t>
  </si>
  <si>
    <t>حسام شيخه من 06.03.2023 الى LB07</t>
  </si>
  <si>
    <t>LB2H030</t>
  </si>
  <si>
    <t>كريم صقر من 23.11.2022 الى 01.03.2023 LB09 / حسام شيخه من 01.03.2023 الى LB07</t>
  </si>
  <si>
    <t>كريم صقر من 10.12.2022 الى 01.03.2023 LB09 / سامر الزيني  من 01.03.2023 الى CS06</t>
  </si>
  <si>
    <t>كريم صقر من 10.12.2022 الى LB09</t>
  </si>
  <si>
    <t>كريم صقر من 13.12.2022 الى 01.03.2023 LB09 / سامر الزيني  من 01.03.2023 الى CS06</t>
  </si>
  <si>
    <t>كريم صقر من 10.01.2023 الى 01.03.2023 LB09 / سامر الزيني  من 01.03.2023 الى CS06</t>
  </si>
  <si>
    <t>كريم صقر من 06.02.2023 الى 01.03.2023 LB09 / سامر الزيني  من 01.03.2023 الى CS06</t>
  </si>
  <si>
    <t>LB2T001</t>
  </si>
  <si>
    <t>عميل بضمان المندوب LB08</t>
  </si>
  <si>
    <t>طارق الزحيلي من 05.02.2023 الى LB08</t>
  </si>
  <si>
    <t>متجاوز الفترة الائتمانية بمبلغ 671.00</t>
  </si>
  <si>
    <t>فراس الرشيدي من 12.01.2022 الى 01.04.2023 LB05 / محمود رمضان من 01.04.2023 الى CS01</t>
  </si>
  <si>
    <t>LB40006</t>
  </si>
  <si>
    <t>عميل بضمان المندوب LB05</t>
  </si>
  <si>
    <t>فراس الرشيدي من 29.03.2022 الى 01.04.2023 LB05 / محمود رمضان من 01.04.2023 الى CS01</t>
  </si>
  <si>
    <t>متجاوز الفترة الائتمانية بمبلغ 2,772.02</t>
  </si>
  <si>
    <t>فراس الرشيدي من 08.05.2022 الى 01.04.2023 LB05 / محمود رمضان من 01.04.2023 الى CS01</t>
  </si>
  <si>
    <t>فراس الرشيدي من 09.05.2022 الى 01.04.2023 LB05 / محمود رمضان من 01.04.2023 الى CS01</t>
  </si>
  <si>
    <t>فراس الرشيدي من 15.05.2022 الى 01.04.2023 LB05 / محمود رمضان من 01.04.2023 الى CS01</t>
  </si>
  <si>
    <t>متجاوز الفترة الائتمانية بمبلغ 51.65</t>
  </si>
  <si>
    <t>فراس الرشيدي من 18.05.2022 الى 01.04.2023 LB05 / محمود رمضان من 01.04.2023 الى CS01</t>
  </si>
  <si>
    <t>فراس الرشيدي من 09.06.2022 الى 01.04.2023 LB05 / محمود رمضان من 01.04.2023 الى CS01</t>
  </si>
  <si>
    <t>فراس الرشيدي من 14.07.2022 الى 01.04.2023 LB05 / محمود رمضان من 01.04.2023 الى CS01</t>
  </si>
  <si>
    <t>متجاوز الفترة الائتمانية بمبلغ 152.67</t>
  </si>
  <si>
    <t>فراس الرشيدي من 30.07.2022 الى 01.04.2023 LB05 / محمود رمضان من 01.04.2023 الى CS01</t>
  </si>
  <si>
    <t>فراس الرشيدي من 03.09.2022 الى 01.04.2023 LB05 / محمود رمضان من 01.04.2023 الى CS01</t>
  </si>
  <si>
    <t>فراس الرشيدي من 15.09.2022 الى 01.04.2023 LB05 / محمود رمضان من 01.04.2023 الى CS01</t>
  </si>
  <si>
    <t>فراس الرشيدي من 26.09.2022 الى 01.04.2023 LB05 / محمود رمضان من 01.04.2023 الى CS01</t>
  </si>
  <si>
    <t>فراس الرشيدي من 31.10.2022 الى 01.04.2023 LB05 / محمود رمضان من 01.04.2023 الى CS01</t>
  </si>
  <si>
    <t>متجاوز الفترة الائتمانية بمبلغ 4,693.15</t>
  </si>
  <si>
    <t>فراس الرشيدي من 27.11.2022 الى 01.04.2023 LB05 / محمود رمضان من 01.04.2023 الى CS01</t>
  </si>
  <si>
    <t>عبد السلام قطيني من 29.01.2022 الى 01.05.2023 LB03 / محمد رمضان  من 01.05.2023 الى CS02</t>
  </si>
  <si>
    <t>عبد السلام قطيني من 15.03.2022 الى 01.05.2023 LB03 / محمد رمضان  من 01.05.2023 الى CS02</t>
  </si>
  <si>
    <t>عبد السلام قطيني من 24.03.2022 الى 01.05.2023 LB03 / محمد رمضان  من 01.05.2023 الى CS02</t>
  </si>
  <si>
    <t>عبد السلام قطيني من 26.03.2022 الى 01.05.2023 LB03 / عمر الدبيب من 01.05.2023 الى CS14</t>
  </si>
  <si>
    <t>LB70005</t>
  </si>
  <si>
    <t>عميل بضمان المندوب LB03</t>
  </si>
  <si>
    <t>عبد السلام قطيني من 29.03.2022 الى 01.05.2023 LB03 / عبد السلام قطيني من 01.05.2023 الى LB03</t>
  </si>
  <si>
    <t>متجاوز الفترة الائتمانية بمبلغ 6,273.29</t>
  </si>
  <si>
    <t>عبد السلام قطيني من 31.03.2022 الى 01.05.2023 LB03 / محمد رمضان  من 01.05.2023 الى CS02</t>
  </si>
  <si>
    <t>عبد السلام قطيني من 11.06.2022 الى 01.05.2023 LB03 / محمد رمضان  من 01.05.2023 الى CS02</t>
  </si>
  <si>
    <t>عبد السلام قطيني من 19.06.2022 الى 01.05.2023 LB03 / محمد رمضان  من 01.05.2023 الى CS02</t>
  </si>
  <si>
    <t>عبد السلام قطيني من 28.06.2022 الى 01.05.2023 LB03 / عمر الدبيب من 01.05.2023 الى CS14</t>
  </si>
  <si>
    <t>عبد السلام قطيني من 28.06.2022 الى 01.05.2023 LB03 / محمد رمضان  من 01.05.2023 الى CS02</t>
  </si>
  <si>
    <t>عبد السلام قطيني من 29.06.2022 الى 01.05.2023 LB03 / محمد رمضان  من 01.05.2023 الى CS02</t>
  </si>
  <si>
    <t>عبد السلام قطيني من 06.07.2022 الى 01.05.2023 LB03 / محمد رمضان  من 01.05.2023 الى CS02</t>
  </si>
  <si>
    <t>متجاوز الفترة الائتمانية بمبلغ 3.66</t>
  </si>
  <si>
    <t>عبد السلام قطيني من 13.09.2022 الى 01.05.2023 LB03 / عمر الدبيب من 01.05.2023 الى CS14</t>
  </si>
  <si>
    <t>عبد السلام قطيني من 29.10.2022 الى 01.05.2023 LB03 / محمد رمضان  من 01.05.2023 الى CS02</t>
  </si>
  <si>
    <t>عبد السلام قطيني من 08.11.2022 الى 01.05.2023 LB03 / عمر الدبيب من 01.05.2023 الى CS14</t>
  </si>
  <si>
    <t>متجاوز الفترة الائتمانية بمبلغ 9,621.84</t>
  </si>
  <si>
    <t>عبد السلام قطيني من 17.12.2022 الى 01.05.2023 LB03 / محمد رمضان  من 01.05.2023 الى CS02</t>
  </si>
  <si>
    <t>متجاوز الفترة الائتمانية بمبلغ 0.74</t>
  </si>
  <si>
    <t>عبد السلام قطيني من 20.12.2022 الى 01.05.2023 LB03 / عمر الدبيب من 01.05.2023 الى CS14</t>
  </si>
  <si>
    <t>عبد السلام قطيني من 28.12.2022 الى 01.05.2023 LB03 / محمد رمضان  من 01.05.2023 الى CS02</t>
  </si>
  <si>
    <t>LB00</t>
  </si>
  <si>
    <t>LB90001</t>
  </si>
  <si>
    <t>عميل بضمان المشرفLB00</t>
  </si>
  <si>
    <t>عمر عقيلي من 23.05.2022 الى LB00</t>
  </si>
  <si>
    <t>متجاوز الفترة الائتمانية بمبلغ 788.98</t>
  </si>
  <si>
    <t>N0001</t>
  </si>
  <si>
    <t>عميل بضمان المندوب -CS08</t>
  </si>
  <si>
    <t>محمود قبانى  من 06.11.2022 الى 15.01.2023 CS08 / سامر الزيني  من 15.01.2023 الى CS08</t>
  </si>
  <si>
    <t>متجاوز الفترة الائتمانية بمبلغ 1,520.97</t>
  </si>
  <si>
    <t>سامر الزيني  من 24.01.2023 الى CS08</t>
  </si>
  <si>
    <t>سامر الزيني  من 21.02.2023 الى CS08</t>
  </si>
  <si>
    <t>عمر الشرعبي من 27.11.2022 الى CS03</t>
  </si>
  <si>
    <t>عمر الشرعبي من 01.12.2022 الى CS03</t>
  </si>
  <si>
    <t>عمر الشرعبي من 03.12.2022 الى CS03</t>
  </si>
  <si>
    <t>عمر الشرعبي من 12.12.2022 الى CS03</t>
  </si>
  <si>
    <t>عمر الشرعبي من 17.01.2023 الى CS03</t>
  </si>
  <si>
    <t>عمر الشرعبي من 31.01.2023 الى CS03</t>
  </si>
  <si>
    <t>شركة كهرباء المشاريع للتجارة شركة شخص</t>
  </si>
  <si>
    <t>عمر الشرعبي من 01.02.2023 الى CS03</t>
  </si>
  <si>
    <t>متجاوز الفترة الائتمانية بمبلغ 0.01</t>
  </si>
  <si>
    <t>عمر الشرعبي من 27.02.2023 الى CS03</t>
  </si>
  <si>
    <t>عمر الشرعبي من 07.03.2023 الى CS03</t>
  </si>
  <si>
    <t>T0001</t>
  </si>
  <si>
    <t>عميل بضمان المندوب CS05</t>
  </si>
  <si>
    <t>محمود يوسف من 06.11.2022 الى CS05</t>
  </si>
  <si>
    <t>محمود يوسف من 01.12.2022 الى CS05</t>
  </si>
  <si>
    <t>T0003</t>
  </si>
  <si>
    <t>مؤسسة طريق الخليج للتجارة - نقدي</t>
  </si>
  <si>
    <t xml:space="preserve">عبد الرحمن بن عطيه بن رازن الصحفي </t>
  </si>
  <si>
    <t>السجل التجارى المرسل لا يخص العميل (تم التحقق عن طريق مواقع الكشف على السحل التجارى و البطاقة الضريبية) + الضامن الاحتياطى غير موقع خانة التوقيع بسند الامر</t>
  </si>
  <si>
    <t>خالد ابن موسى ابن عبده الهزارى</t>
  </si>
  <si>
    <t>مبروك بركالله فعران الصاعدي</t>
  </si>
  <si>
    <t>ابراهيم احمد ابراهيم السقاف</t>
  </si>
  <si>
    <t>زياد عبدالله احمد الزهرانى</t>
  </si>
  <si>
    <t>متجاوز الفترة الائتمانية بمبلغ 20,011.17</t>
  </si>
  <si>
    <t>T0004</t>
  </si>
  <si>
    <t>سامى بن عيسى بن حسن العبيدان</t>
  </si>
  <si>
    <t>https://maps.app.goo.gl/fhT1ApRQr1Fu35Qc8</t>
  </si>
  <si>
    <t>نجاح بنت عبدالله بن على آل سواد</t>
  </si>
  <si>
    <t>مكى ناصر سبتى النخلى</t>
  </si>
  <si>
    <t>نواف سالم ابراهيم الشريف</t>
  </si>
  <si>
    <t>ماجده عوض حسن المالكى</t>
  </si>
  <si>
    <t>حسين عبدالله  محمد الكثيري</t>
  </si>
  <si>
    <t>كيان العميل الحالى شركة و طلب فتح الحساب و سند الامر باسم مؤسسة</t>
  </si>
  <si>
    <t>توصية بسيطة</t>
  </si>
  <si>
    <t>خلف محمد خلف الحربي</t>
  </si>
  <si>
    <t>صالح عيدلرحمن صالح التركي</t>
  </si>
  <si>
    <t>عبدالرحمن سليمان ناصر الطيار</t>
  </si>
  <si>
    <t>محمد بن صالح بن ناصر الثويني</t>
  </si>
  <si>
    <t>T0005</t>
  </si>
  <si>
    <t>حسن بن ابراهيم بن حسن الدار</t>
  </si>
  <si>
    <t>LicTradNum</t>
  </si>
  <si>
    <t>PymntGroup</t>
  </si>
  <si>
    <t>GroupNum</t>
  </si>
  <si>
    <t>310622202300003</t>
  </si>
  <si>
    <t>60 Days</t>
  </si>
  <si>
    <t>311484851400003</t>
  </si>
  <si>
    <t>عمر</t>
  </si>
  <si>
    <t>302185578300003</t>
  </si>
  <si>
    <t>311242601800003</t>
  </si>
  <si>
    <t>311157027100003</t>
  </si>
  <si>
    <t>300549428400003</t>
  </si>
  <si>
    <t>310022604400003</t>
  </si>
  <si>
    <t>- Cash Basic -</t>
  </si>
  <si>
    <t>310965030300003</t>
  </si>
  <si>
    <t>302027070300003</t>
  </si>
  <si>
    <t>310389704400003</t>
  </si>
  <si>
    <t>310381554200003</t>
  </si>
  <si>
    <t>311251108700003</t>
  </si>
  <si>
    <t>311299571600003</t>
  </si>
  <si>
    <t>302053512300003</t>
  </si>
  <si>
    <t>300454629700003</t>
  </si>
  <si>
    <t>310128049800003</t>
  </si>
  <si>
    <t>300459122200003</t>
  </si>
  <si>
    <t>311286171700003</t>
  </si>
  <si>
    <t>عمر الديب</t>
  </si>
  <si>
    <t>300018142600003</t>
  </si>
  <si>
    <t>310828791200003</t>
  </si>
  <si>
    <t>310103418900003</t>
  </si>
  <si>
    <t>311257882500003</t>
  </si>
  <si>
    <t>311037610200003</t>
  </si>
  <si>
    <t>300464613700003</t>
  </si>
  <si>
    <t>300024635700003</t>
  </si>
  <si>
    <t>301200478900003</t>
  </si>
  <si>
    <t>310157833700003</t>
  </si>
  <si>
    <t>311166433600003</t>
  </si>
  <si>
    <t>300031767700003</t>
  </si>
  <si>
    <t>300028437300003</t>
  </si>
  <si>
    <t>310069573600003</t>
  </si>
  <si>
    <t>310965865600003</t>
  </si>
  <si>
    <t>311302319900003</t>
  </si>
  <si>
    <t>301284957200003</t>
  </si>
  <si>
    <t>310576287700003</t>
  </si>
  <si>
    <t>311068651500003</t>
  </si>
  <si>
    <t>310461815600003</t>
  </si>
  <si>
    <t>311179583600003</t>
  </si>
  <si>
    <t>305001131200003</t>
  </si>
  <si>
    <t>حسام شيحة</t>
  </si>
  <si>
    <t>كريم</t>
  </si>
  <si>
    <t>311377497900003</t>
  </si>
  <si>
    <t>302183391400003</t>
  </si>
  <si>
    <t>311165719400003</t>
  </si>
  <si>
    <t>311105081400003</t>
  </si>
  <si>
    <t>311372043300003</t>
  </si>
  <si>
    <t>310388232300003</t>
  </si>
  <si>
    <t>311146179500003</t>
  </si>
  <si>
    <t>311408935800003</t>
  </si>
  <si>
    <t>311337338100003</t>
  </si>
  <si>
    <t>310239914500003</t>
  </si>
  <si>
    <t>300101638300003</t>
  </si>
  <si>
    <t>310355124200003</t>
  </si>
  <si>
    <t>300810167500003</t>
  </si>
  <si>
    <t>311381061900003</t>
  </si>
  <si>
    <t>311320459600003</t>
  </si>
  <si>
    <t>311253985900003</t>
  </si>
  <si>
    <t>311323446500003</t>
  </si>
  <si>
    <t>300087762700003</t>
  </si>
  <si>
    <t>300835437500003</t>
  </si>
  <si>
    <t>311564581700003</t>
  </si>
  <si>
    <t>302238795700003</t>
  </si>
  <si>
    <t>302046864600003</t>
  </si>
  <si>
    <t>311316475800003</t>
  </si>
  <si>
    <t>310087860800003</t>
  </si>
  <si>
    <t>311158134100003</t>
  </si>
  <si>
    <t>310637205700003</t>
  </si>
  <si>
    <t>311384510200003</t>
  </si>
  <si>
    <t>311311095500003</t>
  </si>
  <si>
    <t>310221502500003</t>
  </si>
  <si>
    <t>310136107800003</t>
  </si>
  <si>
    <t>311118698800003</t>
  </si>
  <si>
    <t>300442099800003</t>
  </si>
  <si>
    <t>300845381800003</t>
  </si>
  <si>
    <t>310080869500003</t>
  </si>
  <si>
    <t>300104557800003</t>
  </si>
  <si>
    <t>311244075100003</t>
  </si>
  <si>
    <t>310314127700003</t>
  </si>
  <si>
    <t>300101621700003</t>
  </si>
  <si>
    <t>طارق الزحيلى</t>
  </si>
  <si>
    <t>300051621100003</t>
  </si>
  <si>
    <t>311221420300003</t>
  </si>
  <si>
    <t>300538203200003</t>
  </si>
  <si>
    <t>310767524100003</t>
  </si>
  <si>
    <t>300442786200003</t>
  </si>
  <si>
    <t>301003771500003</t>
  </si>
  <si>
    <t>300422761700003</t>
  </si>
  <si>
    <t>301065568900003</t>
  </si>
  <si>
    <t>300505056600003</t>
  </si>
  <si>
    <t>311225935200003</t>
  </si>
  <si>
    <t>300944275800003</t>
  </si>
  <si>
    <t>300580958400003</t>
  </si>
  <si>
    <t>302205665500003</t>
  </si>
  <si>
    <t>310273645200003</t>
  </si>
  <si>
    <t>311030439900003</t>
  </si>
  <si>
    <t>300979482100003</t>
  </si>
  <si>
    <t>310811284500003</t>
  </si>
  <si>
    <t>300847198100003</t>
  </si>
  <si>
    <t>310548352800003</t>
  </si>
  <si>
    <t>300544084900003</t>
  </si>
  <si>
    <t>311288866100003</t>
  </si>
  <si>
    <t>310941447600003</t>
  </si>
  <si>
    <t>300829676200003</t>
  </si>
  <si>
    <t>300550874100003</t>
  </si>
  <si>
    <t>311029147100003</t>
  </si>
  <si>
    <t>310791775700003</t>
  </si>
  <si>
    <t>300847537400003</t>
  </si>
  <si>
    <t>311311123500003</t>
  </si>
  <si>
    <t>311388297800003</t>
  </si>
  <si>
    <t>سامر زيني</t>
  </si>
  <si>
    <t>311460950100003</t>
  </si>
  <si>
    <t>311377014800003</t>
  </si>
  <si>
    <t>310090548300003</t>
  </si>
  <si>
    <t>311295720300003</t>
  </si>
  <si>
    <t>311272528200003</t>
  </si>
  <si>
    <t>310448142800003</t>
  </si>
  <si>
    <t>300095531500003</t>
  </si>
  <si>
    <t>300838149300003</t>
  </si>
  <si>
    <t>310396822300003</t>
  </si>
  <si>
    <t>310889739500003</t>
  </si>
  <si>
    <t>300821085800003</t>
  </si>
  <si>
    <t>310191707600003</t>
  </si>
  <si>
    <t>300836157800003</t>
  </si>
  <si>
    <t>مؤسسة سهم الدر التجارية - نقدي</t>
  </si>
  <si>
    <t>300779176100003</t>
  </si>
  <si>
    <t>اسامه عبدالله احمد الموسي</t>
  </si>
  <si>
    <t>محمود سعود محمود المروحن</t>
  </si>
  <si>
    <t>عايض حزام جلعود السبيعي</t>
  </si>
  <si>
    <t>العميل لديه سندين امر و لكن تم الاعتداد بالاحدث فقط حسب افادة استاذ اسامة ابو زياد</t>
  </si>
  <si>
    <t>رقم هوية الضامن مختلف عن الرقم بسند الامر</t>
  </si>
  <si>
    <t>حسن بن عجلان بن محمد العجلان</t>
  </si>
  <si>
    <t>عبدالله بن محمد بن سليمان الدبيخي</t>
  </si>
  <si>
    <t>عبدالرحمن سليمان فهيد السعد</t>
  </si>
  <si>
    <t>صالح محمد صالح الخليفي</t>
  </si>
  <si>
    <t>سليمان محمد عبدالله الزومان</t>
  </si>
  <si>
    <t>سعيدة بنت قاصر ابن يوسف جنيد</t>
  </si>
  <si>
    <t>جزي محمد عاقل الحربي</t>
  </si>
  <si>
    <t>تغريد محمد عبدالله الحارثي</t>
  </si>
  <si>
    <t>حمادى معلا مبيريك المحمادي</t>
  </si>
  <si>
    <t>عبدالله سعيد عطيه الزهراني</t>
  </si>
  <si>
    <t>عبدالله بن حسين بن خضر الزهراني</t>
  </si>
  <si>
    <t>ياسر عبدالمحسن دخيل الله المرواني</t>
  </si>
  <si>
    <t>احمد عبدالله محمد المهداوي</t>
  </si>
  <si>
    <t>حسن إبراهيم محمد الشيخي</t>
  </si>
  <si>
    <t>مباركه علي حسن الزبيدي</t>
  </si>
  <si>
    <t>عمار عبدالرحمن عبدالحليم الصحفي</t>
  </si>
  <si>
    <t>الفروع</t>
  </si>
  <si>
    <t>قيمة السند او الاستثناء الاجمالية للفروع</t>
  </si>
  <si>
    <t>فرع</t>
  </si>
  <si>
    <t>فردى</t>
  </si>
  <si>
    <t>محمد حرمل عبدالله عبدالله عون الصبعري</t>
  </si>
  <si>
    <t>فهد على عبدالله اللحيدان</t>
  </si>
  <si>
    <t>سالم بن علي بن سالم التميمي</t>
  </si>
  <si>
    <t>نوره راشد مبارك الرشود</t>
  </si>
  <si>
    <t>يتم تعديله</t>
  </si>
  <si>
    <t>A</t>
  </si>
  <si>
    <t>لا</t>
  </si>
  <si>
    <t>B</t>
  </si>
  <si>
    <t>نعم</t>
  </si>
  <si>
    <t>C</t>
  </si>
  <si>
    <t>D</t>
  </si>
  <si>
    <t>E</t>
  </si>
  <si>
    <t>F</t>
  </si>
  <si>
    <t>H</t>
  </si>
  <si>
    <t>J</t>
  </si>
  <si>
    <t>K</t>
  </si>
  <si>
    <t>L</t>
  </si>
  <si>
    <t>N</t>
  </si>
  <si>
    <t>O</t>
  </si>
  <si>
    <t>Q</t>
  </si>
  <si>
    <t>R</t>
  </si>
  <si>
    <t>T</t>
  </si>
  <si>
    <t>U</t>
  </si>
  <si>
    <t>V</t>
  </si>
  <si>
    <t>W</t>
  </si>
  <si>
    <t>X</t>
  </si>
  <si>
    <t>Y</t>
  </si>
  <si>
    <t>Z</t>
  </si>
  <si>
    <t>AA</t>
  </si>
  <si>
    <t>AC</t>
  </si>
  <si>
    <t>AD</t>
  </si>
  <si>
    <t>AF</t>
  </si>
  <si>
    <t>AG</t>
  </si>
  <si>
    <t>AI</t>
  </si>
  <si>
    <t>AJ</t>
  </si>
  <si>
    <t>AL</t>
  </si>
  <si>
    <t>AM</t>
  </si>
  <si>
    <t>AO</t>
  </si>
  <si>
    <t>AP</t>
  </si>
  <si>
    <t>AR</t>
  </si>
  <si>
    <t>AS</t>
  </si>
  <si>
    <t>AT</t>
  </si>
  <si>
    <t>موقع المؤسسة GPS</t>
  </si>
  <si>
    <t>AU</t>
  </si>
  <si>
    <t>AV</t>
  </si>
  <si>
    <t>AW</t>
  </si>
  <si>
    <t>قيمة سند الامر او الاستثناء لفروع العميل</t>
  </si>
  <si>
    <t>AX</t>
  </si>
  <si>
    <t>متجاوز الفترة الائتمانية بمبلغ 0.85</t>
  </si>
  <si>
    <t>متجاوز الفترة الائتمانية بمبلغ 27,121.72</t>
  </si>
  <si>
    <t>متجاوز الفترة الائتمانية بمبلغ 0.65</t>
  </si>
  <si>
    <t>متجاوز الفترة الائتمانية بمبلغ 1,021.59</t>
  </si>
  <si>
    <t>LB2T002</t>
  </si>
  <si>
    <t>سعيد القحطاني - نقدي</t>
  </si>
  <si>
    <t>طارق الزحيلي من 01.06.2023 الى LB08</t>
  </si>
  <si>
    <t>متجاوز الفترة الائتمانية بمبلغ 11,398.03</t>
  </si>
  <si>
    <t>متجاوز الفترة الائتمانية بمبلغ 10,874.28</t>
  </si>
  <si>
    <t>301182858100003</t>
  </si>
  <si>
    <t>مؤسسة نجاح ال سواد التجارية</t>
  </si>
  <si>
    <t>تم تحويل العميل الي اجل 04/06/2023</t>
  </si>
  <si>
    <t>LB2H031</t>
  </si>
  <si>
    <t>مؤسسة سرعة الاعصار للنقل - نقدي</t>
  </si>
  <si>
    <t xml:space="preserve">هنيف محمد بن صالح الغنيم </t>
  </si>
  <si>
    <t>اجل مستثني</t>
  </si>
  <si>
    <t xml:space="preserve">العميل غير نشط وجاهز لاستخدامه باسم عميل جديد </t>
  </si>
  <si>
    <t>العميل له عدة فروع + سند الامر باوراق العميل بقيمة 50000 حاليا مع المندوب عمر الشرعبي و سيتم تزويدنا بسند امر جديد يوم السبت الموافق 06/10 لجميع فروع العميل  مع المتابعه مع عمر عقيلى</t>
  </si>
  <si>
    <t>طلب فتح الحساب غير موثق</t>
  </si>
  <si>
    <t>محمد صالح سالم الطاهر</t>
  </si>
  <si>
    <t>لايوجد سجل تجاري</t>
  </si>
  <si>
    <t>المبلغ غير مفقط بسند الامر فى خانه مبلغ وقدره</t>
  </si>
  <si>
    <t>العنوان الوطنى باسم مؤسسة وليس شركة</t>
  </si>
  <si>
    <t>العميل له حدائتمانى بقيمة 35000ريال وليس له سند امر</t>
  </si>
  <si>
    <t>https://maps.app.goo.gl/Ex6zSMZTkRYcpv4X8?g_st=it</t>
  </si>
  <si>
    <t>سيتم ارسال العنوان الوطني بحد اقصي 20/07</t>
  </si>
  <si>
    <t>سعد مرزوق لاحق السلمي</t>
  </si>
  <si>
    <t>العميل اجل وليس له سند امر</t>
  </si>
  <si>
    <t>ليس له اى ورق</t>
  </si>
  <si>
    <t>هياء محمد سالم البيشي</t>
  </si>
  <si>
    <t>https://maps.app.goo.gl/P63YLWF1roNT6org6</t>
  </si>
  <si>
    <t>LB70025</t>
  </si>
  <si>
    <t>زهراء علي احمد القاضي</t>
  </si>
  <si>
    <t>متجاوز الفترة الائتمانية بمبلغ 2,425.55</t>
  </si>
  <si>
    <t>متجاوز الفترة الائتمانية بمبلغ 1,755.63</t>
  </si>
  <si>
    <t>شركة</t>
  </si>
  <si>
    <t>محمد رمضان</t>
  </si>
  <si>
    <t>متجاوز الفترة الائتمانية بمبلغ 29,701.88</t>
  </si>
  <si>
    <t>متجاوز الفترة الائتمانية بمبلغ 3,836.49</t>
  </si>
  <si>
    <t>متجاوز الفترة الائتمانية بمبلغ 11,305.14</t>
  </si>
  <si>
    <t>متجاوز الفترة الائتمانية بمبلغ 4,448.68</t>
  </si>
  <si>
    <t>متجاوز الفترة الائتمانية بمبلغ 15,365.61</t>
  </si>
  <si>
    <t>311589708100003</t>
  </si>
  <si>
    <t>متجاوز الفترة الائتمانية بمبلغ 2,012.26</t>
  </si>
  <si>
    <t>متجاوز الفترة الائتمانية بمبلغ 3,115.33</t>
  </si>
  <si>
    <t>متجاوز الفترة الائتمانية بمبلغ 5,213.62</t>
  </si>
  <si>
    <t>متجاوز الفترة الائتمانية بمبلغ 486.14</t>
  </si>
  <si>
    <t>متجاوز الفترة الائتمانية بمبلغ 0.02</t>
  </si>
  <si>
    <t>متجاوز الفترة الائتمانية بمبلغ 9,514.62</t>
  </si>
  <si>
    <t>متجاوز الفترة الائتمانية بمبلغ 24,509.82</t>
  </si>
  <si>
    <t>متجاوز الفترة الائتمانية بمبلغ 5,492.87</t>
  </si>
  <si>
    <t>متجاوز الفترة الائتمانية بمبلغ 1,345.01</t>
  </si>
  <si>
    <t>متجاوز الفترة الائتمانية بمبلغ 7,476.58</t>
  </si>
  <si>
    <t>متجاوز الفترة الائتمانية بمبلغ 4,004.39</t>
  </si>
  <si>
    <t>متجاوز الفترة الائتمانية بمبلغ 7,879.15</t>
  </si>
  <si>
    <t>مؤسسة التخصصية الاولي التجارية - نقدي</t>
  </si>
  <si>
    <t>310491645200003</t>
  </si>
  <si>
    <t>310440088200003</t>
  </si>
  <si>
    <t>متجاوز الفترة الائتمانية بمبلغ 1,186.84</t>
  </si>
  <si>
    <t>متجاوز الفترة الائتمانية بمبلغ 7,116.63</t>
  </si>
  <si>
    <t>مؤسسة عبدالعزيز يوسف بن عبده حزام للتجارة</t>
  </si>
  <si>
    <t>متجاوز الفترة الائتمانية بمبلغ 17,503.32</t>
  </si>
  <si>
    <t>متجاوز الفترة الائتمانية بمبلغ 2,724.06</t>
  </si>
  <si>
    <t>متجاوز الفترة الائتمانية بمبلغ 35,393.42</t>
  </si>
  <si>
    <t>متجاوز الفترة الائتمانية بمبلغ 1,589.21</t>
  </si>
  <si>
    <t>مؤسسة زهراء على احمد القاضي التجارية- نقدي</t>
  </si>
  <si>
    <t>310229075200003</t>
  </si>
  <si>
    <t>متجاوز الفترة الائتمانية بمبلغ 21,967.88</t>
  </si>
  <si>
    <t>متجاوز الفترة الائتمانية بمبلغ 8,429.27</t>
  </si>
  <si>
    <t>متجاوز الفترة الائتمانية بمبلغ 135.72</t>
  </si>
  <si>
    <t>متجاوز الفترة الائتمانية بمبلغ 3,616.74</t>
  </si>
  <si>
    <t>مؤسسة صالح بن فهد الوهبي التجارية - نقدي</t>
  </si>
  <si>
    <t>متجاوز الفترة الائتمانية بمبلغ 645.57</t>
  </si>
  <si>
    <t>متجاوز الفترة الائتمانية بمبلغ 1,675.37</t>
  </si>
  <si>
    <t>متجاوز الفترة الائتمانية بمبلغ 20,167.72</t>
  </si>
  <si>
    <t>متجاوز الفترة الائتمانية بمبلغ 13,761.19</t>
  </si>
  <si>
    <t>متجاوز الفترة الائتمانية بمبلغ 6,325.26</t>
  </si>
  <si>
    <t>متجاوز الفترة الائتمانية بمبلغ 1,243.01</t>
  </si>
  <si>
    <t>متجاوز الفترة الائتمانية بمبلغ 22,107.34</t>
  </si>
  <si>
    <t>متجاوز الفترة الائتمانية بمبلغ 3,340.86</t>
  </si>
  <si>
    <t>متجاوز الفترة الائتمانية بمبلغ 29,332.73</t>
  </si>
  <si>
    <t>متجاوز الفترة الائتمانية بمبلغ 38,217.16</t>
  </si>
  <si>
    <t>متجاوز الفترة الائتمانية بمبلغ 0.77</t>
  </si>
  <si>
    <t>متجاوز الفترة الائتمانية بمبلغ 25,045.91</t>
  </si>
  <si>
    <t>متجاوز الفترة الائتمانية بمبلغ 4,697.85</t>
  </si>
  <si>
    <t>متجاوز الفترة الائتمانية بمبلغ 5,259.24</t>
  </si>
  <si>
    <t>متجاوز الفترة الائتمانية بمبلغ 581.01</t>
  </si>
  <si>
    <t>متجاوز الفترة الائتمانية بمبلغ 15,182.71</t>
  </si>
  <si>
    <t>متجاوز الفترة الائتمانية بمبلغ 13,257.22</t>
  </si>
  <si>
    <t>متجاوز الفترة الائتمانية بمبلغ 6,169.28</t>
  </si>
  <si>
    <t>متجاوز الفترة الائتمانية بمبلغ 16,161.85</t>
  </si>
  <si>
    <t>LB2T003</t>
  </si>
  <si>
    <t>مؤسسة بيوت الاصالة للمقاولات-نقدي</t>
  </si>
  <si>
    <t>302129871100003</t>
  </si>
  <si>
    <t>طارق الزحيلي من 27.07.2023 الى LB08</t>
  </si>
  <si>
    <t>متجاوز الفترة الائتمانية بمبلغ 3,368.82</t>
  </si>
  <si>
    <t>متجاوز الفترة الائتمانية بمبلغ 18,986.68</t>
  </si>
  <si>
    <t>متجاوز الفترة الائتمانية بمبلغ 6,274.64</t>
  </si>
  <si>
    <t>متجاوز الفترة الائتمانية بمبلغ 9,612.96</t>
  </si>
  <si>
    <t>متجاوز الفترة الائتمانية بمبلغ 6,144.17</t>
  </si>
  <si>
    <t>متجاوز الفترة الائتمانية بمبلغ 458.30</t>
  </si>
  <si>
    <t>SAP</t>
  </si>
  <si>
    <t>Data entry</t>
  </si>
  <si>
    <t xml:space="preserve">Function </t>
  </si>
  <si>
    <t>radio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</si>
</sst>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[$SAR]\ #,##0_);\([$SAR]\ #,##0\)"/>
    <numFmt numFmtId="165" formatCode="[$-1860000]B2yyyy/mm/dd;@"/>
    <numFmt numFmtId="166" formatCode="[$-1860000]B2d/mm/yyyy;@"/>
    <numFmt numFmtId="167" formatCode="m/d/yyyy"/>
  </numFmts>
  <fonts count="2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charset val="238"/>
      <scheme val="minor"/>
    </font>
    <font>
      <sz val="11"/>
      <color indexed="81"/>
      <name val="Tahoma"/>
    </font>
    <font>
      <b/>
      <sz val="11"/>
      <color indexed="81"/>
      <name val="Tahoma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9541"/>
        <bgColor indexed="64"/>
      </patternFill>
    </fill>
    <fill>
      <patternFill patternType="solid">
        <fgColor rgb="FF22925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45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 applyNumberFormat="0" applyFill="0" applyBorder="0" applyAlignment="0" applyProtection="0"/>
    <xf numFmtId="43" fontId="2" fillId="0" borderId="0" applyFont="0" applyFill="0" applyBorder="0" applyAlignment="0" applyProtection="0"/>
    <xf numFmtId="0" fontId="1" fillId="0" borderId="0"/>
  </cellStyleXfs>
  <cellXfs count="31">
    <xf numFmtId="0" fontId="0" fillId="0" borderId="0" xfId="0"/>
    <xf numFmtId="0" fontId="20" fillId="0" borderId="0" xfId="0" applyFont="1"/>
    <xf numFmtId="0" fontId="0" fillId="0" borderId="11" xfId="0" applyBorder="1"/>
    <xf numFmtId="0" fontId="20" fillId="33" borderId="12" xfId="0" applyFont="1" applyFill="1" applyBorder="1"/>
    <xf numFmtId="0" fontId="20" fillId="0" borderId="0" xfId="0" applyFont="1" applyAlignment="1">
      <alignment horizontal="center"/>
    </xf>
    <xf numFmtId="165" fontId="20" fillId="0" borderId="0" xfId="0" applyNumberFormat="1" applyFont="1"/>
    <xf numFmtId="0" fontId="0" fillId="34" borderId="10" xfId="0" applyFill="1" applyBorder="1"/>
    <xf numFmtId="0" fontId="20" fillId="34" borderId="0" xfId="0" applyFont="1" applyFill="1" applyAlignment="1">
      <alignment horizontal="center"/>
    </xf>
    <xf numFmtId="0" fontId="19" fillId="34" borderId="10" xfId="42" applyFill="1" applyBorder="1" applyAlignment="1">
      <alignment horizontal="right"/>
    </xf>
    <xf numFmtId="165" fontId="0" fillId="34" borderId="10" xfId="0" applyNumberFormat="1" applyFill="1" applyBorder="1"/>
    <xf numFmtId="164" fontId="0" fillId="34" borderId="10" xfId="43" applyNumberFormat="1" applyFont="1" applyFill="1" applyBorder="1"/>
    <xf numFmtId="14" fontId="0" fillId="34" borderId="10" xfId="0" applyNumberFormat="1" applyFill="1" applyBorder="1"/>
    <xf numFmtId="167" fontId="0" fillId="0" borderId="0" xfId="0" applyNumberFormat="1"/>
    <xf numFmtId="1" fontId="0" fillId="35" borderId="10" xfId="0" applyNumberFormat="1" applyFill="1" applyBorder="1"/>
    <xf numFmtId="0" fontId="0" fillId="36" borderId="10" xfId="0" applyFill="1" applyBorder="1"/>
    <xf numFmtId="166" fontId="0" fillId="37" borderId="10" xfId="0" applyNumberFormat="1" applyFill="1" applyBorder="1"/>
    <xf numFmtId="166" fontId="0" fillId="34" borderId="10" xfId="0" applyNumberFormat="1" applyFill="1" applyBorder="1"/>
    <xf numFmtId="0" fontId="0" fillId="35" borderId="10" xfId="0" applyFill="1" applyBorder="1" applyAlignment="1">
      <alignment horizontal="right"/>
    </xf>
    <xf numFmtId="0" fontId="0" fillId="35" borderId="10" xfId="0" applyFill="1" applyBorder="1"/>
    <xf numFmtId="0" fontId="0" fillId="38" borderId="10" xfId="0" applyFill="1" applyBorder="1"/>
    <xf numFmtId="14" fontId="0" fillId="38" borderId="10" xfId="0" applyNumberFormat="1" applyFill="1" applyBorder="1"/>
    <xf numFmtId="164" fontId="0" fillId="38" borderId="10" xfId="43" applyNumberFormat="1" applyFont="1" applyFill="1" applyBorder="1"/>
    <xf numFmtId="14" fontId="0" fillId="35" borderId="10" xfId="0" applyNumberFormat="1" applyFill="1" applyBorder="1"/>
    <xf numFmtId="0" fontId="0" fillId="35" borderId="0" xfId="0" applyFill="1"/>
    <xf numFmtId="0" fontId="0" fillId="34" borderId="0" xfId="0" applyFill="1"/>
    <xf numFmtId="0" fontId="0" fillId="38" borderId="0" xfId="0" applyFill="1"/>
    <xf numFmtId="0" fontId="0" fillId="39" borderId="10" xfId="0" applyFill="1" applyBorder="1"/>
    <xf numFmtId="14" fontId="0" fillId="39" borderId="10" xfId="0" applyNumberFormat="1" applyFill="1" applyBorder="1"/>
    <xf numFmtId="1" fontId="0" fillId="39" borderId="10" xfId="0" applyNumberFormat="1" applyFill="1" applyBorder="1"/>
    <xf numFmtId="0" fontId="0" fillId="39" borderId="0" xfId="0" applyFill="1"/>
    <xf numFmtId="0" fontId="19" fillId="34" borderId="10" xfId="42" applyFill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4" xr:uid="{00000000-0005-0000-0000-000027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6"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/d/yyyy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"/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[$-1860000]B2yyyy/mm/dd;@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1860000]B2d/mm/yyyy;@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1860000]B2d/mm/yyyy;@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SAR]\ #,##0_);\([$SAR]\ #,##0\)"/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SAR]\ #,##0_);\([$SAR]\ #,##0\)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SAR]\ #,##0_);\([$SAR]\ #,##0\)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[$-1860000]B2d/mm/yyyy;@"/>
      <fill>
        <patternFill patternType="solid">
          <fgColor indexed="64"/>
          <bgColor rgb="FF22925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[$-1860000]B2yyyy/mm/dd;@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23954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"/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[$-1860000]B2yyyy/mm/dd;@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rgb="FF00B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3999755851924192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D40C0C"/>
      </font>
    </dxf>
    <dxf>
      <font>
        <b/>
        <i val="0"/>
        <color rgb="FF1D8C1D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48B82E"/>
        </patternFill>
      </fill>
    </dxf>
    <dxf>
      <fill>
        <patternFill>
          <bgColor theme="0"/>
        </patternFill>
      </fill>
    </dxf>
  </dxfs>
  <tableStyles count="1" defaultTableStyle="TableStyleMedium2" defaultPivotStyle="PivotStyleLight16">
    <tableStyle name="Table Style 1" pivot="0" count="2" xr9:uid="{00000000-0011-0000-FFFF-FFFF00000000}">
      <tableStyleElement type="firstRowStripe" dxfId="75"/>
      <tableStyleElement type="secondRowStripe" dxfId="74"/>
    </tableStyle>
  </tableStyles>
  <colors>
    <mruColors>
      <color rgb="FF229255"/>
      <color rgb="FF239541"/>
      <color rgb="FF1D8C1D"/>
      <color rgb="FFD40C0C"/>
      <color rgb="FF48B82E"/>
      <color rgb="FF32C4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20">
    <queryTableFields count="15">
      <queryTableField id="1" name="GroupName" tableColumnId="13"/>
      <queryTableField id="2" name="CardCode" tableColumnId="2"/>
      <queryTableField id="3" name="CardName" tableColumnId="3"/>
      <queryTableField id="13" name="LicTradNum" tableColumnId="1"/>
      <queryTableField id="10" name="CreateDate" tableColumnId="10"/>
      <queryTableField id="14" name="PymntGroup" tableColumnId="14"/>
      <queryTableField id="4" name="CreditLine" tableColumnId="4"/>
      <queryTableField id="5" name="Balance" tableColumnId="5"/>
      <queryTableField id="6" name="Due Amount" tableColumnId="6"/>
      <queryTableField id="7" name="Due Period" tableColumnId="7"/>
      <queryTableField id="8" name="Avaliable CreditLine" tableColumnId="8"/>
      <queryTableField id="9" name="Free_Text" tableColumnId="9"/>
      <queryTableField id="15" name="GroupNum" tableColumnId="15"/>
      <queryTableField id="11" name="Creditline State" tableColumnId="11"/>
      <queryTableField id="12" name="DueAmount State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DAD803-11D5-40A0-B5F4-B1F7D004797B}" name="بيانات_العملاء4" displayName="بيانات_العملاء4" ref="A1:AX172" totalsRowShown="0" headerRowCellStyle="Bad">
  <autoFilter ref="A1:AX172" xr:uid="{2DDAD803-11D5-40A0-B5F4-B1F7D004797B}"/>
  <tableColumns count="50">
    <tableColumn id="36" xr3:uid="{6DA57F98-4DEC-4A97-B755-4FFA7BBA6F72}" name="المجموعة" dataDxfId="49">
      <calculatedColumnFormula array="1">INDEX('SAP Customer Data '!$A:$AC,MATCH(بيانات_العملاء4[[#This Row],[رمز شريك الأعمال]],'SAP Customer Data '!$B:$B,0),CELL("col",Table_Customer_Data[[#Headers],[GroupName]]))</calculatedColumnFormula>
    </tableColumn>
    <tableColumn id="1" xr3:uid="{D0F050E1-B956-4BE4-B27B-12BC2BA2B1CA}" name="رمز شريك الأعمال" dataDxfId="48" dataCellStyle="Hyperlink"/>
    <tableColumn id="2" xr3:uid="{74381860-CB4A-4FCD-84B9-B0A274582885}" name="اسم شريك الأعمال" dataDxfId="47">
      <calculatedColumnFormula array="1">INDEX('SAP Customer Data '!$A:$AC,MATCH(بيانات_العملاء4[[#This Row],[رمز شريك الأعمال]],'SAP Customer Data '!$B:$B,0),CELL("col",Table_Customer_Data[[#Headers],[CardName]]))</calculatedColumnFormula>
    </tableColumn>
    <tableColumn id="44" xr3:uid="{19C1CCDB-33E6-4B69-BDAC-DC6A63FA2187}" name="نوع العميل" dataDxfId="46"/>
    <tableColumn id="14" xr3:uid="{13198E52-5004-47DD-B083-BF532F8C1146}" name="اسم المالك" dataDxfId="45"/>
    <tableColumn id="37" xr3:uid="{C77922EE-DC7D-410D-B374-8B6D4395D940}" name="الكيان القانونى" dataDxfId="44"/>
    <tableColumn id="13" xr3:uid="{6C8CC9B1-1045-41E1-9B4F-E1D732F1A429}" name="طلب فتح حساب مصدق" dataDxfId="43"/>
    <tableColumn id="12" xr3:uid="{53A99FCC-AB0F-43B6-BDE5-4A646E18514D}" name="حالة طلب فتح الحساب" dataDxfId="42">
      <calculatedColumnFormula>IF(OR(بيانات_العملاء4[[#This Row],[طلب فتح حساب مصدق]]="موجود", بيانات_العملاء4[[#This Row],[طلب فتح حساب مصدق]]="مستثنى"), "سارى", "يجب اعادة طلبه")</calculatedColumnFormula>
    </tableColumn>
    <tableColumn id="11" xr3:uid="{562F5528-A12A-47F1-BF35-54100BC6AA74}" name="السجل التجارى" dataDxfId="41"/>
    <tableColumn id="10" xr3:uid="{67570D1B-F726-4FCE-9FF9-5BFB62F9C64E}" name="تاريخ انتهاء السجل التجارى" dataDxfId="40"/>
    <tableColumn id="8" xr3:uid="{40CB9FCF-61E3-47FE-8213-EDACA46AD481}" name="مطابقة اسم العميل بالاسم بالسجل التجارى" dataDxfId="39"/>
    <tableColumn id="9" xr3:uid="{FE95085A-70B5-467E-9C2D-DD3EAD1E878E}" name="حالة السجل التجارى" dataDxfId="38">
      <calculatedColumnFormula>IF(AND(بيانات_العملاء4[[#This Row],[السجل التجارى]]="موجود",TODAY()+'Other Data'!$B$23&lt;J2,بيانات_العملاء4[[#This Row],[مطابقة اسم العميل بالاسم بالسجل التجارى]]="مطابق"), "سارى", "يجب اعادة طلبه")</calculatedColumnFormula>
    </tableColumn>
    <tableColumn id="7" xr3:uid="{90188BA9-8106-40A2-8EFF-DB8F5906234F}" name="البطاقة الضريبية" dataDxfId="37"/>
    <tableColumn id="3" xr3:uid="{3F944222-0504-427C-B779-1F8CE01B91A1}" name="معرف الضريبة الحكومية" dataDxfId="36">
      <calculatedColumnFormula array="1">INDEX('SAP Customer Data '!A:Z,MATCH(بيانات_العملاء4[[#This Row],[رمز شريك الأعمال]],'SAP Customer Data '!B:B,0),CELL("col",Table_Customer_Data[[#Headers],[LicTradNum]]))</calculatedColumnFormula>
    </tableColumn>
    <tableColumn id="23" xr3:uid="{13832B36-A7D0-4780-87D2-757138C23DED}" name="حالة البطاقة الضريبية" dataDxfId="35">
      <calculatedColumnFormula>IF(AND(بيانات_العملاء4[[#This Row],[البطاقة الضريبية]]="موجود", LEN(بيانات_العملاء4[[#This Row],[معرف الضريبة الحكومية]])=15),"سارى", "يجب اعادة طلبه")</calculatedColumnFormula>
    </tableColumn>
    <tableColumn id="22" xr3:uid="{691EB08B-4725-478B-A995-50BCB9FCE8DA}" name="رخصة النشاط التجارى" dataDxfId="34"/>
    <tableColumn id="21" xr3:uid="{3D1D57BC-EFBA-4B4C-BDEA-4C51EAA65037}" name="تاريخ انتهاء رخصة النشاط التجارى" dataDxfId="33"/>
    <tableColumn id="20" xr3:uid="{0A04B2EB-ACC7-4A98-8FEC-46DDB3EA1533}" name="حالة رخصة النشاط التجارى" dataDxfId="32">
      <calculatedColumnFormula>IF(AND(بيانات_العملاء4[[#This Row],[رخصة النشاط التجارى]]="موجود", بيانات_العملاء4[[#This Row],[تاريخ انتهاء رخصة النشاط التجارى]]&gt;TODAY()+90),"سارى", "يجب اعادة طلبه")</calculatedColumnFormula>
    </tableColumn>
    <tableColumn id="38" xr3:uid="{A781A1E8-1118-4D61-BAF3-B16DEC467EE4}" name="سند الامر" dataDxfId="31"/>
    <tableColumn id="19" xr3:uid="{CC8E3D5F-D0DA-41FE-81EC-A2F0CF4EA3D0}" name="قيمة سند الامر او الاستثناء" dataDxfId="30" dataCellStyle="Comma"/>
    <tableColumn id="18" xr3:uid="{EE908879-EFC4-4CA9-A4DC-F8F81BEACE7E}" name="تاريخ انشاء سند الامر او الاستثناء" dataDxfId="29"/>
    <tableColumn id="17" xr3:uid="{C3392EE4-F436-4D7D-AC72-DEDE4FC98A9D}" name="تاريخ انتهاء سند الامر او الاستثناء" dataDxfId="28">
      <calculatedColumnFormula>IF(بيانات_العملاء4[[#This Row],[تاريخ انشاء سند الامر او الاستثناء]]="","",بيانات_العملاء4[[#This Row],[تاريخ انشاء سند الامر او الاستثناء]]+365*3)</calculatedColumnFormula>
    </tableColumn>
    <tableColumn id="16" xr3:uid="{3D7F407D-6833-4009-9C0A-B0E44308DCCD}" name="قيمة سند الامر المضبوطة" dataDxfId="27" dataCellStyle="Comma">
      <calculatedColumnFormula>IF(بيانات_العملاء4[[#This Row],[سند الامر]]="غير موجود", "", IF(بيانات_العملاء4[[#This Row],[سند الامر]]="مستثنى",بيانات_العملاء4[[#This Row],[قيمة سند الامر او الاستثناء]],50%*بيانات_العملاء4[[#This Row],[قيمة سند الامر او الاستثناء]]))</calculatedColumnFormula>
    </tableColumn>
    <tableColumn id="4" xr3:uid="{BC0621CB-4159-48A7-AD89-2A9F077FF14D}" name="حد الائتمان على SAP" dataDxfId="26" dataCellStyle="Comma">
      <calculatedColumnFormula array="1">INDEX('SAP Customer Data '!$A:$AC,MATCH(بيانات_العملاء4[[#This Row],[رمز شريك الأعمال]],'SAP Customer Data '!$B:$B,0),CELL("col",Table_Customer_Data[[#Headers],[CreditLine]]))</calculatedColumnFormula>
    </tableColumn>
    <tableColumn id="35" xr3:uid="{8C7D3D8C-4022-473E-A1D8-2BE6FDBBFAE4}" name="مطابقة الحد الائتمانى" dataDxfId="25">
      <calculatedColumnFormula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calculatedColumnFormula>
    </tableColumn>
    <tableColumn id="33" xr3:uid="{0A1E748B-8835-4E7F-A3CD-59847DF115AD}" name="مطابقة رقم السجل التجارى بسند الامر" dataDxfId="24"/>
    <tableColumn id="34" xr3:uid="{FAA30887-8782-4755-95A6-8710D776C3E2}" name="حالة سند الامر" dataDxfId="23">
      <calculatedColumnFormula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calculatedColumnFormula>
    </tableColumn>
    <tableColumn id="32" xr3:uid="{CD8A45D5-13FD-451F-BF66-AB67CAA92277}" name=" صورة عن هوية المالك" dataDxfId="22"/>
    <tableColumn id="31" xr3:uid="{0C6BBC5E-0100-42A1-944A-58999A5FDBA4}" name="تاريخ انتهاء هوية المالك" dataDxfId="21"/>
    <tableColumn id="30" xr3:uid="{101B89CF-F4F4-4A3E-A931-6A9448365C91}" name="حالة هوية المالك" dataDxfId="20">
      <calculatedColumnFormula>IF(AND(TODAY()+90&lt;بيانات_العملاء4[[#This Row],[تاريخ انتهاء هوية المالك]],بيانات_العملاء4[[#This Row],[ صورة عن هوية المالك]]="موجود"), "سارى", "يجب اعادة طلبه")</calculatedColumnFormula>
    </tableColumn>
    <tableColumn id="29" xr3:uid="{4414D57E-FAA1-4283-87F0-CA5EA7C7DB52}" name=" صورة عن هوية الضامن الاحتياطي في السند لأمر" dataDxfId="19"/>
    <tableColumn id="28" xr3:uid="{CCD669ED-E2DD-49CE-8BA6-000AC20E7797}" name="تاريخ انتهاء صورة عن هوية الضامن الاحتياطي في السند لأمر" dataDxfId="18"/>
    <tableColumn id="27" xr3:uid="{A46FDE1D-D638-469D-A782-5371024251E8}" name="حالة  صورة عن هوية الضامن الاحتياطي في السند لأمر" dataDxfId="17">
      <calculatedColumnFormula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calculatedColumnFormula>
    </tableColumn>
    <tableColumn id="26" xr3:uid="{D3E1398C-682B-4C69-83CF-A1EAFDDBD491}" name=" صورة عن هوية الشاهد الاول في السند الامر" dataDxfId="16"/>
    <tableColumn id="39" xr3:uid="{6DAA039E-B709-4945-AB35-FA0FEDD158B5}" name=" تاريخ انتهاء هوية الشاهد الاول في السند الامر" dataDxfId="15"/>
    <tableColumn id="40" xr3:uid="{D1340E2D-29AA-476A-BD8B-58548D090311}" name=" حالة هوية الشاهد الاول في السند الامر" dataDxfId="14">
      <calculatedColumnFormula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calculatedColumnFormula>
    </tableColumn>
    <tableColumn id="46" xr3:uid="{05F8A000-8449-435F-B2C6-D7048A1D342D}" name=" صورة عن هوية الشاهد الثانى في السند الامر" dataDxfId="13"/>
    <tableColumn id="47" xr3:uid="{ED32BCA0-5B17-4EA3-B2B5-56626B97F3B4}" name=" تاريخ انتهاء هوية الشاهد الثانى في السند الامر" dataDxfId="12"/>
    <tableColumn id="48" xr3:uid="{A6C4A6CB-050F-4C52-95D0-16F98752631C}" name=" حالة هوية الشاهد الثانى في السند الامر" dataDxfId="11">
      <calculatedColumnFormula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calculatedColumnFormula>
    </tableColumn>
    <tableColumn id="25" xr3:uid="{EAA80204-EED9-454D-AF5D-6B47C1C57FCB}" name=" صورة عن العنوان الوطني للمؤسسة" dataDxfId="10"/>
    <tableColumn id="45" xr3:uid="{3C703DF2-A4F9-4F95-B644-2B7ECF9F394A}" name="تاريخ انتهاء العنوان الوطنى للمؤسسة" dataDxfId="9"/>
    <tableColumn id="41" xr3:uid="{ED758233-8E0D-4A8D-9D66-A8FF04871BEA}" name="حالة العنوان الوطنى للمؤسسة" dataDxfId="8">
      <calculatedColumnFormula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calculatedColumnFormula>
    </tableColumn>
    <tableColumn id="24" xr3:uid="{85FDF9BE-3A71-4108-9E36-BC70E844957B}" name=" صورة عن العنوان الوطني للضامن الاحتياطي في سند الامر" dataDxfId="7"/>
    <tableColumn id="42" xr3:uid="{D8A3A785-FAAB-40EE-80A8-3C716B333E15}" name="تاريخ انتهاء العنوان الوطني للضامن الاحتياطي في سند الامر" dataDxfId="6"/>
    <tableColumn id="43" xr3:uid="{8CB9191A-1A97-41F1-87B8-0F9F68356E3E}" name="حالة  العنوان الوطني للضامن الاحتياطي في سند الامر" dataDxfId="5">
      <calculatedColumnFormula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calculatedColumnFormula>
    </tableColumn>
    <tableColumn id="6" xr3:uid="{3D7FE4EE-1636-424A-B482-380D36302778}" name="تاريخ الإنشاء" dataDxfId="4">
      <calculatedColumnFormula array="1">INDEX('SAP Customer Data '!A:Z,MATCH(بيانات_العملاء4[[#This Row],[رمز شريك الأعمال]],'SAP Customer Data '!B:B,0),CELL("col",Table_Customer_Data[[#Headers],[CreateDate]]))</calculatedColumnFormula>
    </tableColumn>
    <tableColumn id="15" xr3:uid="{9CAD33E2-72B0-4453-B356-F22629924BD9}" name="لوكيشن العميل" dataDxfId="3" dataCellStyle="Hyperlink"/>
    <tableColumn id="5" xr3:uid="{0D476D0E-08FA-494E-8E5B-5E98404327AC}" name="الملاحظات" dataDxfId="2"/>
    <tableColumn id="49" xr3:uid="{B54F64AD-EAFA-4191-AE54-E2A13B276CA9}" name="الفروع" dataDxfId="1"/>
    <tableColumn id="50" xr3:uid="{FE9AC887-A746-4241-B101-807269E8A047}" name="قيمة السند او الاستثناء الاجمالية للفروع" dataDxfId="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ustomer_Data" displayName="Table_Customer_Data" ref="A1:O174" tableType="queryTable" totalsRowShown="0">
  <autoFilter ref="A1:O174" xr:uid="{00000000-0009-0000-0100-000002000000}"/>
  <tableColumns count="15">
    <tableColumn id="13" xr3:uid="{00000000-0010-0000-0100-00000D000000}" uniqueName="13" name="GroupName" queryTableFieldId="1" dataDxfId="73"/>
    <tableColumn id="2" xr3:uid="{00000000-0010-0000-0100-000002000000}" uniqueName="2" name="CardCode" queryTableFieldId="2" dataDxfId="72"/>
    <tableColumn id="3" xr3:uid="{00000000-0010-0000-0100-000003000000}" uniqueName="3" name="CardName" queryTableFieldId="3" dataDxfId="71"/>
    <tableColumn id="1" xr3:uid="{00000000-0010-0000-0100-000001000000}" uniqueName="1" name="LicTradNum" queryTableFieldId="13" dataDxfId="70"/>
    <tableColumn id="10" xr3:uid="{00000000-0010-0000-0100-00000A000000}" uniqueName="10" name="CreateDate" queryTableFieldId="10" dataDxfId="69"/>
    <tableColumn id="14" xr3:uid="{00000000-0010-0000-0100-00000E000000}" uniqueName="14" name="PymntGroup" queryTableFieldId="14" dataDxfId="68"/>
    <tableColumn id="4" xr3:uid="{00000000-0010-0000-0100-000004000000}" uniqueName="4" name="CreditLine" queryTableFieldId="4"/>
    <tableColumn id="5" xr3:uid="{00000000-0010-0000-0100-000005000000}" uniqueName="5" name="Balance" queryTableFieldId="5"/>
    <tableColumn id="6" xr3:uid="{00000000-0010-0000-0100-000006000000}" uniqueName="6" name="Due Amount" queryTableFieldId="6"/>
    <tableColumn id="7" xr3:uid="{00000000-0010-0000-0100-000007000000}" uniqueName="7" name="Due Period" queryTableFieldId="7"/>
    <tableColumn id="8" xr3:uid="{00000000-0010-0000-0100-000008000000}" uniqueName="8" name="Avaliable CreditLine" queryTableFieldId="8"/>
    <tableColumn id="9" xr3:uid="{00000000-0010-0000-0100-000009000000}" uniqueName="9" name="Free_Text" queryTableFieldId="9" dataDxfId="67"/>
    <tableColumn id="15" xr3:uid="{00000000-0010-0000-0100-00000F000000}" uniqueName="15" name="GroupNum" queryTableFieldId="15"/>
    <tableColumn id="11" xr3:uid="{00000000-0010-0000-0100-00000B000000}" uniqueName="11" name="Creditline State" queryTableFieldId="11" dataDxfId="66"/>
    <tableColumn id="12" xr3:uid="{00000000-0010-0000-0100-00000C000000}" uniqueName="12" name="DueAmount State" queryTableFieldId="12" dataDxfId="6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drive/folders/1-LmrOaQGKzvBzRXhtI_tLphQY9H8a3Xm" TargetMode="External"/><Relationship Id="rId21" Type="http://schemas.openxmlformats.org/officeDocument/2006/relationships/hyperlink" Target="https://drive.google.com/drive/folders/1NcVB0IRcOhGGzHlj4NuQAvAA_b1TNIOb" TargetMode="External"/><Relationship Id="rId42" Type="http://schemas.openxmlformats.org/officeDocument/2006/relationships/hyperlink" Target="https://drive.google.com/drive/folders/1KFF0KjZiJwMiQnH2i-PzUvt86Cfw27dq" TargetMode="External"/><Relationship Id="rId63" Type="http://schemas.openxmlformats.org/officeDocument/2006/relationships/hyperlink" Target="https://drive.google.com/drive/folders/1Wj6M9cniiPcCaHSYhCrIZPcgbvDAak_U" TargetMode="External"/><Relationship Id="rId84" Type="http://schemas.openxmlformats.org/officeDocument/2006/relationships/hyperlink" Target="https://drive.google.com/drive/folders/1EqZpb7Ilu42RZ2yV8lWbAqscE1aiCXzg" TargetMode="External"/><Relationship Id="rId138" Type="http://schemas.openxmlformats.org/officeDocument/2006/relationships/hyperlink" Target="https://drive.google.com/drive/u/1/folders/1aa0vYvvkGomPX1J1-Z0TP-ldM64UDJF2" TargetMode="External"/><Relationship Id="rId107" Type="http://schemas.openxmlformats.org/officeDocument/2006/relationships/hyperlink" Target="https://drive.google.com/drive/folders/1CAzlWqMBV2km0nPQuP6acroCkAkIJROD" TargetMode="External"/><Relationship Id="rId11" Type="http://schemas.openxmlformats.org/officeDocument/2006/relationships/hyperlink" Target="https://drive.google.com/drive/folders/1QQm_nsKDIkS0hhRSKQYGSUno-O4CybL8" TargetMode="External"/><Relationship Id="rId32" Type="http://schemas.openxmlformats.org/officeDocument/2006/relationships/hyperlink" Target="https://drive.google.com/drive/folders/10SSxRQzFOMVETIy6kXqkv41I-2VQ5PwC" TargetMode="External"/><Relationship Id="rId53" Type="http://schemas.openxmlformats.org/officeDocument/2006/relationships/hyperlink" Target="https://drive.google.com/drive/folders/1K3aug3WpnTMp9VU2rJKtBty7AP7rDm9R" TargetMode="External"/><Relationship Id="rId74" Type="http://schemas.openxmlformats.org/officeDocument/2006/relationships/hyperlink" Target="https://drive.google.com/drive/u/1/folders/1Zr_gJTPRw5_LwngcooaPEmmETWgcZXh6" TargetMode="External"/><Relationship Id="rId128" Type="http://schemas.openxmlformats.org/officeDocument/2006/relationships/hyperlink" Target="https://drive.google.com/drive/folders/12klzqQXOlL0HKMogwRwAnwMeRo5zV0Ni" TargetMode="External"/><Relationship Id="rId149" Type="http://schemas.openxmlformats.org/officeDocument/2006/relationships/hyperlink" Target="https://drive.google.com/drive/u/0/folders/1HjYBX6nzxphDM-18sLUvtcwDVzTJ9IEZ" TargetMode="External"/><Relationship Id="rId5" Type="http://schemas.openxmlformats.org/officeDocument/2006/relationships/hyperlink" Target="https://drive.google.com/drive/folders/1mMxpyyQ6CX5gN3A-hiRl986YJg_BTxF3" TargetMode="External"/><Relationship Id="rId95" Type="http://schemas.openxmlformats.org/officeDocument/2006/relationships/hyperlink" Target="https://drive.google.com/drive/folders/18aStszunBHkE28Bh607BKzRzDBRhmByR" TargetMode="External"/><Relationship Id="rId22" Type="http://schemas.openxmlformats.org/officeDocument/2006/relationships/hyperlink" Target="https://drive.google.com/drive/folders/1oAkx77HsNVZYqFqpQu75Cy0UZ0FuFYwM" TargetMode="External"/><Relationship Id="rId27" Type="http://schemas.openxmlformats.org/officeDocument/2006/relationships/hyperlink" Target="https://drive.google.com/drive/folders/1WBJnS0PviU6h5on9G7jlpl3zQjY2Fpz_" TargetMode="External"/><Relationship Id="rId43" Type="http://schemas.openxmlformats.org/officeDocument/2006/relationships/hyperlink" Target="https://drive.google.com/drive/folders/1KFF0KjZiJwMiQnH2i-PzUvt86Cfw27dq" TargetMode="External"/><Relationship Id="rId48" Type="http://schemas.openxmlformats.org/officeDocument/2006/relationships/hyperlink" Target="https://drive.google.com/drive/folders/1CI8KC9pzlxv3r8GeEY8S6Ig5uO40utIS" TargetMode="External"/><Relationship Id="rId64" Type="http://schemas.openxmlformats.org/officeDocument/2006/relationships/hyperlink" Target="https://drive.google.com/drive/u/1/folders/1h7F3Ga0t27xhfvibOvjMdUJMMktZFfEf" TargetMode="External"/><Relationship Id="rId69" Type="http://schemas.openxmlformats.org/officeDocument/2006/relationships/hyperlink" Target="https://drive.google.com/drive/folders/1xKHpYDrcGbZAz-SZZnU8SYf_rPHI6zx_" TargetMode="External"/><Relationship Id="rId113" Type="http://schemas.openxmlformats.org/officeDocument/2006/relationships/hyperlink" Target="https://drive.google.com/drive/folders/1OiHYQ88QCw9o2y8oVIcDbJfoNPDVLf1s" TargetMode="External"/><Relationship Id="rId118" Type="http://schemas.openxmlformats.org/officeDocument/2006/relationships/hyperlink" Target="https://drive.google.com/drive/folders/1oasHPPS441TkFWpM8Y_QfH4hKbVhmSJ2" TargetMode="External"/><Relationship Id="rId134" Type="http://schemas.openxmlformats.org/officeDocument/2006/relationships/hyperlink" Target="https://drive.google.com/drive/folders/1yXKr6lgZK6nVLpGO7kU2yGiVPMFWHu5_" TargetMode="External"/><Relationship Id="rId139" Type="http://schemas.openxmlformats.org/officeDocument/2006/relationships/hyperlink" Target="https://drive.google.com/drive/u/1/folders/175UKxxKgIvAAjhJrtD-cAMwDlaySrtm0" TargetMode="External"/><Relationship Id="rId80" Type="http://schemas.openxmlformats.org/officeDocument/2006/relationships/hyperlink" Target="https://drive.google.com/drive/folders/1cCx4U1t8C9mNe7qDB3ur9ISA7_2uKKEf" TargetMode="External"/><Relationship Id="rId85" Type="http://schemas.openxmlformats.org/officeDocument/2006/relationships/hyperlink" Target="https://drive.google.com/drive/folders/15bSYHc_Ge-mJekOohglP2ItGFlkwhLuL" TargetMode="External"/><Relationship Id="rId150" Type="http://schemas.openxmlformats.org/officeDocument/2006/relationships/hyperlink" Target="https://drive.google.com/drive/u/0/folders/1myJoR1M0Rv-R27niZdrNkSUakmK1qbKY" TargetMode="External"/><Relationship Id="rId155" Type="http://schemas.openxmlformats.org/officeDocument/2006/relationships/comments" Target="../comments1.xml"/><Relationship Id="rId12" Type="http://schemas.openxmlformats.org/officeDocument/2006/relationships/hyperlink" Target="https://drive.google.com/drive/folders/1qh50GG0DBWL_rpTYthdr-MSjrQlZhGC0" TargetMode="External"/><Relationship Id="rId17" Type="http://schemas.openxmlformats.org/officeDocument/2006/relationships/hyperlink" Target="https://drive.google.com/drive/folders/1_ykv1Luql5TfdBnD788DCbglLsHyDXZ2" TargetMode="External"/><Relationship Id="rId33" Type="http://schemas.openxmlformats.org/officeDocument/2006/relationships/hyperlink" Target="https://drive.google.com/drive/u/1/folders/1MQa3K9Q_xxAw3q1TIGJOfDXOKKHVKWRz" TargetMode="External"/><Relationship Id="rId38" Type="http://schemas.openxmlformats.org/officeDocument/2006/relationships/hyperlink" Target="https://drive.google.com/drive/u/1/folders/1MQa3K9Q_xxAw3q1TIGJOfDXOKKHVKWRz" TargetMode="External"/><Relationship Id="rId59" Type="http://schemas.openxmlformats.org/officeDocument/2006/relationships/hyperlink" Target="https://drive.google.com/drive/u/1/folders/13qK-PeoCL97BhXg9ij4t4q_lGTG9aAeB" TargetMode="External"/><Relationship Id="rId103" Type="http://schemas.openxmlformats.org/officeDocument/2006/relationships/hyperlink" Target="https://drive.google.com/drive/folders/1rmjtUNlkhRmzdguiF3RvyfnTcTzrV2ri" TargetMode="External"/><Relationship Id="rId108" Type="http://schemas.openxmlformats.org/officeDocument/2006/relationships/hyperlink" Target="https://drive.google.com/drive/folders/10LoqnVnN9XMg1tnBgKVFoEYvugn2NP8V" TargetMode="External"/><Relationship Id="rId124" Type="http://schemas.openxmlformats.org/officeDocument/2006/relationships/hyperlink" Target="https://drive.google.com/drive/folders/1RH-7a3NL1GbiUlcnWD5clqAFU0JjFjK0" TargetMode="External"/><Relationship Id="rId129" Type="http://schemas.openxmlformats.org/officeDocument/2006/relationships/hyperlink" Target="https://drive.google.com/drive/folders/1hlCxrxaNsA1ZMLrPxyRfBgfk_-WUMBbc" TargetMode="External"/><Relationship Id="rId54" Type="http://schemas.openxmlformats.org/officeDocument/2006/relationships/hyperlink" Target="https://drive.google.com/drive/u/1/folders/1jv2jdkd5p14nEKtWEZL2yzzSfU_OzedG" TargetMode="External"/><Relationship Id="rId70" Type="http://schemas.openxmlformats.org/officeDocument/2006/relationships/hyperlink" Target="https://drive.google.com/drive/folders/1feH8zdYdI7TNotHURAf0w2mbF6S3bzNH" TargetMode="External"/><Relationship Id="rId75" Type="http://schemas.openxmlformats.org/officeDocument/2006/relationships/hyperlink" Target="https://drive.google.com/drive/u/1/folders/1xi73UhWQZmi3rp0jVBKfuMT7caMqKMSm" TargetMode="External"/><Relationship Id="rId91" Type="http://schemas.openxmlformats.org/officeDocument/2006/relationships/hyperlink" Target="https://drive.google.com/drive/folders/1CjQwfX2CA9B8vHAGxkwVwx07cyhMGfm4" TargetMode="External"/><Relationship Id="rId96" Type="http://schemas.openxmlformats.org/officeDocument/2006/relationships/hyperlink" Target="https://drive.google.com/drive/folders/1YhpgstE8BJxPeXkpE9LqLU89qcttnZGR" TargetMode="External"/><Relationship Id="rId140" Type="http://schemas.openxmlformats.org/officeDocument/2006/relationships/hyperlink" Target="https://drive.google.com/drive/u/1/folders/1THbtHO9BfH3YAmh8nZSQ18E0vI_zjaFB/" TargetMode="External"/><Relationship Id="rId145" Type="http://schemas.openxmlformats.org/officeDocument/2006/relationships/hyperlink" Target="https://drive.google.com/drive/u/1/folders/1vEB_bN0pLVQn68QisrMRGHOVpMeiW08G" TargetMode="External"/><Relationship Id="rId1" Type="http://schemas.openxmlformats.org/officeDocument/2006/relationships/hyperlink" Target="https://drive.google.com/drive/folders/1YNnTvbybPfJSUTWrMSzdVzsGayo5Uu-B" TargetMode="External"/><Relationship Id="rId6" Type="http://schemas.openxmlformats.org/officeDocument/2006/relationships/hyperlink" Target="https://drive.google.com/drive/folders/1S5OUVeftqVRagPoIt1iEhuU661_ak0gN" TargetMode="External"/><Relationship Id="rId23" Type="http://schemas.openxmlformats.org/officeDocument/2006/relationships/hyperlink" Target="https://drive.google.com/drive/u/1/folders/1bUemlMc8I7pz1IQIqxYNn8MqwHb5l3u8" TargetMode="External"/><Relationship Id="rId28" Type="http://schemas.openxmlformats.org/officeDocument/2006/relationships/hyperlink" Target="https://drive.google.com/drive/folders/1WBJnS0PviU6h5on9G7jlpl3zQjY2Fpz_" TargetMode="External"/><Relationship Id="rId49" Type="http://schemas.openxmlformats.org/officeDocument/2006/relationships/hyperlink" Target="https://drive.google.com/drive/folders/1IuUiLf30TFGUItS-HI9JtO9m-llLDYDM" TargetMode="External"/><Relationship Id="rId114" Type="http://schemas.openxmlformats.org/officeDocument/2006/relationships/hyperlink" Target="https://drive.google.com/drive/folders/1XJnP1o6RTbf3QkCRKtcWpp22eeff-Bqu" TargetMode="External"/><Relationship Id="rId119" Type="http://schemas.openxmlformats.org/officeDocument/2006/relationships/hyperlink" Target="https://drive.google.com/drive/folders/1Iq_CYrCHyzLoOI-eyTIsv5dflo6A-4zR" TargetMode="External"/><Relationship Id="rId44" Type="http://schemas.openxmlformats.org/officeDocument/2006/relationships/hyperlink" Target="https://drive.google.com/drive/folders/1e6fTKgZE2z2KuP_uE_XAr0tZE4ewrTwR" TargetMode="External"/><Relationship Id="rId60" Type="http://schemas.openxmlformats.org/officeDocument/2006/relationships/hyperlink" Target="https://drive.google.com/drive/u/1/folders/13qK-PeoCL97BhXg9ij4t4q_lGTG9aAeB" TargetMode="External"/><Relationship Id="rId65" Type="http://schemas.openxmlformats.org/officeDocument/2006/relationships/hyperlink" Target="https://drive.google.com/drive/folders/1v0dqngAqKxK07GskPgDiUD91-6yT0eHU" TargetMode="External"/><Relationship Id="rId81" Type="http://schemas.openxmlformats.org/officeDocument/2006/relationships/hyperlink" Target="https://drive.google.com/drive/folders/1vS1iDB5KufiKTeulXM9GFU3WIVYig5m1" TargetMode="External"/><Relationship Id="rId86" Type="http://schemas.openxmlformats.org/officeDocument/2006/relationships/hyperlink" Target="https://drive.google.com/drive/folders/1s7EqiLs8g5m0uf-K53KpUTgAsP5IJtcV" TargetMode="External"/><Relationship Id="rId130" Type="http://schemas.openxmlformats.org/officeDocument/2006/relationships/hyperlink" Target="https://drive.google.com/drive/folders/1AzwUKP6QOFqmaKlp19SB6XTYNsq1q_ik" TargetMode="External"/><Relationship Id="rId135" Type="http://schemas.openxmlformats.org/officeDocument/2006/relationships/hyperlink" Target="https://drive.google.com/drive/folders/1OX5KRbjz_CuCHQgGcukaKRlRALkhBCvg" TargetMode="External"/><Relationship Id="rId151" Type="http://schemas.openxmlformats.org/officeDocument/2006/relationships/hyperlink" Target="https://drive.google.com/drive/folders/1kCqKtimtSUu_gWKmssDh7-Cmk2BWksH6" TargetMode="External"/><Relationship Id="rId13" Type="http://schemas.openxmlformats.org/officeDocument/2006/relationships/hyperlink" Target="https://drive.google.com/drive/folders/1Avhx_KRWotM4AOwywNR15Q9ns45mpgRc" TargetMode="External"/><Relationship Id="rId18" Type="http://schemas.openxmlformats.org/officeDocument/2006/relationships/hyperlink" Target="https://drive.google.com/drive/folders/19_WuioMB3IwVNAB-qegCzs8ofv6Obf00" TargetMode="External"/><Relationship Id="rId39" Type="http://schemas.openxmlformats.org/officeDocument/2006/relationships/hyperlink" Target="https://drive.google.com/drive/folders/1KFF0KjZiJwMiQnH2i-PzUvt86Cfw27dq" TargetMode="External"/><Relationship Id="rId109" Type="http://schemas.openxmlformats.org/officeDocument/2006/relationships/hyperlink" Target="https://drive.google.com/drive/folders/1ij0SO6gJ2EgcakgmE4bIHgi2bFLZzcdn" TargetMode="External"/><Relationship Id="rId34" Type="http://schemas.openxmlformats.org/officeDocument/2006/relationships/hyperlink" Target="https://drive.google.com/drive/u/1/folders/1MQa3K9Q_xxAw3q1TIGJOfDXOKKHVKWRz" TargetMode="External"/><Relationship Id="rId50" Type="http://schemas.openxmlformats.org/officeDocument/2006/relationships/hyperlink" Target="https://drive.google.com/drive/folders/1Ahc6I7GW3omrXCZPYZDgwJBL_Nc4o-mD" TargetMode="External"/><Relationship Id="rId55" Type="http://schemas.openxmlformats.org/officeDocument/2006/relationships/hyperlink" Target="https://drive.google.com/drive/u/1/folders/13qK-PeoCL97BhXg9ij4t4q_lGTG9aAeB" TargetMode="External"/><Relationship Id="rId76" Type="http://schemas.openxmlformats.org/officeDocument/2006/relationships/hyperlink" Target="https://drive.google.com/drive/u/1/folders/1mUPZp5dDnhf8zAyUrX2t7IhEP0N52laT" TargetMode="External"/><Relationship Id="rId97" Type="http://schemas.openxmlformats.org/officeDocument/2006/relationships/hyperlink" Target="https://drive.google.com/drive/folders/10KLNj12dCj1U6Vz5wZ9bctFDmD05Xi5V" TargetMode="External"/><Relationship Id="rId104" Type="http://schemas.openxmlformats.org/officeDocument/2006/relationships/hyperlink" Target="https://drive.google.com/drive/folders/1GQIk8QsZqj97PjZYwkdILS_jQeDMzFbt" TargetMode="External"/><Relationship Id="rId120" Type="http://schemas.openxmlformats.org/officeDocument/2006/relationships/hyperlink" Target="https://drive.google.com/drive/folders/1TEskK2nrlMk7aT1S5ABPHgTEKWY1mxoW" TargetMode="External"/><Relationship Id="rId125" Type="http://schemas.openxmlformats.org/officeDocument/2006/relationships/hyperlink" Target="https://drive.google.com/drive/folders/1rq-eInT7tzgr8VevI74HJJNPVHeohsRo" TargetMode="External"/><Relationship Id="rId141" Type="http://schemas.openxmlformats.org/officeDocument/2006/relationships/hyperlink" Target="https://drive.google.com/drive/u/1/folders/1OstwlimVDiiMbAnmm7K_HIFYJCzlUjfS" TargetMode="External"/><Relationship Id="rId146" Type="http://schemas.openxmlformats.org/officeDocument/2006/relationships/hyperlink" Target="https://drive.google.com/drive/u/1/folders/15t41SFRBmCho9ZdXVkoFU7K0r6CS0DsD" TargetMode="External"/><Relationship Id="rId7" Type="http://schemas.openxmlformats.org/officeDocument/2006/relationships/hyperlink" Target="https://drive.google.com/drive/folders/1s_y4R5uKsEP595Y1y2QytK-B2pvatUzA" TargetMode="External"/><Relationship Id="rId71" Type="http://schemas.openxmlformats.org/officeDocument/2006/relationships/hyperlink" Target="https://drive.google.com/drive/u/1/folders/1O1neVDvevMXqOiUmpxKweWqgr_jiLu3K" TargetMode="External"/><Relationship Id="rId92" Type="http://schemas.openxmlformats.org/officeDocument/2006/relationships/hyperlink" Target="https://drive.google.com/drive/folders/1DZdNmENnwIHno13ev7wSJvMS4DgsvdzQ" TargetMode="External"/><Relationship Id="rId2" Type="http://schemas.openxmlformats.org/officeDocument/2006/relationships/hyperlink" Target="https://drive.google.com/drive/u/1/folders/1C1qBPmVkcb5ELz2rNHdINVqVUOFlvnuv" TargetMode="External"/><Relationship Id="rId29" Type="http://schemas.openxmlformats.org/officeDocument/2006/relationships/hyperlink" Target="https://drive.google.com/drive/folders/1WBJnS0PviU6h5on9G7jlpl3zQjY2Fpz_" TargetMode="External"/><Relationship Id="rId24" Type="http://schemas.openxmlformats.org/officeDocument/2006/relationships/hyperlink" Target="https://drive.google.com/drive/folders/1_ykv1Luql5TfdBnD788DCbglLsHyDXZ2" TargetMode="External"/><Relationship Id="rId40" Type="http://schemas.openxmlformats.org/officeDocument/2006/relationships/hyperlink" Target="https://drive.google.com/drive/folders/1KFF0KjZiJwMiQnH2i-PzUvt86Cfw27dq" TargetMode="External"/><Relationship Id="rId45" Type="http://schemas.openxmlformats.org/officeDocument/2006/relationships/hyperlink" Target="https://drive.google.com/drive/folders/1e6fTKgZE2z2KuP_uE_XAr0tZE4ewrTwR" TargetMode="External"/><Relationship Id="rId66" Type="http://schemas.openxmlformats.org/officeDocument/2006/relationships/hyperlink" Target="https://drive.google.com/drive/folders/1dz5VNimpuBR5ZMKuesXlDsBM-ZqhlTtU" TargetMode="External"/><Relationship Id="rId87" Type="http://schemas.openxmlformats.org/officeDocument/2006/relationships/hyperlink" Target="https://drive.google.com/drive/folders/1JJYXH28mfOdpaF87f-s_E3DcHoMjThvp" TargetMode="External"/><Relationship Id="rId110" Type="http://schemas.openxmlformats.org/officeDocument/2006/relationships/hyperlink" Target="https://drive.google.com/drive/folders/160JYGv1TeLQ6UZC-5OY0Lc8b7OXLTijg" TargetMode="External"/><Relationship Id="rId115" Type="http://schemas.openxmlformats.org/officeDocument/2006/relationships/hyperlink" Target="https://drive.google.com/drive/folders/1rOeydspo6Y073X34g-pPyoGgszmh5EpX" TargetMode="External"/><Relationship Id="rId131" Type="http://schemas.openxmlformats.org/officeDocument/2006/relationships/hyperlink" Target="https://drive.google.com/drive/folders/163ZtkWf1kDShUP-DaDjqgKzPeqmNPWrg" TargetMode="External"/><Relationship Id="rId136" Type="http://schemas.openxmlformats.org/officeDocument/2006/relationships/hyperlink" Target="https://drive.google.com/drive/folders/1a45f_PrNDoBMuKbcToYJPzawdn59FSyM" TargetMode="External"/><Relationship Id="rId61" Type="http://schemas.openxmlformats.org/officeDocument/2006/relationships/hyperlink" Target="https://drive.google.com/drive/u/1/folders/13qK-PeoCL97BhXg9ij4t4q_lGTG9aAeB" TargetMode="External"/><Relationship Id="rId82" Type="http://schemas.openxmlformats.org/officeDocument/2006/relationships/hyperlink" Target="https://drive.google.com/drive/folders/1Ifre-34ao8EvZJwohguv1YB_sAe8HVNk" TargetMode="External"/><Relationship Id="rId152" Type="http://schemas.openxmlformats.org/officeDocument/2006/relationships/hyperlink" Target="https://maps.app.goo.gl/SGodnZXVX7WLAQko7" TargetMode="External"/><Relationship Id="rId19" Type="http://schemas.openxmlformats.org/officeDocument/2006/relationships/hyperlink" Target="https://drive.google.com/drive/folders/1C4wuu8mb58bVGEifianay8j5QMPx-bbl" TargetMode="External"/><Relationship Id="rId14" Type="http://schemas.openxmlformats.org/officeDocument/2006/relationships/hyperlink" Target="https://drive.google.com/drive/folders/1BNiF4aERVMVU4aDXBCDP3lgfUE3Z7KkR" TargetMode="External"/><Relationship Id="rId30" Type="http://schemas.openxmlformats.org/officeDocument/2006/relationships/hyperlink" Target="https://drive.google.com/drive/folders/1WBJnS0PviU6h5on9G7jlpl3zQjY2Fpz_" TargetMode="External"/><Relationship Id="rId35" Type="http://schemas.openxmlformats.org/officeDocument/2006/relationships/hyperlink" Target="https://drive.google.com/drive/u/1/folders/1MQa3K9Q_xxAw3q1TIGJOfDXOKKHVKWRz" TargetMode="External"/><Relationship Id="rId56" Type="http://schemas.openxmlformats.org/officeDocument/2006/relationships/hyperlink" Target="https://drive.google.com/drive/u/1/folders/1jFO4N4D42GZtjZfDqnBUresC1RIX-5bA" TargetMode="External"/><Relationship Id="rId77" Type="http://schemas.openxmlformats.org/officeDocument/2006/relationships/hyperlink" Target="https://drive.google.com/drive/u/1/folders/1y-Pmyjao9ayG80NwhMGG_o99XDTdCi0K" TargetMode="External"/><Relationship Id="rId100" Type="http://schemas.openxmlformats.org/officeDocument/2006/relationships/hyperlink" Target="https://drive.google.com/drive/folders/1CgH8Wiq0qH0urV8nSOsI0RdLDzXBO-Mw" TargetMode="External"/><Relationship Id="rId105" Type="http://schemas.openxmlformats.org/officeDocument/2006/relationships/hyperlink" Target="https://drive.google.com/drive/folders/1ao3V9PlAMeeuR_RY8QJuNXrJURVszGBK" TargetMode="External"/><Relationship Id="rId126" Type="http://schemas.openxmlformats.org/officeDocument/2006/relationships/hyperlink" Target="https://drive.google.com/drive/folders/1nQUK8hSvo6jSHgxZs2BXEjYjjp7K_5e_" TargetMode="External"/><Relationship Id="rId147" Type="http://schemas.openxmlformats.org/officeDocument/2006/relationships/hyperlink" Target="https://drive.google.com/drive/u/1/folders/1RhWlC_UTJxWV1vPz_2_lnUba5sw1D2eX" TargetMode="External"/><Relationship Id="rId8" Type="http://schemas.openxmlformats.org/officeDocument/2006/relationships/hyperlink" Target="https://drive.google.com/drive/folders/1Rg1N2w8gbR2lYUgHdCa_UeOdS_GiFfnX" TargetMode="External"/><Relationship Id="rId51" Type="http://schemas.openxmlformats.org/officeDocument/2006/relationships/hyperlink" Target="https://drive.google.com/drive/folders/1tBEwD7py3yyqZscZOSNbI576U8ywK17z" TargetMode="External"/><Relationship Id="rId72" Type="http://schemas.openxmlformats.org/officeDocument/2006/relationships/hyperlink" Target="https://drive.google.com/drive/u/1/folders/1wR7bbQ7jq3jw1xArnhTvNR2qDe4cN9Ot" TargetMode="External"/><Relationship Id="rId93" Type="http://schemas.openxmlformats.org/officeDocument/2006/relationships/hyperlink" Target="https://drive.google.com/drive/folders/1vy8MixKDhkU8WUR7y6M4lVo97mhSsqam" TargetMode="External"/><Relationship Id="rId98" Type="http://schemas.openxmlformats.org/officeDocument/2006/relationships/hyperlink" Target="https://drive.google.com/drive/folders/1jGkJ0qgZX9aZa4xONHxaEVmW8bOfayYc" TargetMode="External"/><Relationship Id="rId121" Type="http://schemas.openxmlformats.org/officeDocument/2006/relationships/hyperlink" Target="https://drive.google.com/drive/folders/1rRW0rxonguM14z_gx8tWVtKmKHsZ5RLg" TargetMode="External"/><Relationship Id="rId142" Type="http://schemas.openxmlformats.org/officeDocument/2006/relationships/hyperlink" Target="https://drive.google.com/drive/u/1/folders/1dusUJDJDyPPU8BYTDp0HinMUQklWQZxA" TargetMode="External"/><Relationship Id="rId3" Type="http://schemas.openxmlformats.org/officeDocument/2006/relationships/hyperlink" Target="https://drive.google.com/drive/folders/13jE14wD-n_O-FT4U64A32asalHurBebC" TargetMode="External"/><Relationship Id="rId25" Type="http://schemas.openxmlformats.org/officeDocument/2006/relationships/hyperlink" Target="https://drive.google.com/drive/folders/1rOD7IazjQN8dHQSngBkBZHzQWGAiCAru" TargetMode="External"/><Relationship Id="rId46" Type="http://schemas.openxmlformats.org/officeDocument/2006/relationships/hyperlink" Target="https://drive.google.com/drive/folders/1e6fTKgZE2z2KuP_uE_XAr0tZE4ewrTwR" TargetMode="External"/><Relationship Id="rId67" Type="http://schemas.openxmlformats.org/officeDocument/2006/relationships/hyperlink" Target="https://drive.google.com/drive/folders/1dz5VNimpuBR5ZMKuesXlDsBM-ZqhlTtU" TargetMode="External"/><Relationship Id="rId116" Type="http://schemas.openxmlformats.org/officeDocument/2006/relationships/hyperlink" Target="https://drive.google.com/drive/folders/1pPRCRgYaD_iZi_2Ubxi5KRvctety7SPW" TargetMode="External"/><Relationship Id="rId137" Type="http://schemas.openxmlformats.org/officeDocument/2006/relationships/hyperlink" Target="https://drive.google.com/drive/u/1/folders/16ePXlDgVVsm5C2LAUGQ4xYyj5hHHL5aq" TargetMode="External"/><Relationship Id="rId20" Type="http://schemas.openxmlformats.org/officeDocument/2006/relationships/hyperlink" Target="https://drive.google.com/drive/folders/1yVj3tuOBxgeMJZKvD1EH3D1-M5_YxZAS" TargetMode="External"/><Relationship Id="rId41" Type="http://schemas.openxmlformats.org/officeDocument/2006/relationships/hyperlink" Target="https://drive.google.com/drive/folders/1KFF0KjZiJwMiQnH2i-PzUvt86Cfw27dq" TargetMode="External"/><Relationship Id="rId62" Type="http://schemas.openxmlformats.org/officeDocument/2006/relationships/hyperlink" Target="https://drive.google.com/drive/folders/1sxL4rDqRHFQHypzFYjKls54yu1mkr6cA" TargetMode="External"/><Relationship Id="rId83" Type="http://schemas.openxmlformats.org/officeDocument/2006/relationships/hyperlink" Target="https://drive.google.com/drive/folders/1PonsQd591IpTKgrdIEglpNRhdzyWAMBq" TargetMode="External"/><Relationship Id="rId88" Type="http://schemas.openxmlformats.org/officeDocument/2006/relationships/hyperlink" Target="https://drive.google.com/drive/folders/1FPJzLrKEziT9WUyvvCwPIewe0ZhWMikD" TargetMode="External"/><Relationship Id="rId111" Type="http://schemas.openxmlformats.org/officeDocument/2006/relationships/hyperlink" Target="https://drive.google.com/drive/folders/1fjLMZubEE1AHLhEsDOfpmBZOBZdwurnN" TargetMode="External"/><Relationship Id="rId132" Type="http://schemas.openxmlformats.org/officeDocument/2006/relationships/hyperlink" Target="https://drive.google.com/drive/folders/1-155wEr8qyjFfGEerliahLkIiShG5nMt" TargetMode="External"/><Relationship Id="rId153" Type="http://schemas.openxmlformats.org/officeDocument/2006/relationships/vmlDrawing" Target="../drawings/vmlDrawing1.vml"/><Relationship Id="rId15" Type="http://schemas.openxmlformats.org/officeDocument/2006/relationships/hyperlink" Target="https://drive.google.com/drive/folders/1N1w_f4rtEW5TyTpudP9698wHakaQHbV4" TargetMode="External"/><Relationship Id="rId36" Type="http://schemas.openxmlformats.org/officeDocument/2006/relationships/hyperlink" Target="https://drive.google.com/drive/u/1/folders/1MQa3K9Q_xxAw3q1TIGJOfDXOKKHVKWRz" TargetMode="External"/><Relationship Id="rId57" Type="http://schemas.openxmlformats.org/officeDocument/2006/relationships/hyperlink" Target="https://drive.google.com/drive/u/1/folders/13qK-PeoCL97BhXg9ij4t4q_lGTG9aAeB" TargetMode="External"/><Relationship Id="rId106" Type="http://schemas.openxmlformats.org/officeDocument/2006/relationships/hyperlink" Target="https://drive.google.com/drive/folders/1qZzzXSMQgxp0gPO0BzyK2pkxwBIZ23Ou" TargetMode="External"/><Relationship Id="rId127" Type="http://schemas.openxmlformats.org/officeDocument/2006/relationships/hyperlink" Target="https://drive.google.com/drive/folders/1Wt5L57Ilb8MvqlxnSG1JvOBBpaoflnYl" TargetMode="External"/><Relationship Id="rId10" Type="http://schemas.openxmlformats.org/officeDocument/2006/relationships/hyperlink" Target="https://drive.google.com/drive/folders/12ZT49ve1WM-ILboQ5CvxrjKCphvzbHDL" TargetMode="External"/><Relationship Id="rId31" Type="http://schemas.openxmlformats.org/officeDocument/2006/relationships/hyperlink" Target="https://drive.google.com/drive/folders/10SSxRQzFOMVETIy6kXqkv41I-2VQ5PwC" TargetMode="External"/><Relationship Id="rId52" Type="http://schemas.openxmlformats.org/officeDocument/2006/relationships/hyperlink" Target="https://drive.google.com/drive/folders/1BiIjuI_XvsBfrG8YlERaxil4N94IjmGy" TargetMode="External"/><Relationship Id="rId73" Type="http://schemas.openxmlformats.org/officeDocument/2006/relationships/hyperlink" Target="https://drive.google.com/drive/u/1/folders/1NIZe4sm-gw39xJ0XDglLOKBtNC7y1Kyx" TargetMode="External"/><Relationship Id="rId78" Type="http://schemas.openxmlformats.org/officeDocument/2006/relationships/hyperlink" Target="https://drive.google.com/drive/u/1/folders/1KJtGdknnMxvjLhFLvEbPwdsZwBIZcs_B" TargetMode="External"/><Relationship Id="rId94" Type="http://schemas.openxmlformats.org/officeDocument/2006/relationships/hyperlink" Target="https://drive.google.com/drive/folders/1RVTvXDY_Sxuowg3ThfYMye_zpLq4Qy_Z" TargetMode="External"/><Relationship Id="rId99" Type="http://schemas.openxmlformats.org/officeDocument/2006/relationships/hyperlink" Target="https://drive.google.com/drive/folders/1pV9BmGnPuMWhvyhy9cLUhuaiFWNwydk1" TargetMode="External"/><Relationship Id="rId101" Type="http://schemas.openxmlformats.org/officeDocument/2006/relationships/hyperlink" Target="https://drive.google.com/drive/folders/1IBKcVBLEe5YUoa7HuYUrvNA6BbQ3nHKw" TargetMode="External"/><Relationship Id="rId122" Type="http://schemas.openxmlformats.org/officeDocument/2006/relationships/hyperlink" Target="https://drive.google.com/drive/folders/1rRW0rxonguM14z_gx8tWVtKmKHsZ5RLg" TargetMode="External"/><Relationship Id="rId143" Type="http://schemas.openxmlformats.org/officeDocument/2006/relationships/hyperlink" Target="https://drive.google.com/drive/folders/1f1JjB_pNGl000iF5ppDwOfhba8RvatV0" TargetMode="External"/><Relationship Id="rId148" Type="http://schemas.openxmlformats.org/officeDocument/2006/relationships/hyperlink" Target="https://drive.google.com/drive/folders/1dMkajq_JY3I1fjW3orwcrjp7lAQ1Zp4_" TargetMode="External"/><Relationship Id="rId4" Type="http://schemas.openxmlformats.org/officeDocument/2006/relationships/hyperlink" Target="https://drive.google.com/drive/folders/1FMOsNpJqAVbEi-itpQhnQcZX0KMEF1zD" TargetMode="External"/><Relationship Id="rId9" Type="http://schemas.openxmlformats.org/officeDocument/2006/relationships/hyperlink" Target="https://drive.google.com/drive/folders/15PPhMk4g5Pu83yucG_E56Jeg9F4rKTS7" TargetMode="External"/><Relationship Id="rId26" Type="http://schemas.openxmlformats.org/officeDocument/2006/relationships/hyperlink" Target="https://drive.google.com/drive/folders/1WBJnS0PviU6h5on9G7jlpl3zQjY2Fpz_" TargetMode="External"/><Relationship Id="rId47" Type="http://schemas.openxmlformats.org/officeDocument/2006/relationships/hyperlink" Target="https://drive.google.com/drive/folders/1e6fTKgZE2z2KuP_uE_XAr0tZE4ewrTwR" TargetMode="External"/><Relationship Id="rId68" Type="http://schemas.openxmlformats.org/officeDocument/2006/relationships/hyperlink" Target="https://drive.google.com/drive/folders/1M1Z5zFz_2_tUGu_0-LYt5ncbTxDzx5Wv" TargetMode="External"/><Relationship Id="rId89" Type="http://schemas.openxmlformats.org/officeDocument/2006/relationships/hyperlink" Target="https://drive.google.com/drive/folders/1oxwJpRo_dg-hVUC9EGi-ETtUF2erNptq" TargetMode="External"/><Relationship Id="rId112" Type="http://schemas.openxmlformats.org/officeDocument/2006/relationships/hyperlink" Target="https://drive.google.com/drive/folders/1Dy_gtBk2JpsiVbySJK36OtrH07yWg5fn" TargetMode="External"/><Relationship Id="rId133" Type="http://schemas.openxmlformats.org/officeDocument/2006/relationships/hyperlink" Target="https://drive.google.com/drive/folders/1R52SAMcBATgQXHqA7cLGfjAVbDJb6Hxl" TargetMode="External"/><Relationship Id="rId154" Type="http://schemas.openxmlformats.org/officeDocument/2006/relationships/table" Target="../tables/table1.xml"/><Relationship Id="rId16" Type="http://schemas.openxmlformats.org/officeDocument/2006/relationships/hyperlink" Target="https://drive.google.com/drive/u/1/folders/1J_0bHrFdlezKd6AhC7wRBk-pbjm_bOh_" TargetMode="External"/><Relationship Id="rId37" Type="http://schemas.openxmlformats.org/officeDocument/2006/relationships/hyperlink" Target="https://drive.google.com/drive/u/1/folders/1MQa3K9Q_xxAw3q1TIGJOfDXOKKHVKWRz" TargetMode="External"/><Relationship Id="rId58" Type="http://schemas.openxmlformats.org/officeDocument/2006/relationships/hyperlink" Target="https://drive.google.com/drive/u/1/folders/13qK-PeoCL97BhXg9ij4t4q_lGTG9aAeB" TargetMode="External"/><Relationship Id="rId79" Type="http://schemas.openxmlformats.org/officeDocument/2006/relationships/hyperlink" Target="https://drive.google.com/drive/u/1/folders/1AON-j5pvDfymIxC23wr0sWaw8cee3ixm" TargetMode="External"/><Relationship Id="rId102" Type="http://schemas.openxmlformats.org/officeDocument/2006/relationships/hyperlink" Target="https://drive.google.com/drive/folders/1I5rfLtLOeNwthr1xoPrshZmhFXnSV53-" TargetMode="External"/><Relationship Id="rId123" Type="http://schemas.openxmlformats.org/officeDocument/2006/relationships/hyperlink" Target="https://drive.google.com/drive/folders/1bbM2pjwHmjRy6sNDsTaHceLvYXd3hHib" TargetMode="External"/><Relationship Id="rId144" Type="http://schemas.openxmlformats.org/officeDocument/2006/relationships/hyperlink" Target="https://drive.google.com/drive/folders/1BSpuCijzzh-QeX9CbWo-YDioRJ_zIZwX" TargetMode="External"/><Relationship Id="rId90" Type="http://schemas.openxmlformats.org/officeDocument/2006/relationships/hyperlink" Target="https://drive.google.com/drive/folders/17cZnDZdj0ORhuhR7DOO9Xr7FeVnhGrn6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D46E5-42E8-448D-869E-85294E93FEC1}">
  <dimension ref="A1:AX186"/>
  <sheetViews>
    <sheetView rightToLeft="1" tabSelected="1" topLeftCell="A163" workbookViewId="0">
      <selection activeCell="J168" sqref="J168"/>
    </sheetView>
  </sheetViews>
  <sheetFormatPr defaultRowHeight="15" x14ac:dyDescent="0.25"/>
  <cols>
    <col min="1" max="1" width="10.5703125" bestFit="1" customWidth="1"/>
    <col min="2" max="2" width="16" bestFit="1" customWidth="1"/>
    <col min="3" max="3" width="40.5703125" bestFit="1" customWidth="1"/>
    <col min="4" max="4" width="11.28515625" bestFit="1" customWidth="1"/>
    <col min="5" max="5" width="31.28515625" bestFit="1" customWidth="1"/>
    <col min="6" max="6" width="22.85546875" bestFit="1" customWidth="1"/>
    <col min="7" max="7" width="21.7109375" bestFit="1" customWidth="1"/>
    <col min="8" max="8" width="21" bestFit="1" customWidth="1"/>
    <col min="9" max="9" width="14.5703125" bestFit="1" customWidth="1"/>
    <col min="10" max="10" width="23.7109375" bestFit="1" customWidth="1"/>
    <col min="11" max="11" width="35.7109375" bestFit="1" customWidth="1"/>
    <col min="12" max="12" width="18.5703125" bestFit="1" customWidth="1"/>
    <col min="13" max="13" width="15.42578125" bestFit="1" customWidth="1"/>
    <col min="14" max="14" width="21.28515625" bestFit="1" customWidth="1"/>
    <col min="15" max="15" width="19.28515625" bestFit="1" customWidth="1"/>
    <col min="16" max="16" width="20" bestFit="1" customWidth="1"/>
    <col min="17" max="17" width="29" bestFit="1" customWidth="1"/>
    <col min="18" max="18" width="24" bestFit="1" customWidth="1"/>
    <col min="19" max="19" width="10.5703125" bestFit="1" customWidth="1"/>
    <col min="20" max="20" width="23.28515625" bestFit="1" customWidth="1"/>
    <col min="21" max="22" width="28.28515625" bestFit="1" customWidth="1"/>
    <col min="23" max="23" width="22.7109375" bestFit="1" customWidth="1"/>
    <col min="24" max="25" width="19" bestFit="1" customWidth="1"/>
    <col min="26" max="26" width="32.42578125" bestFit="1" customWidth="1"/>
    <col min="27" max="27" width="14.42578125" bestFit="1" customWidth="1"/>
    <col min="28" max="28" width="19.7109375" bestFit="1" customWidth="1"/>
    <col min="29" max="29" width="21" bestFit="1" customWidth="1"/>
    <col min="30" max="30" width="16" bestFit="1" customWidth="1"/>
    <col min="31" max="31" width="38.7109375" bestFit="1" customWidth="1"/>
    <col min="32" max="32" width="47.28515625" bestFit="1" customWidth="1"/>
    <col min="33" max="33" width="42.7109375" bestFit="1" customWidth="1"/>
    <col min="34" max="34" width="35.5703125" bestFit="1" customWidth="1"/>
    <col min="35" max="35" width="37.42578125" bestFit="1" customWidth="1"/>
    <col min="36" max="36" width="32.42578125" bestFit="1" customWidth="1"/>
    <col min="37" max="37" width="35.42578125" bestFit="1" customWidth="1"/>
    <col min="38" max="38" width="37.28515625" bestFit="1" customWidth="1"/>
    <col min="39" max="39" width="32.28515625" bestFit="1" customWidth="1"/>
    <col min="40" max="40" width="29" bestFit="1" customWidth="1"/>
    <col min="41" max="41" width="30.28515625" bestFit="1" customWidth="1"/>
    <col min="42" max="42" width="25.28515625" bestFit="1" customWidth="1"/>
    <col min="43" max="43" width="45.28515625" bestFit="1" customWidth="1"/>
    <col min="44" max="44" width="46.5703125" bestFit="1" customWidth="1"/>
    <col min="45" max="45" width="42" bestFit="1" customWidth="1"/>
    <col min="46" max="46" width="12.85546875" bestFit="1" customWidth="1"/>
    <col min="47" max="47" width="69.85546875" bestFit="1" customWidth="1"/>
    <col min="48" max="48" width="142" bestFit="1" customWidth="1"/>
    <col min="49" max="49" width="8.140625" bestFit="1" customWidth="1"/>
    <col min="50" max="50" width="33.5703125" bestFit="1" customWidth="1"/>
  </cols>
  <sheetData>
    <row r="1" spans="1:50" x14ac:dyDescent="0.25">
      <c r="A1" s="1" t="s">
        <v>53</v>
      </c>
      <c r="B1" s="1" t="s">
        <v>0</v>
      </c>
      <c r="C1" s="1" t="s">
        <v>1</v>
      </c>
      <c r="D1" s="1" t="s">
        <v>390</v>
      </c>
      <c r="E1" s="1" t="s">
        <v>30</v>
      </c>
      <c r="F1" s="5" t="s">
        <v>368</v>
      </c>
      <c r="G1" s="1" t="s">
        <v>31</v>
      </c>
      <c r="H1" s="5" t="s">
        <v>32</v>
      </c>
      <c r="I1" s="5" t="s">
        <v>33</v>
      </c>
      <c r="J1" s="5" t="s">
        <v>34</v>
      </c>
      <c r="K1" s="5" t="s">
        <v>36</v>
      </c>
      <c r="L1" s="5" t="s">
        <v>35</v>
      </c>
      <c r="M1" s="5" t="s">
        <v>37</v>
      </c>
      <c r="N1" s="5" t="s">
        <v>2</v>
      </c>
      <c r="O1" s="5" t="s">
        <v>38</v>
      </c>
      <c r="P1" s="5" t="s">
        <v>39</v>
      </c>
      <c r="Q1" s="5" t="s">
        <v>40</v>
      </c>
      <c r="R1" s="5" t="s">
        <v>41</v>
      </c>
      <c r="S1" s="5" t="s">
        <v>42</v>
      </c>
      <c r="T1" s="5" t="s">
        <v>394</v>
      </c>
      <c r="U1" s="5" t="s">
        <v>424</v>
      </c>
      <c r="V1" s="5" t="s">
        <v>425</v>
      </c>
      <c r="W1" s="5" t="s">
        <v>59</v>
      </c>
      <c r="X1" s="5" t="s">
        <v>60</v>
      </c>
      <c r="Y1" s="5" t="s">
        <v>43</v>
      </c>
      <c r="Z1" s="5" t="s">
        <v>45</v>
      </c>
      <c r="AA1" s="5" t="s">
        <v>44</v>
      </c>
      <c r="AB1" s="5" t="s">
        <v>46</v>
      </c>
      <c r="AC1" s="5" t="s">
        <v>47</v>
      </c>
      <c r="AD1" s="5" t="s">
        <v>48</v>
      </c>
      <c r="AE1" s="5" t="s">
        <v>49</v>
      </c>
      <c r="AF1" s="5" t="s">
        <v>50</v>
      </c>
      <c r="AG1" s="5" t="s">
        <v>51</v>
      </c>
      <c r="AH1" s="5" t="s">
        <v>395</v>
      </c>
      <c r="AI1" s="5" t="s">
        <v>396</v>
      </c>
      <c r="AJ1" s="5" t="s">
        <v>397</v>
      </c>
      <c r="AK1" s="5" t="s">
        <v>398</v>
      </c>
      <c r="AL1" s="5" t="s">
        <v>399</v>
      </c>
      <c r="AM1" s="5" t="s">
        <v>400</v>
      </c>
      <c r="AN1" s="5" t="s">
        <v>52</v>
      </c>
      <c r="AO1" s="5" t="s">
        <v>63</v>
      </c>
      <c r="AP1" s="5" t="s">
        <v>64</v>
      </c>
      <c r="AQ1" s="5" t="s">
        <v>65</v>
      </c>
      <c r="AR1" s="5" t="s">
        <v>66</v>
      </c>
      <c r="AS1" s="5" t="s">
        <v>67</v>
      </c>
      <c r="AT1" s="5" t="s">
        <v>3</v>
      </c>
      <c r="AU1" s="5" t="s">
        <v>332</v>
      </c>
      <c r="AV1" s="5" t="s">
        <v>61</v>
      </c>
      <c r="AW1" s="5" t="s">
        <v>843</v>
      </c>
      <c r="AX1" s="5" t="s">
        <v>844</v>
      </c>
    </row>
    <row r="2" spans="1:50" x14ac:dyDescent="0.25">
      <c r="A2" s="17" t="str" cm="1">
        <f t="array" aca="1" ref="A2" ca="1">INDEX('SAP Customer Data '!$A:$AC,MATCH(بيانات_العملاء4[[#This Row],[رمز شريك الأعمال]],'SAP Customer Data '!$B:$B,0),CELL("col",Table_Customer_Data[[#Headers],[GroupName]]))</f>
        <v>CS09</v>
      </c>
      <c r="B2" s="8" t="s">
        <v>100</v>
      </c>
      <c r="C2" s="18" t="str" cm="1">
        <f t="array" aca="1" ref="C2" ca="1">INDEX('SAP Customer Data '!$A:$AC,MATCH(بيانات_العملاء4[[#This Row],[رمز شريك الأعمال]],'SAP Customer Data '!$B:$B,0),CELL("col",Table_Customer_Data[[#Headers],[CardName]]))</f>
        <v>مؤسسة التوريد الفوري للتجارة -المرسلات</v>
      </c>
      <c r="D2" s="26" t="s">
        <v>910</v>
      </c>
      <c r="E2" s="6" t="s">
        <v>367</v>
      </c>
      <c r="F2" s="26" t="s">
        <v>385</v>
      </c>
      <c r="G2" s="26" t="s">
        <v>54</v>
      </c>
      <c r="H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" s="26" t="s">
        <v>54</v>
      </c>
      <c r="J2" s="9">
        <v>44796</v>
      </c>
      <c r="K2" s="27" t="s">
        <v>55</v>
      </c>
      <c r="L2" s="19" t="str">
        <f ca="1">IF(AND(بيانات_العملاء4[[#This Row],[السجل التجارى]]="موجود",TODAY()+'Other Data'!$B$23&lt;J2,بيانات_العملاء4[[#This Row],[مطابقة اسم العميل بالاسم بالسجل التجارى]]="مطابق"), "سارى", "يجب اعادة طلبه")</f>
        <v>يجب اعادة طلبه</v>
      </c>
      <c r="M2" s="28" t="s">
        <v>54</v>
      </c>
      <c r="N2" s="13" t="str" cm="1">
        <f t="array" aca="1" ref="N2" ca="1">INDEX('SAP Customer Data '!A:Z,MATCH(بيانات_العملاء4[[#This Row],[رمز شريك الأعمال]],'SAP Customer Data '!B:B,0),CELL("col",Table_Customer_Data[[#Headers],[LicTradNum]]))</f>
        <v>300024635700003</v>
      </c>
      <c r="O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" s="26" t="s">
        <v>56</v>
      </c>
      <c r="Q2" s="9"/>
      <c r="R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" s="26" t="s">
        <v>369</v>
      </c>
      <c r="T2" s="10" cm="1">
        <f t="array" aca="1" ref="T2" ca="1">INDEX('SAP Customer Data '!$A:$AC,MATCH(بيانات_العملاء4[[#This Row],[رمز شريك الأعمال]],'SAP Customer Data '!$B:$B,0),CELL("col",Table_Customer_Data[[#Headers],[CreditLine]]))</f>
        <v>100000</v>
      </c>
      <c r="U2" s="11"/>
      <c r="V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2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2" s="18" cm="1">
        <f t="array" aca="1" ref="X2" ca="1">INDEX('SAP Customer Data '!$A:$AC,MATCH(بيانات_العملاء4[[#This Row],[رمز شريك الأعمال]],'SAP Customer Data '!$B:$B,0),CELL("col",Table_Customer_Data[[#Headers],[CreditLine]]))</f>
        <v>100000</v>
      </c>
      <c r="Y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" s="26"/>
      <c r="AA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2" s="26" t="s">
        <v>54</v>
      </c>
      <c r="AC2" s="16">
        <v>46912</v>
      </c>
      <c r="AD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2" s="26" t="s">
        <v>56</v>
      </c>
      <c r="AF2" s="16"/>
      <c r="AG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" s="26" t="s">
        <v>56</v>
      </c>
      <c r="AI2" s="6"/>
      <c r="AJ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" s="26"/>
      <c r="AL2" s="9"/>
      <c r="AM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" s="26" t="s">
        <v>54</v>
      </c>
      <c r="AO2" s="11">
        <v>44718</v>
      </c>
      <c r="AP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" s="26" t="s">
        <v>56</v>
      </c>
      <c r="AR2" s="6"/>
      <c r="AS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" s="22" cm="1">
        <f t="array" aca="1" ref="AT2" ca="1">INDEX('SAP Customer Data '!A:Z,MATCH(بيانات_العملاء4[[#This Row],[رمز شريك الأعمال]],'SAP Customer Data '!B:B,0),CELL("col",Table_Customer_Data[[#Headers],[CreateDate]]))</f>
        <v>44612</v>
      </c>
      <c r="AU2" s="30"/>
      <c r="AV2" s="11"/>
      <c r="AW2" s="6" t="s">
        <v>845</v>
      </c>
      <c r="AX2" s="6">
        <v>100000</v>
      </c>
    </row>
    <row r="3" spans="1:50" x14ac:dyDescent="0.25">
      <c r="A3" s="17" t="str" cm="1">
        <f t="array" aca="1" ref="A3" ca="1">INDEX('SAP Customer Data '!$A:$AC,MATCH(بيانات_العملاء4[[#This Row],[رمز شريك الأعمال]],'SAP Customer Data '!$B:$B,0),CELL("col",Table_Customer_Data[[#Headers],[GroupName]]))</f>
        <v>CS09</v>
      </c>
      <c r="B3" s="8" t="s">
        <v>104</v>
      </c>
      <c r="C3" s="18" t="str" cm="1">
        <f t="array" aca="1" ref="C3" ca="1">INDEX('SAP Customer Data '!$A:$AC,MATCH(بيانات_العملاء4[[#This Row],[رمز شريك الأعمال]],'SAP Customer Data '!$B:$B,0),CELL("col",Table_Customer_Data[[#Headers],[CardName]]))</f>
        <v>مؤسسة التوريد الفوري للتجارة -العارض</v>
      </c>
      <c r="D3" s="26" t="s">
        <v>910</v>
      </c>
      <c r="E3" s="6" t="s">
        <v>367</v>
      </c>
      <c r="F3" s="26" t="s">
        <v>385</v>
      </c>
      <c r="G3" s="26" t="s">
        <v>54</v>
      </c>
      <c r="H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" s="26" t="s">
        <v>54</v>
      </c>
      <c r="J3" s="9"/>
      <c r="K3" s="27"/>
      <c r="L3" s="19" t="str">
        <f ca="1">IF(AND(بيانات_العملاء4[[#This Row],[السجل التجارى]]="موجود",TODAY()+'Other Data'!$B$23&lt;J3,بيانات_العملاء4[[#This Row],[مطابقة اسم العميل بالاسم بالسجل التجارى]]="مطابق"), "سارى", "يجب اعادة طلبه")</f>
        <v>يجب اعادة طلبه</v>
      </c>
      <c r="M3" s="28" t="s">
        <v>54</v>
      </c>
      <c r="N3" s="13" t="str" cm="1">
        <f t="array" aca="1" ref="N3" ca="1">INDEX('SAP Customer Data '!A:Z,MATCH(بيانات_العملاء4[[#This Row],[رمز شريك الأعمال]],'SAP Customer Data '!B:B,0),CELL("col",Table_Customer_Data[[#Headers],[LicTradNum]]))</f>
        <v>300024635700003</v>
      </c>
      <c r="O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" s="26" t="s">
        <v>56</v>
      </c>
      <c r="Q3" s="9"/>
      <c r="R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" s="26" t="s">
        <v>369</v>
      </c>
      <c r="T3" s="10" cm="1">
        <f t="array" aca="1" ref="T3" ca="1">INDEX('SAP Customer Data '!$A:$AC,MATCH(بيانات_العملاء4[[#This Row],[رمز شريك الأعمال]],'SAP Customer Data '!$B:$B,0),CELL("col",Table_Customer_Data[[#Headers],[CreditLine]]))</f>
        <v>35000</v>
      </c>
      <c r="U3" s="11"/>
      <c r="V3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3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3" s="18" cm="1">
        <f t="array" aca="1" ref="X3" ca="1">INDEX('SAP Customer Data '!$A:$AC,MATCH(بيانات_العملاء4[[#This Row],[رمز شريك الأعمال]],'SAP Customer Data '!$B:$B,0),CELL("col",Table_Customer_Data[[#Headers],[CreditLine]]))</f>
        <v>35000</v>
      </c>
      <c r="Y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" s="26"/>
      <c r="AA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3" s="26" t="s">
        <v>54</v>
      </c>
      <c r="AC3" s="16">
        <v>46912</v>
      </c>
      <c r="AD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3" s="26" t="s">
        <v>56</v>
      </c>
      <c r="AF3" s="16"/>
      <c r="AG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" s="26" t="s">
        <v>56</v>
      </c>
      <c r="AI3" s="6"/>
      <c r="AJ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" s="26"/>
      <c r="AL3" s="9"/>
      <c r="AM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" s="26" t="s">
        <v>54</v>
      </c>
      <c r="AO3" s="11"/>
      <c r="AP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" s="26" t="s">
        <v>56</v>
      </c>
      <c r="AR3" s="6"/>
      <c r="AS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" s="22" cm="1">
        <f t="array" aca="1" ref="AT3" ca="1">INDEX('SAP Customer Data '!A:Z,MATCH(بيانات_العملاء4[[#This Row],[رمز شريك الأعمال]],'SAP Customer Data '!B:B,0),CELL("col",Table_Customer_Data[[#Headers],[CreateDate]]))</f>
        <v>44613</v>
      </c>
      <c r="AU3" s="30"/>
      <c r="AV3" s="11"/>
      <c r="AW3" s="6" t="s">
        <v>845</v>
      </c>
      <c r="AX3" s="6">
        <v>140000</v>
      </c>
    </row>
    <row r="4" spans="1:50" x14ac:dyDescent="0.25">
      <c r="A4" s="17" t="str" cm="1">
        <f t="array" aca="1" ref="A4" ca="1">INDEX('SAP Customer Data '!$A:$AC,MATCH(بيانات_العملاء4[[#This Row],[رمز شريك الأعمال]],'SAP Customer Data '!$B:$B,0),CELL("col",Table_Customer_Data[[#Headers],[GroupName]]))</f>
        <v>CS09</v>
      </c>
      <c r="B4" s="8" t="s">
        <v>116</v>
      </c>
      <c r="C4" s="18" t="str" cm="1">
        <f t="array" aca="1" ref="C4" ca="1">INDEX('SAP Customer Data '!$A:$AC,MATCH(بيانات_العملاء4[[#This Row],[رمز شريك الأعمال]],'SAP Customer Data '!$B:$B,0),CELL("col",Table_Customer_Data[[#Headers],[CardName]]))</f>
        <v>مؤسسة التوريد الفوري للتجارة / ظهرة لبن</v>
      </c>
      <c r="D4" s="26" t="s">
        <v>910</v>
      </c>
      <c r="E4" s="6" t="s">
        <v>367</v>
      </c>
      <c r="F4" s="26" t="s">
        <v>385</v>
      </c>
      <c r="G4" s="26" t="s">
        <v>54</v>
      </c>
      <c r="H4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" s="26" t="s">
        <v>54</v>
      </c>
      <c r="J4" s="9"/>
      <c r="K4" s="27"/>
      <c r="L4" s="19" t="str">
        <f ca="1">IF(AND(بيانات_العملاء4[[#This Row],[السجل التجارى]]="موجود",TODAY()+'Other Data'!$B$23&lt;J4,بيانات_العملاء4[[#This Row],[مطابقة اسم العميل بالاسم بالسجل التجارى]]="مطابق"), "سارى", "يجب اعادة طلبه")</f>
        <v>يجب اعادة طلبه</v>
      </c>
      <c r="M4" s="28" t="s">
        <v>54</v>
      </c>
      <c r="N4" s="13" t="str" cm="1">
        <f t="array" aca="1" ref="N4" ca="1">INDEX('SAP Customer Data '!A:Z,MATCH(بيانات_العملاء4[[#This Row],[رمز شريك الأعمال]],'SAP Customer Data '!B:B,0),CELL("col",Table_Customer_Data[[#Headers],[LicTradNum]]))</f>
        <v>300024635700003</v>
      </c>
      <c r="O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" s="26" t="s">
        <v>56</v>
      </c>
      <c r="Q4" s="9"/>
      <c r="R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4" s="26" t="s">
        <v>369</v>
      </c>
      <c r="T4" s="10" cm="1">
        <f t="array" aca="1" ref="T4" ca="1">INDEX('SAP Customer Data '!$A:$AC,MATCH(بيانات_العملاء4[[#This Row],[رمز شريك الأعمال]],'SAP Customer Data '!$B:$B,0),CELL("col",Table_Customer_Data[[#Headers],[CreditLine]]))</f>
        <v>35000</v>
      </c>
      <c r="U4" s="11"/>
      <c r="V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4" s="18" cm="1">
        <f t="array" aca="1" ref="X4" ca="1">INDEX('SAP Customer Data '!$A:$AC,MATCH(بيانات_العملاء4[[#This Row],[رمز شريك الأعمال]],'SAP Customer Data '!$B:$B,0),CELL("col",Table_Customer_Data[[#Headers],[CreditLine]]))</f>
        <v>35000</v>
      </c>
      <c r="Y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" s="26"/>
      <c r="AA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4" s="26" t="s">
        <v>54</v>
      </c>
      <c r="AC4" s="16">
        <v>46912</v>
      </c>
      <c r="AD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4" s="26" t="s">
        <v>56</v>
      </c>
      <c r="AF4" s="16"/>
      <c r="AG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" s="26" t="s">
        <v>56</v>
      </c>
      <c r="AI4" s="6"/>
      <c r="AJ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" s="26"/>
      <c r="AL4" s="9"/>
      <c r="AM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" s="26" t="s">
        <v>54</v>
      </c>
      <c r="AO4" s="11"/>
      <c r="AP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" s="26" t="s">
        <v>56</v>
      </c>
      <c r="AR4" s="6"/>
      <c r="AS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" s="22" cm="1">
        <f t="array" aca="1" ref="AT4" ca="1">INDEX('SAP Customer Data '!A:Z,MATCH(بيانات_العملاء4[[#This Row],[رمز شريك الأعمال]],'SAP Customer Data '!B:B,0),CELL("col",Table_Customer_Data[[#Headers],[CreateDate]]))</f>
        <v>44625</v>
      </c>
      <c r="AU4" s="30"/>
      <c r="AV4" s="11"/>
      <c r="AW4" s="6" t="s">
        <v>845</v>
      </c>
      <c r="AX4" s="6">
        <v>140000</v>
      </c>
    </row>
    <row r="5" spans="1:50" x14ac:dyDescent="0.25">
      <c r="A5" s="17" t="str" cm="1">
        <f t="array" aca="1" ref="A5" ca="1">INDEX('SAP Customer Data '!$A:$AC,MATCH(بيانات_العملاء4[[#This Row],[رمز شريك الأعمال]],'SAP Customer Data '!$B:$B,0),CELL("col",Table_Customer_Data[[#Headers],[GroupName]]))</f>
        <v>CS09</v>
      </c>
      <c r="B5" s="8" t="s">
        <v>137</v>
      </c>
      <c r="C5" s="18" t="str" cm="1">
        <f t="array" aca="1" ref="C5" ca="1">INDEX('SAP Customer Data '!$A:$AC,MATCH(بيانات_العملاء4[[#This Row],[رمز شريك الأعمال]],'SAP Customer Data '!$B:$B,0),CELL("col",Table_Customer_Data[[#Headers],[CardName]]))</f>
        <v>مؤسسة التوريد الفوري للتجارة / النرجس</v>
      </c>
      <c r="D5" s="26" t="s">
        <v>910</v>
      </c>
      <c r="E5" s="6" t="s">
        <v>367</v>
      </c>
      <c r="F5" s="26" t="s">
        <v>385</v>
      </c>
      <c r="G5" s="26" t="s">
        <v>54</v>
      </c>
      <c r="H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" s="26" t="s">
        <v>54</v>
      </c>
      <c r="J5" s="9"/>
      <c r="K5" s="27"/>
      <c r="L5" s="19" t="str">
        <f ca="1">IF(AND(بيانات_العملاء4[[#This Row],[السجل التجارى]]="موجود",TODAY()+'Other Data'!$B$23&lt;J5,بيانات_العملاء4[[#This Row],[مطابقة اسم العميل بالاسم بالسجل التجارى]]="مطابق"), "سارى", "يجب اعادة طلبه")</f>
        <v>يجب اعادة طلبه</v>
      </c>
      <c r="M5" s="28" t="s">
        <v>54</v>
      </c>
      <c r="N5" s="13" t="str" cm="1">
        <f t="array" aca="1" ref="N5" ca="1">INDEX('SAP Customer Data '!A:Z,MATCH(بيانات_العملاء4[[#This Row],[رمز شريك الأعمال]],'SAP Customer Data '!B:B,0),CELL("col",Table_Customer_Data[[#Headers],[LicTradNum]]))</f>
        <v>300024635700003</v>
      </c>
      <c r="O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" s="26" t="s">
        <v>56</v>
      </c>
      <c r="Q5" s="9"/>
      <c r="R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5" s="26" t="s">
        <v>369</v>
      </c>
      <c r="T5" s="10" cm="1">
        <f t="array" aca="1" ref="T5" ca="1">INDEX('SAP Customer Data '!$A:$AC,MATCH(بيانات_العملاء4[[#This Row],[رمز شريك الأعمال]],'SAP Customer Data '!$B:$B,0),CELL("col",Table_Customer_Data[[#Headers],[CreditLine]]))</f>
        <v>35000</v>
      </c>
      <c r="U5" s="11"/>
      <c r="V5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5" s="18" cm="1">
        <f t="array" aca="1" ref="X5" ca="1">INDEX('SAP Customer Data '!$A:$AC,MATCH(بيانات_العملاء4[[#This Row],[رمز شريك الأعمال]],'SAP Customer Data '!$B:$B,0),CELL("col",Table_Customer_Data[[#Headers],[CreditLine]]))</f>
        <v>35000</v>
      </c>
      <c r="Y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" s="26"/>
      <c r="AA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5" s="26" t="s">
        <v>54</v>
      </c>
      <c r="AC5" s="16">
        <v>46912</v>
      </c>
      <c r="AD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5" s="26" t="s">
        <v>56</v>
      </c>
      <c r="AF5" s="16"/>
      <c r="AG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" s="26" t="s">
        <v>56</v>
      </c>
      <c r="AI5" s="6"/>
      <c r="AJ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" s="26"/>
      <c r="AL5" s="9"/>
      <c r="AM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" s="26" t="s">
        <v>54</v>
      </c>
      <c r="AO5" s="11"/>
      <c r="AP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" s="26" t="s">
        <v>56</v>
      </c>
      <c r="AR5" s="6"/>
      <c r="AS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" s="22" cm="1">
        <f t="array" aca="1" ref="AT5" ca="1">INDEX('SAP Customer Data '!A:Z,MATCH(بيانات_العملاء4[[#This Row],[رمز شريك الأعمال]],'SAP Customer Data '!B:B,0),CELL("col",Table_Customer_Data[[#Headers],[CreateDate]]))</f>
        <v>44650</v>
      </c>
      <c r="AU5" s="30"/>
      <c r="AV5" s="11"/>
      <c r="AW5" s="6" t="s">
        <v>845</v>
      </c>
      <c r="AX5" s="6">
        <v>140000</v>
      </c>
    </row>
    <row r="6" spans="1:50" x14ac:dyDescent="0.25">
      <c r="A6" s="17" t="str" cm="1">
        <f t="array" aca="1" ref="A6" ca="1">INDEX('SAP Customer Data '!$A:$AC,MATCH(بيانات_العملاء4[[#This Row],[رمز شريك الأعمال]],'SAP Customer Data '!$B:$B,0),CELL("col",Table_Customer_Data[[#Headers],[GroupName]]))</f>
        <v>CS09</v>
      </c>
      <c r="B6" s="8" t="s">
        <v>139</v>
      </c>
      <c r="C6" s="18" t="str" cm="1">
        <f t="array" aca="1" ref="C6" ca="1">INDEX('SAP Customer Data '!$A:$AC,MATCH(بيانات_العملاء4[[#This Row],[رمز شريك الأعمال]],'SAP Customer Data '!$B:$B,0),CELL("col",Table_Customer_Data[[#Headers],[CardName]]))</f>
        <v>مؤسسة التوريد الفوري للتجارة / الصحافة</v>
      </c>
      <c r="D6" s="26" t="s">
        <v>910</v>
      </c>
      <c r="E6" s="6" t="s">
        <v>367</v>
      </c>
      <c r="F6" s="26" t="s">
        <v>385</v>
      </c>
      <c r="G6" s="26" t="s">
        <v>54</v>
      </c>
      <c r="H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" s="26" t="s">
        <v>54</v>
      </c>
      <c r="J6" s="9"/>
      <c r="K6" s="27"/>
      <c r="L6" s="19" t="str">
        <f ca="1">IF(AND(بيانات_العملاء4[[#This Row],[السجل التجارى]]="موجود",TODAY()+'Other Data'!$B$23&lt;J6,بيانات_العملاء4[[#This Row],[مطابقة اسم العميل بالاسم بالسجل التجارى]]="مطابق"), "سارى", "يجب اعادة طلبه")</f>
        <v>يجب اعادة طلبه</v>
      </c>
      <c r="M6" s="28" t="s">
        <v>54</v>
      </c>
      <c r="N6" s="13" t="str" cm="1">
        <f t="array" aca="1" ref="N6" ca="1">INDEX('SAP Customer Data '!A:Z,MATCH(بيانات_العملاء4[[#This Row],[رمز شريك الأعمال]],'SAP Customer Data '!B:B,0),CELL("col",Table_Customer_Data[[#Headers],[LicTradNum]]))</f>
        <v>300024635700003</v>
      </c>
      <c r="O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" s="26" t="s">
        <v>56</v>
      </c>
      <c r="Q6" s="9"/>
      <c r="R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" s="26" t="s">
        <v>369</v>
      </c>
      <c r="T6" s="10" cm="1">
        <f t="array" aca="1" ref="T6" ca="1">INDEX('SAP Customer Data '!$A:$AC,MATCH(بيانات_العملاء4[[#This Row],[رمز شريك الأعمال]],'SAP Customer Data '!$B:$B,0),CELL("col",Table_Customer_Data[[#Headers],[CreditLine]]))</f>
        <v>35000</v>
      </c>
      <c r="U6" s="11"/>
      <c r="V6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6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6" s="18" cm="1">
        <f t="array" aca="1" ref="X6" ca="1">INDEX('SAP Customer Data '!$A:$AC,MATCH(بيانات_العملاء4[[#This Row],[رمز شريك الأعمال]],'SAP Customer Data '!$B:$B,0),CELL("col",Table_Customer_Data[[#Headers],[CreditLine]]))</f>
        <v>35000</v>
      </c>
      <c r="Y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" s="26"/>
      <c r="AA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6" s="26" t="s">
        <v>54</v>
      </c>
      <c r="AC6" s="16">
        <v>46912</v>
      </c>
      <c r="AD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" s="26" t="s">
        <v>56</v>
      </c>
      <c r="AF6" s="16"/>
      <c r="AG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" s="26" t="s">
        <v>56</v>
      </c>
      <c r="AI6" s="6"/>
      <c r="AJ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" s="26"/>
      <c r="AL6" s="9"/>
      <c r="AM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" s="26" t="s">
        <v>54</v>
      </c>
      <c r="AO6" s="11"/>
      <c r="AP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" s="26" t="s">
        <v>56</v>
      </c>
      <c r="AR6" s="6"/>
      <c r="AS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" s="22" cm="1">
        <f t="array" aca="1" ref="AT6" ca="1">INDEX('SAP Customer Data '!A:Z,MATCH(بيانات_العملاء4[[#This Row],[رمز شريك الأعمال]],'SAP Customer Data '!B:B,0),CELL("col",Table_Customer_Data[[#Headers],[CreateDate]]))</f>
        <v>44651</v>
      </c>
      <c r="AU6" s="30"/>
      <c r="AV6" s="11"/>
      <c r="AW6" s="6" t="s">
        <v>845</v>
      </c>
      <c r="AX6" s="6">
        <v>140000</v>
      </c>
    </row>
    <row r="7" spans="1:50" x14ac:dyDescent="0.25">
      <c r="A7" s="17" t="str" cm="1">
        <f t="array" aca="1" ref="A7" ca="1">INDEX('SAP Customer Data '!$A:$AC,MATCH(بيانات_العملاء4[[#This Row],[رمز شريك الأعمال]],'SAP Customer Data '!$B:$B,0),CELL("col",Table_Customer_Data[[#Headers],[GroupName]]))</f>
        <v>CS02</v>
      </c>
      <c r="B7" s="8" t="s">
        <v>262</v>
      </c>
      <c r="C7" s="18" t="str" cm="1">
        <f t="array" aca="1" ref="C7" ca="1">INDEX('SAP Customer Data '!$A:$AC,MATCH(بيانات_العملاء4[[#This Row],[رمز شريك الأعمال]],'SAP Customer Data '!$B:$B,0),CELL("col",Table_Customer_Data[[#Headers],[CardName]]))</f>
        <v>مؤسسة التوريد الفوري للتجارة / فرع جيزان</v>
      </c>
      <c r="D7" s="26" t="s">
        <v>910</v>
      </c>
      <c r="E7" s="6" t="s">
        <v>379</v>
      </c>
      <c r="F7" s="26" t="s">
        <v>385</v>
      </c>
      <c r="G7" s="26" t="s">
        <v>54</v>
      </c>
      <c r="H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" s="26" t="s">
        <v>56</v>
      </c>
      <c r="J7" s="9"/>
      <c r="K7" s="27" t="s">
        <v>55</v>
      </c>
      <c r="L7" s="19" t="str">
        <f ca="1">IF(AND(بيانات_العملاء4[[#This Row],[السجل التجارى]]="موجود",TODAY()+'Other Data'!$B$23&lt;J7,بيانات_العملاء4[[#This Row],[مطابقة اسم العميل بالاسم بالسجل التجارى]]="مطابق"), "سارى", "يجب اعادة طلبه")</f>
        <v>يجب اعادة طلبه</v>
      </c>
      <c r="M7" s="28" t="s">
        <v>54</v>
      </c>
      <c r="N7" s="13" t="str" cm="1">
        <f t="array" aca="1" ref="N7" ca="1">INDEX('SAP Customer Data '!A:Z,MATCH(بيانات_العملاء4[[#This Row],[رمز شريك الأعمال]],'SAP Customer Data '!B:B,0),CELL("col",Table_Customer_Data[[#Headers],[LicTradNum]]))</f>
        <v>300024635700003</v>
      </c>
      <c r="O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" s="26" t="s">
        <v>56</v>
      </c>
      <c r="Q7" s="9"/>
      <c r="R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" s="26" t="s">
        <v>369</v>
      </c>
      <c r="T7" s="10" cm="1">
        <f t="array" aca="1" ref="T7" ca="1">INDEX('SAP Customer Data '!$A:$AC,MATCH(بيانات_العملاء4[[#This Row],[رمز شريك الأعمال]],'SAP Customer Data '!$B:$B,0),CELL("col",Table_Customer_Data[[#Headers],[CreditLine]]))</f>
        <v>50000</v>
      </c>
      <c r="U7" s="11"/>
      <c r="V7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7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7" s="18" cm="1">
        <f t="array" aca="1" ref="X7" ca="1">INDEX('SAP Customer Data '!$A:$AC,MATCH(بيانات_العملاء4[[#This Row],[رمز شريك الأعمال]],'SAP Customer Data '!$B:$B,0),CELL("col",Table_Customer_Data[[#Headers],[CreditLine]]))</f>
        <v>50000</v>
      </c>
      <c r="Y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" s="26"/>
      <c r="AA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7" s="26" t="s">
        <v>54</v>
      </c>
      <c r="AC7" s="16">
        <v>46912</v>
      </c>
      <c r="AD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" s="26" t="s">
        <v>56</v>
      </c>
      <c r="AF7" s="16"/>
      <c r="AG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" s="26" t="s">
        <v>56</v>
      </c>
      <c r="AI7" s="6"/>
      <c r="AJ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" s="26"/>
      <c r="AL7" s="9"/>
      <c r="AM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" s="26" t="s">
        <v>56</v>
      </c>
      <c r="AO7" s="11"/>
      <c r="AP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" s="26" t="s">
        <v>56</v>
      </c>
      <c r="AR7" s="6"/>
      <c r="AS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" s="22" cm="1">
        <f t="array" aca="1" ref="AT7" ca="1">INDEX('SAP Customer Data '!A:Z,MATCH(بيانات_العملاء4[[#This Row],[رمز شريك الأعمال]],'SAP Customer Data '!B:B,0),CELL("col",Table_Customer_Data[[#Headers],[CreateDate]]))</f>
        <v>44651</v>
      </c>
      <c r="AU7" s="30"/>
      <c r="AV7" s="11"/>
      <c r="AW7" s="6" t="s">
        <v>845</v>
      </c>
      <c r="AX7" s="6">
        <v>50000</v>
      </c>
    </row>
    <row r="8" spans="1:50" x14ac:dyDescent="0.25">
      <c r="A8" s="17" t="str" cm="1">
        <f t="array" aca="1" ref="A8" ca="1">INDEX('SAP Customer Data '!$A:$AC,MATCH(بيانات_العملاء4[[#This Row],[رمز شريك الأعمال]],'SAP Customer Data '!$B:$B,0),CELL("col",Table_Customer_Data[[#Headers],[GroupName]]))</f>
        <v>CS03</v>
      </c>
      <c r="B8" s="8" t="s">
        <v>98</v>
      </c>
      <c r="C8" s="18" t="str" cm="1">
        <f t="array" aca="1" ref="C8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للتجارة-التخصصي</v>
      </c>
      <c r="D8" s="26" t="s">
        <v>910</v>
      </c>
      <c r="E8" s="6" t="s">
        <v>366</v>
      </c>
      <c r="F8" s="26" t="s">
        <v>385</v>
      </c>
      <c r="G8" s="26" t="s">
        <v>54</v>
      </c>
      <c r="H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" s="26" t="s">
        <v>54</v>
      </c>
      <c r="J8" s="9">
        <v>45057</v>
      </c>
      <c r="K8" s="27" t="s">
        <v>55</v>
      </c>
      <c r="L8" s="19" t="str">
        <f ca="1">IF(AND(بيانات_العملاء4[[#This Row],[السجل التجارى]]="موجود",TODAY()+'Other Data'!$B$23&lt;J8,بيانات_العملاء4[[#This Row],[مطابقة اسم العميل بالاسم بالسجل التجارى]]="مطابق"), "سارى", "يجب اعادة طلبه")</f>
        <v>يجب اعادة طلبه</v>
      </c>
      <c r="M8" s="28" t="s">
        <v>54</v>
      </c>
      <c r="N8" s="13" t="str" cm="1">
        <f t="array" aca="1" ref="N8" ca="1">INDEX('SAP Customer Data '!A:Z,MATCH(بيانات_العملاء4[[#This Row],[رمز شريك الأعمال]],'SAP Customer Data '!B:B,0),CELL("col",Table_Customer_Data[[#Headers],[LicTradNum]]))</f>
        <v>300464613700003</v>
      </c>
      <c r="O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" s="26" t="s">
        <v>54</v>
      </c>
      <c r="Q8" s="9">
        <v>45208</v>
      </c>
      <c r="R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8" s="26" t="s">
        <v>369</v>
      </c>
      <c r="T8" s="10">
        <v>35000</v>
      </c>
      <c r="U8" s="11"/>
      <c r="V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8" s="18" cm="1">
        <f t="array" aca="1" ref="X8" ca="1">INDEX('SAP Customer Data '!$A:$AC,MATCH(بيانات_العملاء4[[#This Row],[رمز شريك الأعمال]],'SAP Customer Data '!$B:$B,0),CELL("col",Table_Customer_Data[[#Headers],[CreditLine]]))</f>
        <v>35000</v>
      </c>
      <c r="Y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" s="26"/>
      <c r="AA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8" s="26" t="s">
        <v>56</v>
      </c>
      <c r="AC8" s="16"/>
      <c r="AD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" s="26" t="s">
        <v>56</v>
      </c>
      <c r="AF8" s="16"/>
      <c r="AG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" s="26" t="s">
        <v>56</v>
      </c>
      <c r="AI8" s="6"/>
      <c r="AJ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" s="26"/>
      <c r="AL8" s="9"/>
      <c r="AM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" s="26" t="s">
        <v>56</v>
      </c>
      <c r="AO8" s="11"/>
      <c r="AP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" s="26" t="s">
        <v>56</v>
      </c>
      <c r="AR8" s="6"/>
      <c r="AS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" s="22" cm="1">
        <f t="array" aca="1" ref="AT8" ca="1">INDEX('SAP Customer Data '!A:Z,MATCH(بيانات_العملاء4[[#This Row],[رمز شريك الأعمال]],'SAP Customer Data '!B:B,0),CELL("col",Table_Customer_Data[[#Headers],[CreateDate]]))</f>
        <v>44612</v>
      </c>
      <c r="AU8" s="30"/>
      <c r="AV8" s="11"/>
      <c r="AW8" s="6" t="s">
        <v>845</v>
      </c>
      <c r="AX8" s="6">
        <v>210000</v>
      </c>
    </row>
    <row r="9" spans="1:50" x14ac:dyDescent="0.25">
      <c r="A9" s="17" t="str" cm="1">
        <f t="array" aca="1" ref="A9" ca="1">INDEX('SAP Customer Data '!$A:$AC,MATCH(بيانات_العملاء4[[#This Row],[رمز شريك الأعمال]],'SAP Customer Data '!$B:$B,0),CELL("col",Table_Customer_Data[[#Headers],[GroupName]]))</f>
        <v>CS03</v>
      </c>
      <c r="B9" s="8" t="s">
        <v>102</v>
      </c>
      <c r="C9" s="18" t="str" cm="1">
        <f t="array" aca="1" ref="C9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للتجارة-المرسلات</v>
      </c>
      <c r="D9" s="26" t="s">
        <v>910</v>
      </c>
      <c r="E9" s="6" t="s">
        <v>366</v>
      </c>
      <c r="F9" s="26" t="s">
        <v>385</v>
      </c>
      <c r="G9" s="26" t="s">
        <v>54</v>
      </c>
      <c r="H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" s="26" t="s">
        <v>56</v>
      </c>
      <c r="J9" s="9"/>
      <c r="K9" s="27"/>
      <c r="L9" s="19" t="str">
        <f ca="1">IF(AND(بيانات_العملاء4[[#This Row],[السجل التجارى]]="موجود",TODAY()+'Other Data'!$B$23&lt;J9,بيانات_العملاء4[[#This Row],[مطابقة اسم العميل بالاسم بالسجل التجارى]]="مطابق"), "سارى", "يجب اعادة طلبه")</f>
        <v>يجب اعادة طلبه</v>
      </c>
      <c r="M9" s="28" t="s">
        <v>54</v>
      </c>
      <c r="N9" s="13" t="str" cm="1">
        <f t="array" aca="1" ref="N9" ca="1">INDEX('SAP Customer Data '!A:Z,MATCH(بيانات_العملاء4[[#This Row],[رمز شريك الأعمال]],'SAP Customer Data '!B:B,0),CELL("col",Table_Customer_Data[[#Headers],[LicTradNum]]))</f>
        <v>300464613700003</v>
      </c>
      <c r="O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" s="26" t="s">
        <v>56</v>
      </c>
      <c r="Q9" s="9"/>
      <c r="R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" s="26" t="s">
        <v>369</v>
      </c>
      <c r="T9" s="10">
        <v>35000</v>
      </c>
      <c r="U9" s="11"/>
      <c r="V9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9" s="18" cm="1">
        <f t="array" aca="1" ref="X9" ca="1">INDEX('SAP Customer Data '!$A:$AC,MATCH(بيانات_العملاء4[[#This Row],[رمز شريك الأعمال]],'SAP Customer Data '!$B:$B,0),CELL("col",Table_Customer_Data[[#Headers],[CreditLine]]))</f>
        <v>35000</v>
      </c>
      <c r="Y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" s="26"/>
      <c r="AA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9" s="26" t="s">
        <v>56</v>
      </c>
      <c r="AC9" s="16"/>
      <c r="AD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" s="26" t="s">
        <v>56</v>
      </c>
      <c r="AF9" s="16"/>
      <c r="AG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" s="26" t="s">
        <v>56</v>
      </c>
      <c r="AI9" s="6"/>
      <c r="AJ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" s="26"/>
      <c r="AL9" s="9"/>
      <c r="AM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" s="26" t="s">
        <v>56</v>
      </c>
      <c r="AO9" s="11"/>
      <c r="AP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" s="26" t="s">
        <v>56</v>
      </c>
      <c r="AR9" s="6"/>
      <c r="AS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" s="22" cm="1">
        <f t="array" aca="1" ref="AT9" ca="1">INDEX('SAP Customer Data '!A:Z,MATCH(بيانات_العملاء4[[#This Row],[رمز شريك الأعمال]],'SAP Customer Data '!B:B,0),CELL("col",Table_Customer_Data[[#Headers],[CreateDate]]))</f>
        <v>44613</v>
      </c>
      <c r="AU9" s="30"/>
      <c r="AV9" s="11"/>
      <c r="AW9" s="6" t="s">
        <v>845</v>
      </c>
      <c r="AX9" s="6">
        <v>210000</v>
      </c>
    </row>
    <row r="10" spans="1:50" x14ac:dyDescent="0.25">
      <c r="A10" s="17" t="str" cm="1">
        <f t="array" aca="1" ref="A10" ca="1">INDEX('SAP Customer Data '!$A:$AC,MATCH(بيانات_العملاء4[[#This Row],[رمز شريك الأعمال]],'SAP Customer Data '!$B:$B,0),CELL("col",Table_Customer_Data[[#Headers],[GroupName]]))</f>
        <v>CS03</v>
      </c>
      <c r="B10" s="8" t="s">
        <v>114</v>
      </c>
      <c r="C10" s="18" t="str" cm="1">
        <f t="array" aca="1" ref="C10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للتجارة-خالد ابن الوليد</v>
      </c>
      <c r="D10" s="26" t="s">
        <v>910</v>
      </c>
      <c r="E10" s="6" t="s">
        <v>366</v>
      </c>
      <c r="F10" s="26" t="s">
        <v>385</v>
      </c>
      <c r="G10" s="26" t="s">
        <v>54</v>
      </c>
      <c r="H1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" s="26" t="s">
        <v>56</v>
      </c>
      <c r="J10" s="9"/>
      <c r="K10" s="27"/>
      <c r="L10" s="19" t="str">
        <f ca="1">IF(AND(بيانات_العملاء4[[#This Row],[السجل التجارى]]="موجود",TODAY()+'Other Data'!$B$23&lt;J10,بيانات_العملاء4[[#This Row],[مطابقة اسم العميل بالاسم بالسجل التجارى]]="مطابق"), "سارى", "يجب اعادة طلبه")</f>
        <v>يجب اعادة طلبه</v>
      </c>
      <c r="M10" s="28" t="s">
        <v>54</v>
      </c>
      <c r="N10" s="13" t="str" cm="1">
        <f t="array" aca="1" ref="N10" ca="1">INDEX('SAP Customer Data '!A:Z,MATCH(بيانات_العملاء4[[#This Row],[رمز شريك الأعمال]],'SAP Customer Data '!B:B,0),CELL("col",Table_Customer_Data[[#Headers],[LicTradNum]]))</f>
        <v>300464613700003</v>
      </c>
      <c r="O1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" s="26" t="s">
        <v>56</v>
      </c>
      <c r="Q10" s="9"/>
      <c r="R1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" s="26" t="s">
        <v>369</v>
      </c>
      <c r="T10" s="10">
        <v>35000</v>
      </c>
      <c r="U10" s="11"/>
      <c r="V1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0" s="18" cm="1">
        <f t="array" aca="1" ref="X10" ca="1">INDEX('SAP Customer Data '!$A:$AC,MATCH(بيانات_العملاء4[[#This Row],[رمز شريك الأعمال]],'SAP Customer Data '!$B:$B,0),CELL("col",Table_Customer_Data[[#Headers],[CreditLine]]))</f>
        <v>35000</v>
      </c>
      <c r="Y1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" s="26"/>
      <c r="AA1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0" s="26" t="s">
        <v>56</v>
      </c>
      <c r="AC10" s="16"/>
      <c r="AD1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" s="26" t="s">
        <v>56</v>
      </c>
      <c r="AF10" s="16"/>
      <c r="AG1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" s="26" t="s">
        <v>56</v>
      </c>
      <c r="AI10" s="6"/>
      <c r="AJ1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" s="26"/>
      <c r="AL10" s="9"/>
      <c r="AM1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" s="26" t="s">
        <v>56</v>
      </c>
      <c r="AO10" s="11"/>
      <c r="AP1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" s="26" t="s">
        <v>56</v>
      </c>
      <c r="AR10" s="6"/>
      <c r="AS1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" s="22" cm="1">
        <f t="array" aca="1" ref="AT10" ca="1">INDEX('SAP Customer Data '!A:Z,MATCH(بيانات_العملاء4[[#This Row],[رمز شريك الأعمال]],'SAP Customer Data '!B:B,0),CELL("col",Table_Customer_Data[[#Headers],[CreateDate]]))</f>
        <v>44620</v>
      </c>
      <c r="AU10" s="30"/>
      <c r="AV10" s="11"/>
      <c r="AW10" s="6" t="s">
        <v>845</v>
      </c>
      <c r="AX10" s="6">
        <v>210000</v>
      </c>
    </row>
    <row r="11" spans="1:50" x14ac:dyDescent="0.25">
      <c r="A11" s="17" t="str" cm="1">
        <f t="array" aca="1" ref="A11" ca="1">INDEX('SAP Customer Data '!$A:$AC,MATCH(بيانات_العملاء4[[#This Row],[رمز شريك الأعمال]],'SAP Customer Data '!$B:$B,0),CELL("col",Table_Customer_Data[[#Headers],[GroupName]]))</f>
        <v>CS03</v>
      </c>
      <c r="B11" s="8" t="s">
        <v>68</v>
      </c>
      <c r="C11" s="18" t="str" cm="1">
        <f t="array" aca="1" ref="C11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للتجارة-الملز</v>
      </c>
      <c r="D11" s="26" t="s">
        <v>910</v>
      </c>
      <c r="E11" s="6" t="s">
        <v>366</v>
      </c>
      <c r="F11" s="26" t="s">
        <v>385</v>
      </c>
      <c r="G11" s="26" t="s">
        <v>54</v>
      </c>
      <c r="H1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" s="26" t="s">
        <v>56</v>
      </c>
      <c r="J11" s="9"/>
      <c r="K11" s="27"/>
      <c r="L11" s="19" t="str">
        <f ca="1">IF(AND(بيانات_العملاء4[[#This Row],[السجل التجارى]]="موجود",TODAY()+'Other Data'!$B$23&lt;J11,بيانات_العملاء4[[#This Row],[مطابقة اسم العميل بالاسم بالسجل التجارى]]="مطابق"), "سارى", "يجب اعادة طلبه")</f>
        <v>يجب اعادة طلبه</v>
      </c>
      <c r="M11" s="28" t="s">
        <v>54</v>
      </c>
      <c r="N11" s="13" t="str" cm="1">
        <f t="array" aca="1" ref="N11" ca="1">INDEX('SAP Customer Data '!A:Z,MATCH(بيانات_العملاء4[[#This Row],[رمز شريك الأعمال]],'SAP Customer Data '!B:B,0),CELL("col",Table_Customer_Data[[#Headers],[LicTradNum]]))</f>
        <v>300464613700003</v>
      </c>
      <c r="O1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" s="26" t="s">
        <v>56</v>
      </c>
      <c r="Q11" s="9"/>
      <c r="R1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" s="26" t="s">
        <v>369</v>
      </c>
      <c r="T11" s="10">
        <v>25000</v>
      </c>
      <c r="U11" s="11"/>
      <c r="V11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1" s="18" cm="1">
        <f t="array" aca="1" ref="X11" ca="1">INDEX('SAP Customer Data '!$A:$AC,MATCH(بيانات_العملاء4[[#This Row],[رمز شريك الأعمال]],'SAP Customer Data '!$B:$B,0),CELL("col",Table_Customer_Data[[#Headers],[CreditLine]]))</f>
        <v>25000</v>
      </c>
      <c r="Y1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" s="26"/>
      <c r="AA1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1" s="26" t="s">
        <v>56</v>
      </c>
      <c r="AC11" s="16"/>
      <c r="AD1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" s="26" t="s">
        <v>56</v>
      </c>
      <c r="AF11" s="16"/>
      <c r="AG1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" s="26" t="s">
        <v>56</v>
      </c>
      <c r="AI11" s="6"/>
      <c r="AJ1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" s="26"/>
      <c r="AL11" s="9"/>
      <c r="AM1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" s="26" t="s">
        <v>56</v>
      </c>
      <c r="AO11" s="11"/>
      <c r="AP1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" s="26" t="s">
        <v>56</v>
      </c>
      <c r="AR11" s="6"/>
      <c r="AS1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" s="22" cm="1">
        <f t="array" aca="1" ref="AT11" ca="1">INDEX('SAP Customer Data '!A:Z,MATCH(بيانات_العملاء4[[#This Row],[رمز شريك الأعمال]],'SAP Customer Data '!B:B,0),CELL("col",Table_Customer_Data[[#Headers],[CreateDate]]))</f>
        <v>44628</v>
      </c>
      <c r="AU11" s="30"/>
      <c r="AV11" s="11"/>
      <c r="AW11" s="6" t="s">
        <v>845</v>
      </c>
      <c r="AX11" s="6">
        <v>210000</v>
      </c>
    </row>
    <row r="12" spans="1:50" x14ac:dyDescent="0.25">
      <c r="A12" s="17" t="str" cm="1">
        <f t="array" aca="1" ref="A12" ca="1">INDEX('SAP Customer Data '!$A:$AC,MATCH(بيانات_العملاء4[[#This Row],[رمز شريك الأعمال]],'SAP Customer Data '!$B:$B,0),CELL("col",Table_Customer_Data[[#Headers],[GroupName]]))</f>
        <v>CS03</v>
      </c>
      <c r="B12" s="8" t="s">
        <v>127</v>
      </c>
      <c r="C12" s="18" t="str" cm="1">
        <f t="array" aca="1" ref="C12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للتجارة-فرع الغرابي</v>
      </c>
      <c r="D12" s="26" t="s">
        <v>910</v>
      </c>
      <c r="E12" s="6" t="s">
        <v>366</v>
      </c>
      <c r="F12" s="26" t="s">
        <v>385</v>
      </c>
      <c r="G12" s="26" t="s">
        <v>54</v>
      </c>
      <c r="H1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" s="26" t="s">
        <v>56</v>
      </c>
      <c r="J12" s="9"/>
      <c r="K12" s="27"/>
      <c r="L12" s="19" t="str">
        <f ca="1">IF(AND(بيانات_العملاء4[[#This Row],[السجل التجارى]]="موجود",TODAY()+'Other Data'!$B$23&lt;J12,بيانات_العملاء4[[#This Row],[مطابقة اسم العميل بالاسم بالسجل التجارى]]="مطابق"), "سارى", "يجب اعادة طلبه")</f>
        <v>يجب اعادة طلبه</v>
      </c>
      <c r="M12" s="28" t="s">
        <v>54</v>
      </c>
      <c r="N12" s="13" t="str" cm="1">
        <f t="array" aca="1" ref="N12" ca="1">INDEX('SAP Customer Data '!A:Z,MATCH(بيانات_العملاء4[[#This Row],[رمز شريك الأعمال]],'SAP Customer Data '!B:B,0),CELL("col",Table_Customer_Data[[#Headers],[LicTradNum]]))</f>
        <v>300464613700003</v>
      </c>
      <c r="O1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" s="26" t="s">
        <v>56</v>
      </c>
      <c r="Q12" s="9"/>
      <c r="R1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" s="26" t="s">
        <v>369</v>
      </c>
      <c r="T12" s="10">
        <v>35000</v>
      </c>
      <c r="U12" s="11"/>
      <c r="V1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2" s="18" cm="1">
        <f t="array" aca="1" ref="X12" ca="1">INDEX('SAP Customer Data '!$A:$AC,MATCH(بيانات_العملاء4[[#This Row],[رمز شريك الأعمال]],'SAP Customer Data '!$B:$B,0),CELL("col",Table_Customer_Data[[#Headers],[CreditLine]]))</f>
        <v>35000</v>
      </c>
      <c r="Y1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" s="26"/>
      <c r="AA1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2" s="26" t="s">
        <v>56</v>
      </c>
      <c r="AC12" s="16"/>
      <c r="AD1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" s="26" t="s">
        <v>56</v>
      </c>
      <c r="AF12" s="16"/>
      <c r="AG1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" s="26" t="s">
        <v>56</v>
      </c>
      <c r="AI12" s="6"/>
      <c r="AJ1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" s="26"/>
      <c r="AL12" s="9"/>
      <c r="AM1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" s="26" t="s">
        <v>56</v>
      </c>
      <c r="AO12" s="11"/>
      <c r="AP1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" s="26" t="s">
        <v>56</v>
      </c>
      <c r="AR12" s="6"/>
      <c r="AS1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" s="22" cm="1">
        <f t="array" aca="1" ref="AT12" ca="1">INDEX('SAP Customer Data '!A:Z,MATCH(بيانات_العملاء4[[#This Row],[رمز شريك الأعمال]],'SAP Customer Data '!B:B,0),CELL("col",Table_Customer_Data[[#Headers],[CreateDate]]))</f>
        <v>44640</v>
      </c>
      <c r="AU12" s="30"/>
      <c r="AV12" s="11"/>
      <c r="AW12" s="6" t="s">
        <v>845</v>
      </c>
      <c r="AX12" s="6">
        <v>210000</v>
      </c>
    </row>
    <row r="13" spans="1:50" x14ac:dyDescent="0.25">
      <c r="A13" s="17" t="str" cm="1">
        <f t="array" aca="1" ref="A13" ca="1">INDEX('SAP Customer Data '!$A:$AC,MATCH(بيانات_العملاء4[[#This Row],[رمز شريك الأعمال]],'SAP Customer Data '!$B:$B,0),CELL("col",Table_Customer_Data[[#Headers],[GroupName]]))</f>
        <v>CS03</v>
      </c>
      <c r="B13" s="8" t="s">
        <v>142</v>
      </c>
      <c r="C13" s="18" t="str" cm="1">
        <f t="array" aca="1" ref="C13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للتجارة/ ظهرة لبن</v>
      </c>
      <c r="D13" s="26" t="s">
        <v>910</v>
      </c>
      <c r="E13" s="6" t="s">
        <v>366</v>
      </c>
      <c r="F13" s="26" t="s">
        <v>385</v>
      </c>
      <c r="G13" s="26" t="s">
        <v>54</v>
      </c>
      <c r="H1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3" s="26" t="s">
        <v>56</v>
      </c>
      <c r="J13" s="9"/>
      <c r="K13" s="27"/>
      <c r="L13" s="19" t="str">
        <f ca="1">IF(AND(بيانات_العملاء4[[#This Row],[السجل التجارى]]="موجود",TODAY()+'Other Data'!$B$23&lt;J13,بيانات_العملاء4[[#This Row],[مطابقة اسم العميل بالاسم بالسجل التجارى]]="مطابق"), "سارى", "يجب اعادة طلبه")</f>
        <v>يجب اعادة طلبه</v>
      </c>
      <c r="M13" s="28" t="s">
        <v>54</v>
      </c>
      <c r="N13" s="13" t="str" cm="1">
        <f t="array" aca="1" ref="N13" ca="1">INDEX('SAP Customer Data '!A:Z,MATCH(بيانات_العملاء4[[#This Row],[رمز شريك الأعمال]],'SAP Customer Data '!B:B,0),CELL("col",Table_Customer_Data[[#Headers],[LicTradNum]]))</f>
        <v>300464613700003</v>
      </c>
      <c r="O1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" s="26" t="s">
        <v>56</v>
      </c>
      <c r="Q13" s="9"/>
      <c r="R1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3" s="26" t="s">
        <v>369</v>
      </c>
      <c r="T13" s="10">
        <v>35000</v>
      </c>
      <c r="U13" s="11"/>
      <c r="V13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3" s="18" cm="1">
        <f t="array" aca="1" ref="X13" ca="1">INDEX('SAP Customer Data '!$A:$AC,MATCH(بيانات_العملاء4[[#This Row],[رمز شريك الأعمال]],'SAP Customer Data '!$B:$B,0),CELL("col",Table_Customer_Data[[#Headers],[CreditLine]]))</f>
        <v>35000</v>
      </c>
      <c r="Y1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" s="26"/>
      <c r="AA1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3" s="26" t="s">
        <v>56</v>
      </c>
      <c r="AC13" s="16"/>
      <c r="AD1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" s="26" t="s">
        <v>56</v>
      </c>
      <c r="AF13" s="16"/>
      <c r="AG1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3" s="26" t="s">
        <v>56</v>
      </c>
      <c r="AI13" s="6"/>
      <c r="AJ1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3" s="26"/>
      <c r="AL13" s="9"/>
      <c r="AM1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" s="26" t="s">
        <v>56</v>
      </c>
      <c r="AO13" s="11"/>
      <c r="AP1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" s="26" t="s">
        <v>56</v>
      </c>
      <c r="AR13" s="6"/>
      <c r="AS1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" s="22" cm="1">
        <f t="array" aca="1" ref="AT13" ca="1">INDEX('SAP Customer Data '!A:Z,MATCH(بيانات_العملاء4[[#This Row],[رمز شريك الأعمال]],'SAP Customer Data '!B:B,0),CELL("col",Table_Customer_Data[[#Headers],[CreateDate]]))</f>
        <v>44651</v>
      </c>
      <c r="AU13" s="30"/>
      <c r="AV13" s="11"/>
      <c r="AW13" s="6" t="s">
        <v>845</v>
      </c>
      <c r="AX13" s="6">
        <v>210000</v>
      </c>
    </row>
    <row r="14" spans="1:50" x14ac:dyDescent="0.25">
      <c r="A14" s="17" t="str" cm="1">
        <f t="array" aca="1" ref="A14" ca="1">INDEX('SAP Customer Data '!$A:$AC,MATCH(بيانات_العملاء4[[#This Row],[رمز شريك الأعمال]],'SAP Customer Data '!$B:$B,0),CELL("col",Table_Customer_Data[[#Headers],[GroupName]]))</f>
        <v>CS14</v>
      </c>
      <c r="B14" s="8" t="s">
        <v>269</v>
      </c>
      <c r="C14" s="18" t="str" cm="1">
        <f t="array" aca="1" ref="C14" ca="1">INDEX('SAP Customer Data '!$A:$AC,MATCH(بيانات_العملاء4[[#This Row],[رمز شريك الأعمال]],'SAP Customer Data '!$B:$B,0),CELL("col",Table_Customer_Data[[#Headers],[CardName]]))</f>
        <v>مؤسسة يوسف مسعود الشهراني التجارية</v>
      </c>
      <c r="D14" s="26" t="str">
        <f ca="1">IF(بيانات_العملاء4[[#This Row],[حد الائتمان على SAP]]&gt;0,"آجل","نقدى")</f>
        <v>آجل</v>
      </c>
      <c r="E14" s="6" t="s">
        <v>383</v>
      </c>
      <c r="F14" s="26" t="s">
        <v>385</v>
      </c>
      <c r="G14" s="26" t="s">
        <v>54</v>
      </c>
      <c r="H14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4" s="26" t="s">
        <v>54</v>
      </c>
      <c r="J14" s="9">
        <v>45501</v>
      </c>
      <c r="K14" s="27" t="s">
        <v>55</v>
      </c>
      <c r="L14" s="19" t="str">
        <f ca="1">IF(AND(بيانات_العملاء4[[#This Row],[السجل التجارى]]="موجود",TODAY()+'Other Data'!$B$23&lt;J14,بيانات_العملاء4[[#This Row],[مطابقة اسم العميل بالاسم بالسجل التجارى]]="مطابق"), "سارى", "يجب اعادة طلبه")</f>
        <v>سارى</v>
      </c>
      <c r="M14" s="28" t="s">
        <v>54</v>
      </c>
      <c r="N14" s="13" t="str" cm="1">
        <f t="array" aca="1" ref="N14" ca="1">INDEX('SAP Customer Data '!A:Z,MATCH(بيانات_العملاء4[[#This Row],[رمز شريك الأعمال]],'SAP Customer Data '!B:B,0),CELL("col",Table_Customer_Data[[#Headers],[LicTradNum]]))</f>
        <v>300544084900003</v>
      </c>
      <c r="O1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4" s="26" t="s">
        <v>54</v>
      </c>
      <c r="Q14" s="9">
        <v>45005</v>
      </c>
      <c r="R1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4" s="26" t="s">
        <v>54</v>
      </c>
      <c r="T14" s="10">
        <v>400000</v>
      </c>
      <c r="U14" s="11">
        <v>44713</v>
      </c>
      <c r="V14" s="20">
        <f>IF(بيانات_العملاء4[[#This Row],[تاريخ انشاء سند الامر او الاستثناء]]="","",بيانات_العملاء4[[#This Row],[تاريخ انشاء سند الامر او الاستثناء]]+365*3)</f>
        <v>45808</v>
      </c>
      <c r="W1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200000</v>
      </c>
      <c r="X14" s="18" cm="1">
        <f t="array" aca="1" ref="X14" ca="1">INDEX('SAP Customer Data '!$A:$AC,MATCH(بيانات_العملاء4[[#This Row],[رمز شريك الأعمال]],'SAP Customer Data '!$B:$B,0),CELL("col",Table_Customer_Data[[#Headers],[CreditLine]]))</f>
        <v>150000</v>
      </c>
      <c r="Y1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4" s="26" t="s">
        <v>55</v>
      </c>
      <c r="AA1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" s="26" t="s">
        <v>54</v>
      </c>
      <c r="AC14" s="16">
        <v>49744</v>
      </c>
      <c r="AD1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4" s="26" t="s">
        <v>54</v>
      </c>
      <c r="AF14" s="16">
        <v>46325</v>
      </c>
      <c r="AG1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4" s="26" t="s">
        <v>54</v>
      </c>
      <c r="AI14" s="6"/>
      <c r="AJ1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4" s="26" t="s">
        <v>54</v>
      </c>
      <c r="AL14" s="9"/>
      <c r="AM1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" s="26" t="s">
        <v>56</v>
      </c>
      <c r="AO14" s="11"/>
      <c r="AP1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" s="26" t="s">
        <v>54</v>
      </c>
      <c r="AR14" s="6"/>
      <c r="AS1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4" s="22" cm="1">
        <f t="array" aca="1" ref="AT14" ca="1">INDEX('SAP Customer Data '!A:Z,MATCH(بيانات_العملاء4[[#This Row],[رمز شريك الأعمال]],'SAP Customer Data '!B:B,0),CELL("col",Table_Customer_Data[[#Headers],[CreateDate]]))</f>
        <v>44740</v>
      </c>
      <c r="AU14" s="30"/>
      <c r="AV14" s="11"/>
      <c r="AW14" s="6" t="s">
        <v>846</v>
      </c>
      <c r="AX14" s="6"/>
    </row>
    <row r="15" spans="1:50" x14ac:dyDescent="0.25">
      <c r="A15" s="17" t="str" cm="1">
        <f t="array" aca="1" ref="A15" ca="1">INDEX('SAP Customer Data '!$A:$AC,MATCH(بيانات_العملاء4[[#This Row],[رمز شريك الأعمال]],'SAP Customer Data '!$B:$B,0),CELL("col",Table_Customer_Data[[#Headers],[GroupName]]))</f>
        <v>CS02</v>
      </c>
      <c r="B15" s="8" t="s">
        <v>272</v>
      </c>
      <c r="C15" s="18" t="str" cm="1">
        <f t="array" aca="1" ref="C15" ca="1">INDEX('SAP Customer Data '!$A:$AC,MATCH(بيانات_العملاء4[[#This Row],[رمز شريك الأعمال]],'SAP Customer Data '!$B:$B,0),CELL("col",Table_Customer_Data[[#Headers],[CardName]]))</f>
        <v>مؤسسة منارات البناء للتجارة</v>
      </c>
      <c r="D15" s="26" t="str">
        <f ca="1">IF(بيانات_العملاء4[[#This Row],[حد الائتمان على SAP]]&gt;0,"آجل","نقدى")</f>
        <v>آجل</v>
      </c>
      <c r="E15" s="6" t="s">
        <v>383</v>
      </c>
      <c r="F15" s="26" t="s">
        <v>385</v>
      </c>
      <c r="G15" s="26" t="s">
        <v>54</v>
      </c>
      <c r="H1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" s="26" t="s">
        <v>54</v>
      </c>
      <c r="J15" s="9">
        <v>45501</v>
      </c>
      <c r="K15" s="27" t="s">
        <v>55</v>
      </c>
      <c r="L15" s="19" t="str">
        <f ca="1">IF(AND(بيانات_العملاء4[[#This Row],[السجل التجارى]]="موجود",TODAY()+'Other Data'!$B$23&lt;J15,بيانات_العملاء4[[#This Row],[مطابقة اسم العميل بالاسم بالسجل التجارى]]="مطابق"), "سارى", "يجب اعادة طلبه")</f>
        <v>سارى</v>
      </c>
      <c r="M15" s="28" t="s">
        <v>54</v>
      </c>
      <c r="N15" s="13" t="str" cm="1">
        <f t="array" aca="1" ref="N15" ca="1">INDEX('SAP Customer Data '!A:Z,MATCH(بيانات_العملاء4[[#This Row],[رمز شريك الأعمال]],'SAP Customer Data '!B:B,0),CELL("col",Table_Customer_Data[[#Headers],[LicTradNum]]))</f>
        <v>310941447600003</v>
      </c>
      <c r="O1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" s="26" t="s">
        <v>54</v>
      </c>
      <c r="Q15" s="9"/>
      <c r="R1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" s="26" t="s">
        <v>54</v>
      </c>
      <c r="T15" s="10">
        <v>200000</v>
      </c>
      <c r="U15" s="11">
        <v>44713</v>
      </c>
      <c r="V15" s="20">
        <f>IF(بيانات_العملاء4[[#This Row],[تاريخ انشاء سند الامر او الاستثناء]]="","",بيانات_العملاء4[[#This Row],[تاريخ انشاء سند الامر او الاستثناء]]+365*3)</f>
        <v>45808</v>
      </c>
      <c r="W1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15" s="18" cm="1">
        <f t="array" aca="1" ref="X15" ca="1">INDEX('SAP Customer Data '!$A:$AC,MATCH(بيانات_العملاء4[[#This Row],[رمز شريك الأعمال]],'SAP Customer Data '!$B:$B,0),CELL("col",Table_Customer_Data[[#Headers],[CreditLine]]))</f>
        <v>90000</v>
      </c>
      <c r="Y1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5" s="26" t="s">
        <v>55</v>
      </c>
      <c r="AA1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" s="26" t="s">
        <v>54</v>
      </c>
      <c r="AC15" s="16">
        <v>49744</v>
      </c>
      <c r="AD1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5" s="26" t="s">
        <v>54</v>
      </c>
      <c r="AF15" s="16">
        <v>46325</v>
      </c>
      <c r="AG1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5" s="26" t="s">
        <v>54</v>
      </c>
      <c r="AI15" s="6"/>
      <c r="AJ1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" s="26" t="s">
        <v>54</v>
      </c>
      <c r="AL15" s="9"/>
      <c r="AM1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" s="26" t="s">
        <v>56</v>
      </c>
      <c r="AO15" s="11"/>
      <c r="AP1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" s="26" t="s">
        <v>54</v>
      </c>
      <c r="AR15" s="6"/>
      <c r="AS1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" s="22" cm="1">
        <f t="array" aca="1" ref="AT15" ca="1">INDEX('SAP Customer Data '!A:Z,MATCH(بيانات_العملاء4[[#This Row],[رمز شريك الأعمال]],'SAP Customer Data '!B:B,0),CELL("col",Table_Customer_Data[[#Headers],[CreateDate]]))</f>
        <v>44740</v>
      </c>
      <c r="AU15" s="30"/>
      <c r="AV15" s="11"/>
      <c r="AW15" s="6" t="s">
        <v>845</v>
      </c>
      <c r="AX15" s="6">
        <v>200000</v>
      </c>
    </row>
    <row r="16" spans="1:50" x14ac:dyDescent="0.25">
      <c r="A16" s="17" t="str" cm="1">
        <f t="array" aca="1" ref="A16" ca="1">INDEX('SAP Customer Data '!$A:$AC,MATCH(بيانات_العملاء4[[#This Row],[رمز شريك الأعمال]],'SAP Customer Data '!$B:$B,0),CELL("col",Table_Customer_Data[[#Headers],[GroupName]]))</f>
        <v>CS03</v>
      </c>
      <c r="B16" s="8" t="s">
        <v>70</v>
      </c>
      <c r="C16" s="18" t="str" cm="1">
        <f t="array" aca="1" ref="C16" ca="1">INDEX('SAP Customer Data '!$A:$AC,MATCH(بيانات_العملاء4[[#This Row],[رمز شريك الأعمال]],'SAP Customer Data '!$B:$B,0),CELL("col",Table_Customer_Data[[#Headers],[CardName]]))</f>
        <v>مؤسسة عشاق التميز للتجارة الفرع الرئيسي</v>
      </c>
      <c r="D16" s="26" t="str">
        <f ca="1">IF(بيانات_العملاء4[[#This Row],[حد الائتمان على SAP]]&gt;0,"آجل","نقدى")</f>
        <v>آجل</v>
      </c>
      <c r="E16" s="6" t="s">
        <v>831</v>
      </c>
      <c r="F16" s="26" t="s">
        <v>385</v>
      </c>
      <c r="G16" s="26" t="s">
        <v>54</v>
      </c>
      <c r="H1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" s="26" t="s">
        <v>54</v>
      </c>
      <c r="J16" s="9">
        <v>45314</v>
      </c>
      <c r="K16" s="27" t="s">
        <v>55</v>
      </c>
      <c r="L16" s="19" t="str">
        <f ca="1">IF(AND(بيانات_العملاء4[[#This Row],[السجل التجارى]]="موجود",TODAY()+'Other Data'!$B$23&lt;J16,بيانات_العملاء4[[#This Row],[مطابقة اسم العميل بالاسم بالسجل التجارى]]="مطابق"), "سارى", "يجب اعادة طلبه")</f>
        <v>سارى</v>
      </c>
      <c r="M16" s="28" t="s">
        <v>54</v>
      </c>
      <c r="N16" s="13" t="str" cm="1">
        <f t="array" aca="1" ref="N16" ca="1">INDEX('SAP Customer Data '!A:Z,MATCH(بيانات_العملاء4[[#This Row],[رمز شريك الأعمال]],'SAP Customer Data '!B:B,0),CELL("col",Table_Customer_Data[[#Headers],[LicTradNum]]))</f>
        <v>300838149300003</v>
      </c>
      <c r="O1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" s="26" t="s">
        <v>54</v>
      </c>
      <c r="Q16" s="9">
        <v>45657</v>
      </c>
      <c r="R1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6" s="26" t="s">
        <v>54</v>
      </c>
      <c r="T16" s="10">
        <f>50000*75%+80000*60%</f>
        <v>85500</v>
      </c>
      <c r="U16" s="11"/>
      <c r="V16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42750</v>
      </c>
      <c r="X16" s="18" cm="1">
        <f t="array" aca="1" ref="X16" ca="1">INDEX('SAP Customer Data '!$A:$AC,MATCH(بيانات_العملاء4[[#This Row],[رمز شريك الأعمال]],'SAP Customer Data '!$B:$B,0),CELL("col",Table_Customer_Data[[#Headers],[CreditLine]]))</f>
        <v>30000</v>
      </c>
      <c r="Y1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6" s="26" t="s">
        <v>55</v>
      </c>
      <c r="AA1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" s="26" t="s">
        <v>56</v>
      </c>
      <c r="AC16" s="16"/>
      <c r="AD1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" s="26" t="s">
        <v>56</v>
      </c>
      <c r="AF16" s="16"/>
      <c r="AG1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" s="26" t="s">
        <v>56</v>
      </c>
      <c r="AI16" s="6"/>
      <c r="AJ1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" s="26" t="s">
        <v>56</v>
      </c>
      <c r="AL16" s="9"/>
      <c r="AM1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" s="26" t="s">
        <v>54</v>
      </c>
      <c r="AO16" s="11"/>
      <c r="AP1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" s="26" t="s">
        <v>56</v>
      </c>
      <c r="AR16" s="6"/>
      <c r="AS1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" s="22" cm="1">
        <f t="array" aca="1" ref="AT16" ca="1">INDEX('SAP Customer Data '!A:Z,MATCH(بيانات_العملاء4[[#This Row],[رمز شريك الأعمال]],'SAP Customer Data '!B:B,0),CELL("col",Table_Customer_Data[[#Headers],[CreateDate]]))</f>
        <v>44957</v>
      </c>
      <c r="AU16" s="30"/>
      <c r="AV16" s="11" t="s">
        <v>348</v>
      </c>
      <c r="AW16" s="6" t="s">
        <v>845</v>
      </c>
      <c r="AX16" s="6">
        <v>130000</v>
      </c>
    </row>
    <row r="17" spans="1:50" x14ac:dyDescent="0.25">
      <c r="A17" s="17" t="str" cm="1">
        <f t="array" aca="1" ref="A17" ca="1">INDEX('SAP Customer Data '!$A:$AC,MATCH(بيانات_العملاء4[[#This Row],[رمز شريك الأعمال]],'SAP Customer Data '!$B:$B,0),CELL("col",Table_Customer_Data[[#Headers],[GroupName]]))</f>
        <v>CS03</v>
      </c>
      <c r="B17" s="8" t="s">
        <v>304</v>
      </c>
      <c r="C17" s="18" t="str" cm="1">
        <f t="array" aca="1" ref="C17" ca="1">INDEX('SAP Customer Data '!$A:$AC,MATCH(بيانات_العملاء4[[#This Row],[رمز شريك الأعمال]],'SAP Customer Data '!$B:$B,0),CELL("col",Table_Customer_Data[[#Headers],[CardName]]))</f>
        <v>مؤسسة عشاق التميز للتجارة الفرع 1</v>
      </c>
      <c r="D17" s="26" t="str">
        <f ca="1">IF(بيانات_العملاء4[[#This Row],[حد الائتمان على SAP]]&gt;0,"آجل","نقدى")</f>
        <v>آجل</v>
      </c>
      <c r="E17" s="6" t="s">
        <v>831</v>
      </c>
      <c r="F17" s="26" t="s">
        <v>385</v>
      </c>
      <c r="G17" s="26" t="s">
        <v>54</v>
      </c>
      <c r="H1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7" s="26" t="s">
        <v>56</v>
      </c>
      <c r="J17" s="9"/>
      <c r="K17" s="27"/>
      <c r="L17" s="19" t="str">
        <f ca="1">IF(AND(بيانات_العملاء4[[#This Row],[السجل التجارى]]="موجود",TODAY()+'Other Data'!$B$23&lt;J17,بيانات_العملاء4[[#This Row],[مطابقة اسم العميل بالاسم بالسجل التجارى]]="مطابق"), "سارى", "يجب اعادة طلبه")</f>
        <v>يجب اعادة طلبه</v>
      </c>
      <c r="M17" s="28" t="s">
        <v>54</v>
      </c>
      <c r="N17" s="13" t="str" cm="1">
        <f t="array" aca="1" ref="N17" ca="1">INDEX('SAP Customer Data '!A:Z,MATCH(بيانات_العملاء4[[#This Row],[رمز شريك الأعمال]],'SAP Customer Data '!B:B,0),CELL("col",Table_Customer_Data[[#Headers],[LicTradNum]]))</f>
        <v>300838149300003</v>
      </c>
      <c r="O1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7" s="26" t="s">
        <v>56</v>
      </c>
      <c r="Q17" s="9"/>
      <c r="R1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7" s="26" t="s">
        <v>54</v>
      </c>
      <c r="T17" s="10">
        <f>50000*25%+80000*40%</f>
        <v>44500</v>
      </c>
      <c r="U17" s="11"/>
      <c r="V17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22250</v>
      </c>
      <c r="X17" s="18" cm="1">
        <f t="array" aca="1" ref="X17" ca="1">INDEX('SAP Customer Data '!$A:$AC,MATCH(بيانات_العملاء4[[#This Row],[رمز شريك الأعمال]],'SAP Customer Data '!$B:$B,0),CELL("col",Table_Customer_Data[[#Headers],[CreditLine]]))</f>
        <v>20000</v>
      </c>
      <c r="Y1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7" s="26"/>
      <c r="AA1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7" s="26" t="s">
        <v>56</v>
      </c>
      <c r="AC17" s="16"/>
      <c r="AD1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7" s="26" t="s">
        <v>56</v>
      </c>
      <c r="AF17" s="16"/>
      <c r="AG1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7" s="26" t="s">
        <v>56</v>
      </c>
      <c r="AI17" s="6"/>
      <c r="AJ1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7" s="26" t="s">
        <v>56</v>
      </c>
      <c r="AL17" s="9"/>
      <c r="AM1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" s="26" t="s">
        <v>56</v>
      </c>
      <c r="AO17" s="11"/>
      <c r="AP1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" s="26" t="s">
        <v>56</v>
      </c>
      <c r="AR17" s="6"/>
      <c r="AS1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7" s="22" cm="1">
        <f t="array" aca="1" ref="AT17" ca="1">INDEX('SAP Customer Data '!A:Z,MATCH(بيانات_العملاء4[[#This Row],[رمز شريك الأعمال]],'SAP Customer Data '!B:B,0),CELL("col",Table_Customer_Data[[#Headers],[CreateDate]]))</f>
        <v>44957</v>
      </c>
      <c r="AU17" s="30"/>
      <c r="AV17" s="11" t="s">
        <v>348</v>
      </c>
      <c r="AW17" s="6" t="s">
        <v>845</v>
      </c>
      <c r="AX17" s="6">
        <v>130000</v>
      </c>
    </row>
    <row r="18" spans="1:50" x14ac:dyDescent="0.25">
      <c r="A18" s="17" t="str" cm="1">
        <f t="array" aca="1" ref="A18" ca="1">INDEX('SAP Customer Data '!$A:$AC,MATCH(بيانات_العملاء4[[#This Row],[رمز شريك الأعمال]],'SAP Customer Data '!$B:$B,0),CELL("col",Table_Customer_Data[[#Headers],[GroupName]]))</f>
        <v>CS09</v>
      </c>
      <c r="B18" s="8" t="s">
        <v>106</v>
      </c>
      <c r="C18" s="18" t="str" cm="1">
        <f t="array" aca="1" ref="C18" ca="1">INDEX('SAP Customer Data '!$A:$AC,MATCH(بيانات_العملاء4[[#This Row],[رمز شريك الأعمال]],'SAP Customer Data '!$B:$B,0),CELL("col",Table_Customer_Data[[#Headers],[CardName]]))</f>
        <v>شركة الفياض للانارة والكهرباء - التخصصي</v>
      </c>
      <c r="D18" s="26" t="str">
        <f ca="1">IF(بيانات_العملاء4[[#This Row],[حد الائتمان على SAP]]&gt;0,"آجل","نقدى")</f>
        <v>آجل</v>
      </c>
      <c r="E18" s="6"/>
      <c r="F18" s="26" t="s">
        <v>370</v>
      </c>
      <c r="G18" s="26" t="s">
        <v>54</v>
      </c>
      <c r="H1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8" s="26" t="s">
        <v>54</v>
      </c>
      <c r="J18" s="9">
        <v>44937</v>
      </c>
      <c r="K18" s="27" t="s">
        <v>55</v>
      </c>
      <c r="L18" s="19" t="str">
        <f ca="1">IF(AND(بيانات_العملاء4[[#This Row],[السجل التجارى]]="موجود",TODAY()+'Other Data'!$B$23&lt;J18,بيانات_العملاء4[[#This Row],[مطابقة اسم العميل بالاسم بالسجل التجارى]]="مطابق"), "سارى", "يجب اعادة طلبه")</f>
        <v>يجب اعادة طلبه</v>
      </c>
      <c r="M18" s="28" t="s">
        <v>54</v>
      </c>
      <c r="N18" s="13" t="str" cm="1">
        <f t="array" aca="1" ref="N18" ca="1">INDEX('SAP Customer Data '!A:Z,MATCH(بيانات_العملاء4[[#This Row],[رمز شريك الأعمال]],'SAP Customer Data '!B:B,0),CELL("col",Table_Customer_Data[[#Headers],[LicTradNum]]))</f>
        <v>301200478900003</v>
      </c>
      <c r="O1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8" s="26" t="s">
        <v>54</v>
      </c>
      <c r="Q18" s="9">
        <v>44622</v>
      </c>
      <c r="R1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8" s="26" t="s">
        <v>369</v>
      </c>
      <c r="T18" s="10" cm="1">
        <f t="array" aca="1" ref="T18" ca="1">INDEX('SAP Customer Data '!$A:$AC,MATCH(بيانات_العملاء4[[#This Row],[رمز شريك الأعمال]],'SAP Customer Data '!$B:$B,0),CELL("col",Table_Customer_Data[[#Headers],[CreditLine]]))</f>
        <v>35000</v>
      </c>
      <c r="U18" s="11"/>
      <c r="V1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8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8" s="18" cm="1">
        <f t="array" aca="1" ref="X18" ca="1">INDEX('SAP Customer Data '!$A:$AC,MATCH(بيانات_العملاء4[[#This Row],[رمز شريك الأعمال]],'SAP Customer Data '!$B:$B,0),CELL("col",Table_Customer_Data[[#Headers],[CreditLine]]))</f>
        <v>35000</v>
      </c>
      <c r="Y1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8" s="26"/>
      <c r="AA1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8" s="26" t="s">
        <v>56</v>
      </c>
      <c r="AC18" s="16"/>
      <c r="AD1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8" s="26" t="s">
        <v>56</v>
      </c>
      <c r="AF18" s="16"/>
      <c r="AG1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8" s="26" t="s">
        <v>56</v>
      </c>
      <c r="AI18" s="6"/>
      <c r="AJ1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8" s="26"/>
      <c r="AL18" s="9"/>
      <c r="AM1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8" s="26" t="s">
        <v>54</v>
      </c>
      <c r="AO18" s="11">
        <v>44626</v>
      </c>
      <c r="AP1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8" s="26" t="s">
        <v>56</v>
      </c>
      <c r="AR18" s="6"/>
      <c r="AS1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8" s="22" cm="1">
        <f t="array" aca="1" ref="AT18" ca="1">INDEX('SAP Customer Data '!A:Z,MATCH(بيانات_العملاء4[[#This Row],[رمز شريك الأعمال]],'SAP Customer Data '!B:B,0),CELL("col",Table_Customer_Data[[#Headers],[CreateDate]]))</f>
        <v>44616</v>
      </c>
      <c r="AU18" s="30"/>
      <c r="AV18" s="11"/>
      <c r="AW18" s="6" t="s">
        <v>845</v>
      </c>
      <c r="AX18" s="6">
        <v>140000</v>
      </c>
    </row>
    <row r="19" spans="1:50" x14ac:dyDescent="0.25">
      <c r="A19" s="17" t="str" cm="1">
        <f t="array" aca="1" ref="A19" ca="1">INDEX('SAP Customer Data '!$A:$AC,MATCH(بيانات_العملاء4[[#This Row],[رمز شريك الأعمال]],'SAP Customer Data '!$B:$B,0),CELL("col",Table_Customer_Data[[#Headers],[GroupName]]))</f>
        <v>CS09</v>
      </c>
      <c r="B19" s="8" t="s">
        <v>108</v>
      </c>
      <c r="C19" s="18" t="str" cm="1">
        <f t="array" aca="1" ref="C19" ca="1">INDEX('SAP Customer Data '!$A:$AC,MATCH(بيانات_العملاء4[[#This Row],[رمز شريك الأعمال]],'SAP Customer Data '!$B:$B,0),CELL("col",Table_Customer_Data[[#Headers],[CardName]]))</f>
        <v>شركة الفياض للانارة والكهرباء - الصحافة</v>
      </c>
      <c r="D19" s="26" t="str">
        <f ca="1">IF(بيانات_العملاء4[[#This Row],[حد الائتمان على SAP]]&gt;0,"آجل","نقدى")</f>
        <v>آجل</v>
      </c>
      <c r="E19" s="6"/>
      <c r="F19" s="26" t="s">
        <v>370</v>
      </c>
      <c r="G19" s="26" t="s">
        <v>54</v>
      </c>
      <c r="H1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9" s="26" t="s">
        <v>56</v>
      </c>
      <c r="J19" s="9"/>
      <c r="K19" s="27"/>
      <c r="L19" s="19" t="str">
        <f ca="1">IF(AND(بيانات_العملاء4[[#This Row],[السجل التجارى]]="موجود",TODAY()+'Other Data'!$B$23&lt;J19,بيانات_العملاء4[[#This Row],[مطابقة اسم العميل بالاسم بالسجل التجارى]]="مطابق"), "سارى", "يجب اعادة طلبه")</f>
        <v>يجب اعادة طلبه</v>
      </c>
      <c r="M19" s="28" t="s">
        <v>54</v>
      </c>
      <c r="N19" s="13" t="str" cm="1">
        <f t="array" aca="1" ref="N19" ca="1">INDEX('SAP Customer Data '!A:Z,MATCH(بيانات_العملاء4[[#This Row],[رمز شريك الأعمال]],'SAP Customer Data '!B:B,0),CELL("col",Table_Customer_Data[[#Headers],[LicTradNum]]))</f>
        <v>301200478900003</v>
      </c>
      <c r="O1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9" s="26" t="s">
        <v>56</v>
      </c>
      <c r="Q19" s="9"/>
      <c r="R1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9" s="26" t="s">
        <v>369</v>
      </c>
      <c r="T19" s="10" cm="1">
        <f t="array" aca="1" ref="T19" ca="1">INDEX('SAP Customer Data '!$A:$AC,MATCH(بيانات_العملاء4[[#This Row],[رمز شريك الأعمال]],'SAP Customer Data '!$B:$B,0),CELL("col",Table_Customer_Data[[#Headers],[CreditLine]]))</f>
        <v>35000</v>
      </c>
      <c r="U19" s="11"/>
      <c r="V19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9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9" s="18" cm="1">
        <f t="array" aca="1" ref="X19" ca="1">INDEX('SAP Customer Data '!$A:$AC,MATCH(بيانات_العملاء4[[#This Row],[رمز شريك الأعمال]],'SAP Customer Data '!$B:$B,0),CELL("col",Table_Customer_Data[[#Headers],[CreditLine]]))</f>
        <v>35000</v>
      </c>
      <c r="Y1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9" s="26"/>
      <c r="AA1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9" s="26" t="s">
        <v>56</v>
      </c>
      <c r="AC19" s="16"/>
      <c r="AD1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9" s="26" t="s">
        <v>56</v>
      </c>
      <c r="AF19" s="16"/>
      <c r="AG1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9" s="26" t="s">
        <v>56</v>
      </c>
      <c r="AI19" s="6"/>
      <c r="AJ1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9" s="26"/>
      <c r="AL19" s="9"/>
      <c r="AM1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9" s="26" t="s">
        <v>56</v>
      </c>
      <c r="AO19" s="11"/>
      <c r="AP1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9" s="26" t="s">
        <v>56</v>
      </c>
      <c r="AR19" s="6"/>
      <c r="AS1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9" s="22" cm="1">
        <f t="array" aca="1" ref="AT19" ca="1">INDEX('SAP Customer Data '!A:Z,MATCH(بيانات_العملاء4[[#This Row],[رمز شريك الأعمال]],'SAP Customer Data '!B:B,0),CELL("col",Table_Customer_Data[[#Headers],[CreateDate]]))</f>
        <v>44616</v>
      </c>
      <c r="AU19" s="30"/>
      <c r="AV19" s="11"/>
      <c r="AW19" s="6" t="s">
        <v>845</v>
      </c>
      <c r="AX19" s="6">
        <v>140000</v>
      </c>
    </row>
    <row r="20" spans="1:50" x14ac:dyDescent="0.25">
      <c r="A20" s="17" t="str" cm="1">
        <f t="array" aca="1" ref="A20" ca="1">INDEX('SAP Customer Data '!$A:$AC,MATCH(بيانات_العملاء4[[#This Row],[رمز شريك الأعمال]],'SAP Customer Data '!$B:$B,0),CELL("col",Table_Customer_Data[[#Headers],[GroupName]]))</f>
        <v>CS03</v>
      </c>
      <c r="B20" s="8" t="s">
        <v>110</v>
      </c>
      <c r="C20" s="18" t="str" cm="1">
        <f t="array" aca="1" ref="C20" ca="1">INDEX('SAP Customer Data '!$A:$AC,MATCH(بيانات_العملاء4[[#This Row],[رمز شريك الأعمال]],'SAP Customer Data '!$B:$B,0),CELL("col",Table_Customer_Data[[#Headers],[CardName]]))</f>
        <v>شركة الفياض للانارة والكهرباء - الملز</v>
      </c>
      <c r="D20" s="26" t="str">
        <f ca="1">IF(بيانات_العملاء4[[#This Row],[حد الائتمان على SAP]]&gt;0,"آجل","نقدى")</f>
        <v>آجل</v>
      </c>
      <c r="E20" s="6"/>
      <c r="F20" s="26" t="s">
        <v>370</v>
      </c>
      <c r="G20" s="26" t="s">
        <v>54</v>
      </c>
      <c r="H2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0" s="26" t="s">
        <v>56</v>
      </c>
      <c r="J20" s="9"/>
      <c r="K20" s="27"/>
      <c r="L20" s="19" t="str">
        <f ca="1">IF(AND(بيانات_العملاء4[[#This Row],[السجل التجارى]]="موجود",TODAY()+'Other Data'!$B$23&lt;J20,بيانات_العملاء4[[#This Row],[مطابقة اسم العميل بالاسم بالسجل التجارى]]="مطابق"), "سارى", "يجب اعادة طلبه")</f>
        <v>يجب اعادة طلبه</v>
      </c>
      <c r="M20" s="28" t="s">
        <v>54</v>
      </c>
      <c r="N20" s="13" t="str" cm="1">
        <f t="array" aca="1" ref="N20" ca="1">INDEX('SAP Customer Data '!A:Z,MATCH(بيانات_العملاء4[[#This Row],[رمز شريك الأعمال]],'SAP Customer Data '!B:B,0),CELL("col",Table_Customer_Data[[#Headers],[LicTradNum]]))</f>
        <v>301200478900003</v>
      </c>
      <c r="O2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0" s="26" t="s">
        <v>56</v>
      </c>
      <c r="Q20" s="9"/>
      <c r="R2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0" s="26" t="s">
        <v>369</v>
      </c>
      <c r="T20" s="10" cm="1">
        <f t="array" aca="1" ref="T20" ca="1">INDEX('SAP Customer Data '!$A:$AC,MATCH(بيانات_العملاء4[[#This Row],[رمز شريك الأعمال]],'SAP Customer Data '!$B:$B,0),CELL("col",Table_Customer_Data[[#Headers],[CreditLine]]))</f>
        <v>35000</v>
      </c>
      <c r="U20" s="11"/>
      <c r="V2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20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20" s="18" cm="1">
        <f t="array" aca="1" ref="X20" ca="1">INDEX('SAP Customer Data '!$A:$AC,MATCH(بيانات_العملاء4[[#This Row],[رمز شريك الأعمال]],'SAP Customer Data '!$B:$B,0),CELL("col",Table_Customer_Data[[#Headers],[CreditLine]]))</f>
        <v>35000</v>
      </c>
      <c r="Y2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0" s="26"/>
      <c r="AA2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20" s="26" t="s">
        <v>56</v>
      </c>
      <c r="AC20" s="16"/>
      <c r="AD2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0" s="26" t="s">
        <v>56</v>
      </c>
      <c r="AF20" s="16"/>
      <c r="AG2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0" s="26" t="s">
        <v>56</v>
      </c>
      <c r="AI20" s="6"/>
      <c r="AJ2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0" s="26"/>
      <c r="AL20" s="9"/>
      <c r="AM2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0" s="26" t="s">
        <v>56</v>
      </c>
      <c r="AO20" s="11"/>
      <c r="AP2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0" s="26" t="s">
        <v>56</v>
      </c>
      <c r="AR20" s="6"/>
      <c r="AS2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0" s="22" cm="1">
        <f t="array" aca="1" ref="AT20" ca="1">INDEX('SAP Customer Data '!A:Z,MATCH(بيانات_العملاء4[[#This Row],[رمز شريك الأعمال]],'SAP Customer Data '!B:B,0),CELL("col",Table_Customer_Data[[#Headers],[CreateDate]]))</f>
        <v>44616</v>
      </c>
      <c r="AU20" s="30"/>
      <c r="AV20" s="11"/>
      <c r="AW20" s="6" t="s">
        <v>845</v>
      </c>
      <c r="AX20" s="6">
        <v>140000</v>
      </c>
    </row>
    <row r="21" spans="1:50" x14ac:dyDescent="0.25">
      <c r="A21" s="17" t="str" cm="1">
        <f t="array" aca="1" ref="A21" ca="1">INDEX('SAP Customer Data '!$A:$AC,MATCH(بيانات_العملاء4[[#This Row],[رمز شريك الأعمال]],'SAP Customer Data '!$B:$B,0),CELL("col",Table_Customer_Data[[#Headers],[GroupName]]))</f>
        <v>CS03</v>
      </c>
      <c r="B21" s="8" t="s">
        <v>112</v>
      </c>
      <c r="C21" s="18" t="str" cm="1">
        <f t="array" aca="1" ref="C21" ca="1">INDEX('SAP Customer Data '!$A:$AC,MATCH(بيانات_العملاء4[[#This Row],[رمز شريك الأعمال]],'SAP Customer Data '!$B:$B,0),CELL("col",Table_Customer_Data[[#Headers],[CardName]]))</f>
        <v>شركة الفياض للانارة والكهرباء - الغرابي</v>
      </c>
      <c r="D21" s="26" t="str">
        <f ca="1">IF(بيانات_العملاء4[[#This Row],[حد الائتمان على SAP]]&gt;0,"آجل","نقدى")</f>
        <v>آجل</v>
      </c>
      <c r="E21" s="6"/>
      <c r="F21" s="26" t="s">
        <v>370</v>
      </c>
      <c r="G21" s="26" t="s">
        <v>54</v>
      </c>
      <c r="H2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1" s="26" t="s">
        <v>56</v>
      </c>
      <c r="J21" s="9"/>
      <c r="K21" s="27"/>
      <c r="L21" s="19" t="str">
        <f ca="1">IF(AND(بيانات_العملاء4[[#This Row],[السجل التجارى]]="موجود",TODAY()+'Other Data'!$B$23&lt;J21,بيانات_العملاء4[[#This Row],[مطابقة اسم العميل بالاسم بالسجل التجارى]]="مطابق"), "سارى", "يجب اعادة طلبه")</f>
        <v>يجب اعادة طلبه</v>
      </c>
      <c r="M21" s="28" t="s">
        <v>54</v>
      </c>
      <c r="N21" s="13" t="str" cm="1">
        <f t="array" aca="1" ref="N21" ca="1">INDEX('SAP Customer Data '!A:Z,MATCH(بيانات_العملاء4[[#This Row],[رمز شريك الأعمال]],'SAP Customer Data '!B:B,0),CELL("col",Table_Customer_Data[[#Headers],[LicTradNum]]))</f>
        <v>301200478900003</v>
      </c>
      <c r="O2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1" s="26" t="s">
        <v>56</v>
      </c>
      <c r="Q21" s="9"/>
      <c r="R2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1" s="26" t="s">
        <v>369</v>
      </c>
      <c r="T21" s="10" cm="1">
        <f t="array" aca="1" ref="T21" ca="1">INDEX('SAP Customer Data '!$A:$AC,MATCH(بيانات_العملاء4[[#This Row],[رمز شريك الأعمال]],'SAP Customer Data '!$B:$B,0),CELL("col",Table_Customer_Data[[#Headers],[CreditLine]]))</f>
        <v>35000</v>
      </c>
      <c r="U21" s="11"/>
      <c r="V21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21" s="21">
        <f ca="1"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21" s="18" cm="1">
        <f t="array" aca="1" ref="X21" ca="1">INDEX('SAP Customer Data '!$A:$AC,MATCH(بيانات_العملاء4[[#This Row],[رمز شريك الأعمال]],'SAP Customer Data '!$B:$B,0),CELL("col",Table_Customer_Data[[#Headers],[CreditLine]]))</f>
        <v>35000</v>
      </c>
      <c r="Y2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1" s="26"/>
      <c r="AA2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21" s="26" t="s">
        <v>56</v>
      </c>
      <c r="AC21" s="16"/>
      <c r="AD2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1" s="26" t="s">
        <v>56</v>
      </c>
      <c r="AF21" s="16"/>
      <c r="AG2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1" s="26" t="s">
        <v>56</v>
      </c>
      <c r="AI21" s="6"/>
      <c r="AJ2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1" s="26"/>
      <c r="AL21" s="9"/>
      <c r="AM2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1" s="26" t="s">
        <v>56</v>
      </c>
      <c r="AO21" s="11"/>
      <c r="AP2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1" s="26" t="s">
        <v>56</v>
      </c>
      <c r="AR21" s="6"/>
      <c r="AS2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1" s="22" cm="1">
        <f t="array" aca="1" ref="AT21" ca="1">INDEX('SAP Customer Data '!A:Z,MATCH(بيانات_العملاء4[[#This Row],[رمز شريك الأعمال]],'SAP Customer Data '!B:B,0),CELL("col",Table_Customer_Data[[#Headers],[CreateDate]]))</f>
        <v>44616</v>
      </c>
      <c r="AU21" s="30"/>
      <c r="AV21" s="11"/>
      <c r="AW21" s="6" t="s">
        <v>845</v>
      </c>
      <c r="AX21" s="6">
        <v>140000</v>
      </c>
    </row>
    <row r="22" spans="1:50" x14ac:dyDescent="0.25">
      <c r="A22" s="17" t="str" cm="1">
        <f t="array" aca="1" ref="A22" ca="1">INDEX('SAP Customer Data '!$A:$AC,MATCH(بيانات_العملاء4[[#This Row],[رمز شريك الأعمال]],'SAP Customer Data '!$B:$B,0),CELL("col",Table_Customer_Data[[#Headers],[GroupName]]))</f>
        <v>CS02</v>
      </c>
      <c r="B22" s="8" t="s">
        <v>266</v>
      </c>
      <c r="C22" s="18" t="str" cm="1">
        <f t="array" aca="1" ref="C22" ca="1">INDEX('SAP Customer Data '!$A:$AC,MATCH(بيانات_العملاء4[[#This Row],[رمز شريك الأعمال]],'SAP Customer Data '!$B:$B,0),CELL("col",Table_Customer_Data[[#Headers],[CardName]]))</f>
        <v>مؤسسة محمد عمر محمد الشريف للتجارة</v>
      </c>
      <c r="D22" s="26" t="str">
        <f ca="1">IF(بيانات_العملاء4[[#This Row],[حد الائتمان على SAP]]&gt;0,"آجل","نقدى")</f>
        <v>آجل</v>
      </c>
      <c r="E22" s="6" t="s">
        <v>381</v>
      </c>
      <c r="F22" s="26" t="s">
        <v>385</v>
      </c>
      <c r="G22" s="26" t="s">
        <v>54</v>
      </c>
      <c r="H2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2" s="26" t="s">
        <v>54</v>
      </c>
      <c r="J22" s="9">
        <v>44604</v>
      </c>
      <c r="K22" s="27" t="s">
        <v>55</v>
      </c>
      <c r="L22" s="19" t="str">
        <f ca="1">IF(AND(بيانات_العملاء4[[#This Row],[السجل التجارى]]="موجود",TODAY()+'Other Data'!$B$23&lt;J22,بيانات_العملاء4[[#This Row],[مطابقة اسم العميل بالاسم بالسجل التجارى]]="مطابق"), "سارى", "يجب اعادة طلبه")</f>
        <v>يجب اعادة طلبه</v>
      </c>
      <c r="M22" s="28" t="s">
        <v>54</v>
      </c>
      <c r="N22" s="13" t="str" cm="1">
        <f t="array" aca="1" ref="N22" ca="1">INDEX('SAP Customer Data '!A:Z,MATCH(بيانات_العملاء4[[#This Row],[رمز شريك الأعمال]],'SAP Customer Data '!B:B,0),CELL("col",Table_Customer_Data[[#Headers],[LicTradNum]]))</f>
        <v>310548352800003</v>
      </c>
      <c r="O2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2" s="26" t="s">
        <v>54</v>
      </c>
      <c r="Q22" s="9">
        <v>45236</v>
      </c>
      <c r="R2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22" s="26" t="s">
        <v>54</v>
      </c>
      <c r="T22" s="10">
        <v>100000</v>
      </c>
      <c r="U22" s="11">
        <v>44692</v>
      </c>
      <c r="V22" s="20">
        <f>IF(بيانات_العملاء4[[#This Row],[تاريخ انشاء سند الامر او الاستثناء]]="","",بيانات_العملاء4[[#This Row],[تاريخ انشاء سند الامر او الاستثناء]]+365*3)</f>
        <v>45787</v>
      </c>
      <c r="W2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22" s="18" cm="1">
        <f t="array" aca="1" ref="X22" ca="1">INDEX('SAP Customer Data '!$A:$AC,MATCH(بيانات_العملاء4[[#This Row],[رمز شريك الأعمال]],'SAP Customer Data '!$B:$B,0),CELL("col",Table_Customer_Data[[#Headers],[CreditLine]]))</f>
        <v>50000</v>
      </c>
      <c r="Y2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2" s="26" t="s">
        <v>55</v>
      </c>
      <c r="AA2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22" s="26" t="s">
        <v>54</v>
      </c>
      <c r="AC22" s="16">
        <v>47023</v>
      </c>
      <c r="AD2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22" s="26" t="s">
        <v>54</v>
      </c>
      <c r="AF22" s="16">
        <v>47023</v>
      </c>
      <c r="AG2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22" s="26" t="s">
        <v>54</v>
      </c>
      <c r="AI22" s="6"/>
      <c r="AJ2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2" s="26" t="s">
        <v>54</v>
      </c>
      <c r="AL22" s="9">
        <v>46277</v>
      </c>
      <c r="AM2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سارى</v>
      </c>
      <c r="AN22" s="26" t="s">
        <v>54</v>
      </c>
      <c r="AO22" s="11">
        <v>44793</v>
      </c>
      <c r="AP2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2" s="26" t="s">
        <v>56</v>
      </c>
      <c r="AR22" s="6"/>
      <c r="AS2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2" s="22" cm="1">
        <f t="array" aca="1" ref="AT22" ca="1">INDEX('SAP Customer Data '!A:Z,MATCH(بيانات_العملاء4[[#This Row],[رمز شريك الأعمال]],'SAP Customer Data '!B:B,0),CELL("col",Table_Customer_Data[[#Headers],[CreateDate]]))</f>
        <v>44723</v>
      </c>
      <c r="AU22" s="30"/>
      <c r="AV22" s="11" t="s">
        <v>382</v>
      </c>
      <c r="AW22" s="6" t="s">
        <v>846</v>
      </c>
      <c r="AX22" s="6">
        <v>100000</v>
      </c>
    </row>
    <row r="23" spans="1:50" x14ac:dyDescent="0.25">
      <c r="A23" s="17" t="str" cm="1">
        <f t="array" aca="1" ref="A23" ca="1">INDEX('SAP Customer Data '!$A:$AC,MATCH(بيانات_العملاء4[[#This Row],[رمز شريك الأعمال]],'SAP Customer Data '!$B:$B,0),CELL("col",Table_Customer_Data[[#Headers],[GroupName]]))</f>
        <v>CS02</v>
      </c>
      <c r="B23" s="8" t="s">
        <v>268</v>
      </c>
      <c r="C23" s="18" t="str" cm="1">
        <f t="array" aca="1" ref="C23" ca="1">INDEX('SAP Customer Data '!$A:$AC,MATCH(بيانات_العملاء4[[#This Row],[رمز شريك الأعمال]],'SAP Customer Data '!$B:$B,0),CELL("col",Table_Customer_Data[[#Headers],[CardName]]))</f>
        <v>مؤسسة</v>
      </c>
      <c r="D23" s="26"/>
      <c r="E23" s="6"/>
      <c r="F23" s="26"/>
      <c r="G23" s="26"/>
      <c r="H23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23" s="26"/>
      <c r="J23" s="9"/>
      <c r="K23" s="27"/>
      <c r="L23" s="19" t="str">
        <f ca="1">IF(AND(بيانات_العملاء4[[#This Row],[السجل التجارى]]="موجود",TODAY()+'Other Data'!$B$23&lt;J23,بيانات_العملاء4[[#This Row],[مطابقة اسم العميل بالاسم بالسجل التجارى]]="مطابق"), "سارى", "يجب اعادة طلبه")</f>
        <v>يجب اعادة طلبه</v>
      </c>
      <c r="M23" s="28"/>
      <c r="N23" s="13" cm="1">
        <f t="array" aca="1" ref="N23" ca="1">INDEX('SAP Customer Data '!A:Z,MATCH(بيانات_العملاء4[[#This Row],[رمز شريك الأعمال]],'SAP Customer Data '!B:B,0),CELL("col",Table_Customer_Data[[#Headers],[LicTradNum]]))</f>
        <v>0</v>
      </c>
      <c r="O2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23" s="26"/>
      <c r="Q23" s="9"/>
      <c r="R2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3" s="26"/>
      <c r="T23" s="10"/>
      <c r="U23" s="11"/>
      <c r="V23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2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23" s="18"/>
      <c r="Y23" s="19" t="str">
        <f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3" s="26"/>
      <c r="AA2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23" s="26"/>
      <c r="AC23" s="16"/>
      <c r="AD2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3" s="26"/>
      <c r="AF23" s="16"/>
      <c r="AG2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3" s="26"/>
      <c r="AI23" s="6"/>
      <c r="AJ2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3" s="26"/>
      <c r="AL23" s="9"/>
      <c r="AM2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3" s="26"/>
      <c r="AO23" s="11"/>
      <c r="AP2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3" s="26"/>
      <c r="AR23" s="6"/>
      <c r="AS2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3" s="22"/>
      <c r="AU23" s="30"/>
      <c r="AV23" s="11" t="s">
        <v>911</v>
      </c>
      <c r="AW23" s="6"/>
      <c r="AX23" s="6"/>
    </row>
    <row r="24" spans="1:50" x14ac:dyDescent="0.25">
      <c r="A24" s="17" t="str" cm="1">
        <f t="array" aca="1" ref="A24" ca="1">INDEX('SAP Customer Data '!$A:$AC,MATCH(بيانات_العملاء4[[#This Row],[رمز شريك الأعمال]],'SAP Customer Data '!$B:$B,0),CELL("col",Table_Customer_Data[[#Headers],[GroupName]]))</f>
        <v>CS03</v>
      </c>
      <c r="B24" s="8" t="s">
        <v>90</v>
      </c>
      <c r="C24" s="18" t="str" cm="1">
        <f t="array" aca="1" ref="C24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 -فرع المشاريع</v>
      </c>
      <c r="D24" s="26" t="str">
        <f ca="1">IF(بيانات_العملاء4[[#This Row],[حد الائتمان على SAP]]&gt;0,"آجل","نقدى")</f>
        <v>آجل</v>
      </c>
      <c r="E24" s="6"/>
      <c r="F24" s="26" t="s">
        <v>370</v>
      </c>
      <c r="G24" s="26" t="s">
        <v>54</v>
      </c>
      <c r="H24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4" s="26" t="s">
        <v>56</v>
      </c>
      <c r="J24" s="9"/>
      <c r="K24" s="27"/>
      <c r="L24" s="19" t="str">
        <f ca="1">IF(AND(بيانات_العملاء4[[#This Row],[السجل التجارى]]="موجود",TODAY()+'Other Data'!$B$23&lt;J24,بيانات_العملاء4[[#This Row],[مطابقة اسم العميل بالاسم بالسجل التجارى]]="مطابق"), "سارى", "يجب اعادة طلبه")</f>
        <v>يجب اعادة طلبه</v>
      </c>
      <c r="M24" s="28" t="s">
        <v>54</v>
      </c>
      <c r="N24" s="13" t="str" cm="1">
        <f t="array" aca="1" ref="N24" ca="1">INDEX('SAP Customer Data '!A:Z,MATCH(بيانات_العملاء4[[#This Row],[رمز شريك الأعمال]],'SAP Customer Data '!B:B,0),CELL("col",Table_Customer_Data[[#Headers],[LicTradNum]]))</f>
        <v>310828791200003</v>
      </c>
      <c r="O2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4" s="26" t="s">
        <v>56</v>
      </c>
      <c r="Q24" s="9"/>
      <c r="R2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4" s="26" t="s">
        <v>54</v>
      </c>
      <c r="T24" s="10">
        <v>50000</v>
      </c>
      <c r="U24" s="11">
        <v>44636</v>
      </c>
      <c r="V24" s="20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4" s="18" cm="1">
        <f t="array" aca="1" ref="X24" ca="1">INDEX('SAP Customer Data '!$A:$AC,MATCH(بيانات_العملاء4[[#This Row],[رمز شريك الأعمال]],'SAP Customer Data '!$B:$B,0),CELL("col",Table_Customer_Data[[#Headers],[CreditLine]]))</f>
        <v>150000</v>
      </c>
      <c r="Y2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4" s="26" t="s">
        <v>55</v>
      </c>
      <c r="AA2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24" s="26" t="s">
        <v>56</v>
      </c>
      <c r="AC24" s="16"/>
      <c r="AD2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4" s="26" t="s">
        <v>56</v>
      </c>
      <c r="AF24" s="16"/>
      <c r="AG2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4" s="26" t="s">
        <v>56</v>
      </c>
      <c r="AI24" s="6"/>
      <c r="AJ2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4" s="26"/>
      <c r="AL24" s="9"/>
      <c r="AM2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4" s="26" t="s">
        <v>56</v>
      </c>
      <c r="AO24" s="11"/>
      <c r="AP2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4" s="26" t="s">
        <v>56</v>
      </c>
      <c r="AR24" s="6"/>
      <c r="AS2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4" s="22" cm="1">
        <f t="array" aca="1" ref="AT24" ca="1">INDEX('SAP Customer Data '!A:Z,MATCH(بيانات_العملاء4[[#This Row],[رمز شريك الأعمال]],'SAP Customer Data '!B:B,0),CELL("col",Table_Customer_Data[[#Headers],[CreateDate]]))</f>
        <v>44580</v>
      </c>
      <c r="AU24" s="30"/>
      <c r="AV24" s="11" t="s">
        <v>912</v>
      </c>
      <c r="AW24" s="6" t="s">
        <v>845</v>
      </c>
      <c r="AX24" s="6"/>
    </row>
    <row r="25" spans="1:50" x14ac:dyDescent="0.25">
      <c r="A25" s="17" t="str" cm="1">
        <f t="array" aca="1" ref="A25" ca="1">INDEX('SAP Customer Data '!$A:$AC,MATCH(بيانات_العملاء4[[#This Row],[رمز شريك الأعمال]],'SAP Customer Data '!$B:$B,0),CELL("col",Table_Customer_Data[[#Headers],[GroupName]]))</f>
        <v>CS03</v>
      </c>
      <c r="B25" s="8" t="s">
        <v>125</v>
      </c>
      <c r="C25" s="18" t="str" cm="1">
        <f t="array" aca="1" ref="C25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للتجارة/النرجس</v>
      </c>
      <c r="D25" s="26" t="str">
        <f ca="1">IF(بيانات_العملاء4[[#This Row],[حد الائتمان على SAP]]&gt;0,"آجل","نقدى")</f>
        <v>آجل</v>
      </c>
      <c r="E25" s="6"/>
      <c r="F25" s="26" t="s">
        <v>370</v>
      </c>
      <c r="G25" s="26" t="s">
        <v>54</v>
      </c>
      <c r="H2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5" s="26" t="s">
        <v>56</v>
      </c>
      <c r="J25" s="9"/>
      <c r="K25" s="27"/>
      <c r="L25" s="19" t="str">
        <f ca="1">IF(AND(بيانات_العملاء4[[#This Row],[السجل التجارى]]="موجود",TODAY()+'Other Data'!$B$23&lt;J25,بيانات_العملاء4[[#This Row],[مطابقة اسم العميل بالاسم بالسجل التجارى]]="مطابق"), "سارى", "يجب اعادة طلبه")</f>
        <v>يجب اعادة طلبه</v>
      </c>
      <c r="M25" s="28" t="s">
        <v>54</v>
      </c>
      <c r="N25" s="13" t="str" cm="1">
        <f t="array" aca="1" ref="N25" ca="1">INDEX('SAP Customer Data '!A:Z,MATCH(بيانات_العملاء4[[#This Row],[رمز شريك الأعمال]],'SAP Customer Data '!B:B,0),CELL("col",Table_Customer_Data[[#Headers],[LicTradNum]]))</f>
        <v>310828791200003</v>
      </c>
      <c r="O2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5" s="26" t="s">
        <v>56</v>
      </c>
      <c r="Q25" s="9"/>
      <c r="R2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5" s="26" t="s">
        <v>54</v>
      </c>
      <c r="T25" s="10">
        <v>50000</v>
      </c>
      <c r="U25" s="11">
        <v>44636</v>
      </c>
      <c r="V25" s="20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5" s="18" cm="1">
        <f t="array" aca="1" ref="X25" ca="1">INDEX('SAP Customer Data '!$A:$AC,MATCH(بيانات_العملاء4[[#This Row],[رمز شريك الأعمال]],'SAP Customer Data '!$B:$B,0),CELL("col",Table_Customer_Data[[#Headers],[CreditLine]]))</f>
        <v>75000</v>
      </c>
      <c r="Y2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5" s="26" t="s">
        <v>55</v>
      </c>
      <c r="AA2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25" s="26" t="s">
        <v>56</v>
      </c>
      <c r="AC25" s="16"/>
      <c r="AD2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5" s="26" t="s">
        <v>56</v>
      </c>
      <c r="AF25" s="16"/>
      <c r="AG2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5" s="26" t="s">
        <v>56</v>
      </c>
      <c r="AI25" s="6"/>
      <c r="AJ2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5" s="26"/>
      <c r="AL25" s="9"/>
      <c r="AM2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5" s="26" t="s">
        <v>56</v>
      </c>
      <c r="AO25" s="11"/>
      <c r="AP2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5" s="26" t="s">
        <v>56</v>
      </c>
      <c r="AR25" s="6"/>
      <c r="AS2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5" s="22" cm="1">
        <f t="array" aca="1" ref="AT25" ca="1">INDEX('SAP Customer Data '!A:Z,MATCH(بيانات_العملاء4[[#This Row],[رمز شريك الأعمال]],'SAP Customer Data '!B:B,0),CELL("col",Table_Customer_Data[[#Headers],[CreateDate]]))</f>
        <v>44636</v>
      </c>
      <c r="AU25" s="30"/>
      <c r="AV25" s="11" t="s">
        <v>912</v>
      </c>
      <c r="AW25" s="6" t="s">
        <v>845</v>
      </c>
      <c r="AX25" s="6"/>
    </row>
    <row r="26" spans="1:50" x14ac:dyDescent="0.25">
      <c r="A26" s="17" t="str" cm="1">
        <f t="array" aca="1" ref="A26" ca="1">INDEX('SAP Customer Data '!$A:$AC,MATCH(بيانات_العملاء4[[#This Row],[رمز شريك الأعمال]],'SAP Customer Data '!$B:$B,0),CELL("col",Table_Customer_Data[[#Headers],[GroupName]]))</f>
        <v>CS09</v>
      </c>
      <c r="B26" s="8" t="s">
        <v>131</v>
      </c>
      <c r="C26" s="18" t="str" cm="1">
        <f t="array" aca="1" ref="C26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للتجارة-الصحافة 1</v>
      </c>
      <c r="D26" s="26" t="str">
        <f ca="1">IF(بيانات_العملاء4[[#This Row],[حد الائتمان على SAP]]&gt;0,"آجل","نقدى")</f>
        <v>آجل</v>
      </c>
      <c r="E26" s="6"/>
      <c r="F26" s="26" t="s">
        <v>370</v>
      </c>
      <c r="G26" s="26" t="s">
        <v>54</v>
      </c>
      <c r="H2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6" s="26" t="s">
        <v>54</v>
      </c>
      <c r="J26" s="9">
        <v>46272</v>
      </c>
      <c r="K26" s="27" t="s">
        <v>55</v>
      </c>
      <c r="L26" s="19" t="str">
        <f ca="1">IF(AND(بيانات_العملاء4[[#This Row],[السجل التجارى]]="موجود",TODAY()+'Other Data'!$B$23&lt;J26,بيانات_العملاء4[[#This Row],[مطابقة اسم العميل بالاسم بالسجل التجارى]]="مطابق"), "سارى", "يجب اعادة طلبه")</f>
        <v>سارى</v>
      </c>
      <c r="M26" s="28" t="s">
        <v>54</v>
      </c>
      <c r="N26" s="13" t="str" cm="1">
        <f t="array" aca="1" ref="N26" ca="1">INDEX('SAP Customer Data '!A:Z,MATCH(بيانات_العملاء4[[#This Row],[رمز شريك الأعمال]],'SAP Customer Data '!B:B,0),CELL("col",Table_Customer_Data[[#Headers],[LicTradNum]]))</f>
        <v>310828791200003</v>
      </c>
      <c r="O2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6" s="26" t="s">
        <v>54</v>
      </c>
      <c r="Q26" s="9">
        <v>45004</v>
      </c>
      <c r="R2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6" s="26" t="s">
        <v>54</v>
      </c>
      <c r="T26" s="10">
        <v>50000</v>
      </c>
      <c r="U26" s="11">
        <v>44636</v>
      </c>
      <c r="V26" s="20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6" s="18" cm="1">
        <f t="array" aca="1" ref="X26" ca="1">INDEX('SAP Customer Data '!$A:$AC,MATCH(بيانات_العملاء4[[#This Row],[رمز شريك الأعمال]],'SAP Customer Data '!$B:$B,0),CELL("col",Table_Customer_Data[[#Headers],[CreditLine]]))</f>
        <v>150000</v>
      </c>
      <c r="Y2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6" s="26" t="s">
        <v>55</v>
      </c>
      <c r="AA2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26" s="26" t="s">
        <v>56</v>
      </c>
      <c r="AC26" s="16"/>
      <c r="AD2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6" s="26" t="s">
        <v>56</v>
      </c>
      <c r="AF26" s="16"/>
      <c r="AG2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6" s="26" t="s">
        <v>56</v>
      </c>
      <c r="AI26" s="6"/>
      <c r="AJ2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6" s="26"/>
      <c r="AL26" s="9"/>
      <c r="AM2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6" s="26" t="s">
        <v>54</v>
      </c>
      <c r="AO26" s="11"/>
      <c r="AP2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6" s="26" t="s">
        <v>56</v>
      </c>
      <c r="AR26" s="6"/>
      <c r="AS2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6" s="22" cm="1">
        <f t="array" aca="1" ref="AT26" ca="1">INDEX('SAP Customer Data '!A:Z,MATCH(بيانات_العملاء4[[#This Row],[رمز شريك الأعمال]],'SAP Customer Data '!B:B,0),CELL("col",Table_Customer_Data[[#Headers],[CreateDate]]))</f>
        <v>44644</v>
      </c>
      <c r="AU26" s="30"/>
      <c r="AV26" s="11" t="s">
        <v>912</v>
      </c>
      <c r="AW26" s="6" t="s">
        <v>845</v>
      </c>
      <c r="AX26" s="6"/>
    </row>
    <row r="27" spans="1:50" x14ac:dyDescent="0.25">
      <c r="A27" s="17" t="str" cm="1">
        <f t="array" aca="1" ref="A27" ca="1">INDEX('SAP Customer Data '!$A:$AC,MATCH(بيانات_العملاء4[[#This Row],[رمز شريك الأعمال]],'SAP Customer Data '!$B:$B,0),CELL("col",Table_Customer_Data[[#Headers],[GroupName]]))</f>
        <v>CS09</v>
      </c>
      <c r="B27" s="8" t="s">
        <v>133</v>
      </c>
      <c r="C27" s="18" t="str" cm="1">
        <f t="array" aca="1" ref="C27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للتجارة-الصحافة 2</v>
      </c>
      <c r="D27" s="26" t="str">
        <f ca="1">IF(بيانات_العملاء4[[#This Row],[حد الائتمان على SAP]]&gt;0,"آجل","نقدى")</f>
        <v>آجل</v>
      </c>
      <c r="E27" s="6"/>
      <c r="F27" s="26" t="s">
        <v>370</v>
      </c>
      <c r="G27" s="26" t="s">
        <v>54</v>
      </c>
      <c r="H2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7" s="26" t="s">
        <v>54</v>
      </c>
      <c r="J27" s="9">
        <v>46272</v>
      </c>
      <c r="K27" s="27" t="s">
        <v>55</v>
      </c>
      <c r="L27" s="19" t="str">
        <f ca="1">IF(AND(بيانات_العملاء4[[#This Row],[السجل التجارى]]="موجود",TODAY()+'Other Data'!$B$23&lt;J27,بيانات_العملاء4[[#This Row],[مطابقة اسم العميل بالاسم بالسجل التجارى]]="مطابق"), "سارى", "يجب اعادة طلبه")</f>
        <v>سارى</v>
      </c>
      <c r="M27" s="28" t="s">
        <v>54</v>
      </c>
      <c r="N27" s="13" t="str" cm="1">
        <f t="array" aca="1" ref="N27" ca="1">INDEX('SAP Customer Data '!A:Z,MATCH(بيانات_العملاء4[[#This Row],[رمز شريك الأعمال]],'SAP Customer Data '!B:B,0),CELL("col",Table_Customer_Data[[#Headers],[LicTradNum]]))</f>
        <v>310828791200003</v>
      </c>
      <c r="O2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7" s="26" t="s">
        <v>54</v>
      </c>
      <c r="Q27" s="9">
        <v>45004</v>
      </c>
      <c r="R2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7" s="26" t="s">
        <v>54</v>
      </c>
      <c r="T27" s="10">
        <v>50000</v>
      </c>
      <c r="U27" s="11">
        <v>44636</v>
      </c>
      <c r="V27" s="20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7" s="18" cm="1">
        <f t="array" aca="1" ref="X27" ca="1">INDEX('SAP Customer Data '!$A:$AC,MATCH(بيانات_العملاء4[[#This Row],[رمز شريك الأعمال]],'SAP Customer Data '!$B:$B,0),CELL("col",Table_Customer_Data[[#Headers],[CreditLine]]))</f>
        <v>150000</v>
      </c>
      <c r="Y2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7" s="26" t="s">
        <v>55</v>
      </c>
      <c r="AA2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27" s="26" t="s">
        <v>56</v>
      </c>
      <c r="AC27" s="16"/>
      <c r="AD2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7" s="26" t="s">
        <v>56</v>
      </c>
      <c r="AF27" s="16"/>
      <c r="AG2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7" s="26" t="s">
        <v>56</v>
      </c>
      <c r="AI27" s="6"/>
      <c r="AJ2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7" s="26"/>
      <c r="AL27" s="9"/>
      <c r="AM2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7" s="26" t="s">
        <v>54</v>
      </c>
      <c r="AO27" s="11"/>
      <c r="AP2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7" s="26" t="s">
        <v>56</v>
      </c>
      <c r="AR27" s="6"/>
      <c r="AS2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7" s="22" cm="1">
        <f t="array" aca="1" ref="AT27" ca="1">INDEX('SAP Customer Data '!A:Z,MATCH(بيانات_العملاء4[[#This Row],[رمز شريك الأعمال]],'SAP Customer Data '!B:B,0),CELL("col",Table_Customer_Data[[#Headers],[CreateDate]]))</f>
        <v>44647</v>
      </c>
      <c r="AU27" s="30"/>
      <c r="AV27" s="11" t="s">
        <v>912</v>
      </c>
      <c r="AW27" s="6" t="s">
        <v>845</v>
      </c>
      <c r="AX27" s="6"/>
    </row>
    <row r="28" spans="1:50" x14ac:dyDescent="0.25">
      <c r="A28" s="17" t="str" cm="1">
        <f t="array" aca="1" ref="A28" ca="1">INDEX('SAP Customer Data '!$A:$AC,MATCH(بيانات_العملاء4[[#This Row],[رمز شريك الأعمال]],'SAP Customer Data '!$B:$B,0),CELL("col",Table_Customer_Data[[#Headers],[GroupName]]))</f>
        <v>CS03</v>
      </c>
      <c r="B28" s="8" t="s">
        <v>135</v>
      </c>
      <c r="C28" s="18" t="str" cm="1">
        <f t="array" aca="1" ref="C28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للتجارة-العارض</v>
      </c>
      <c r="D28" s="26" t="str">
        <f ca="1">IF(بيانات_العملاء4[[#This Row],[حد الائتمان على SAP]]&gt;0,"آجل","نقدى")</f>
        <v>آجل</v>
      </c>
      <c r="E28" s="6"/>
      <c r="F28" s="26" t="s">
        <v>370</v>
      </c>
      <c r="G28" s="26" t="s">
        <v>54</v>
      </c>
      <c r="H2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8" s="26" t="s">
        <v>56</v>
      </c>
      <c r="J28" s="9"/>
      <c r="K28" s="27"/>
      <c r="L28" s="19" t="str">
        <f ca="1">IF(AND(بيانات_العملاء4[[#This Row],[السجل التجارى]]="موجود",TODAY()+'Other Data'!$B$23&lt;J28,بيانات_العملاء4[[#This Row],[مطابقة اسم العميل بالاسم بالسجل التجارى]]="مطابق"), "سارى", "يجب اعادة طلبه")</f>
        <v>يجب اعادة طلبه</v>
      </c>
      <c r="M28" s="28" t="s">
        <v>54</v>
      </c>
      <c r="N28" s="13" t="str" cm="1">
        <f t="array" aca="1" ref="N28" ca="1">INDEX('SAP Customer Data '!A:Z,MATCH(بيانات_العملاء4[[#This Row],[رمز شريك الأعمال]],'SAP Customer Data '!B:B,0),CELL("col",Table_Customer_Data[[#Headers],[LicTradNum]]))</f>
        <v>310828791200003</v>
      </c>
      <c r="O2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8" s="26" t="s">
        <v>56</v>
      </c>
      <c r="Q28" s="9"/>
      <c r="R2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8" s="26" t="s">
        <v>54</v>
      </c>
      <c r="T28" s="10">
        <v>50000</v>
      </c>
      <c r="U28" s="11">
        <v>44636</v>
      </c>
      <c r="V28" s="20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8" s="18" cm="1">
        <f t="array" aca="1" ref="X28" ca="1">INDEX('SAP Customer Data '!$A:$AC,MATCH(بيانات_العملاء4[[#This Row],[رمز شريك الأعمال]],'SAP Customer Data '!$B:$B,0),CELL("col",Table_Customer_Data[[#Headers],[CreditLine]]))</f>
        <v>150000</v>
      </c>
      <c r="Y2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8" s="26" t="s">
        <v>55</v>
      </c>
      <c r="AA2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28" s="26" t="s">
        <v>56</v>
      </c>
      <c r="AC28" s="16"/>
      <c r="AD2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8" s="26" t="s">
        <v>56</v>
      </c>
      <c r="AF28" s="16"/>
      <c r="AG2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8" s="26" t="s">
        <v>56</v>
      </c>
      <c r="AI28" s="6"/>
      <c r="AJ2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8" s="26"/>
      <c r="AL28" s="9"/>
      <c r="AM2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8" s="26" t="s">
        <v>56</v>
      </c>
      <c r="AO28" s="11"/>
      <c r="AP2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8" s="26" t="s">
        <v>56</v>
      </c>
      <c r="AR28" s="6"/>
      <c r="AS2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8" s="22" cm="1">
        <f t="array" aca="1" ref="AT28" ca="1">INDEX('SAP Customer Data '!A:Z,MATCH(بيانات_العملاء4[[#This Row],[رمز شريك الأعمال]],'SAP Customer Data '!B:B,0),CELL("col",Table_Customer_Data[[#Headers],[CreateDate]]))</f>
        <v>44647</v>
      </c>
      <c r="AU28" s="30"/>
      <c r="AV28" s="11" t="s">
        <v>912</v>
      </c>
      <c r="AW28" s="6" t="s">
        <v>845</v>
      </c>
      <c r="AX28" s="6"/>
    </row>
    <row r="29" spans="1:50" x14ac:dyDescent="0.25">
      <c r="A29" s="17" t="str" cm="1">
        <f t="array" aca="1" ref="A29" ca="1">INDEX('SAP Customer Data '!$A:$AC,MATCH(بيانات_العملاء4[[#This Row],[رمز شريك الأعمال]],'SAP Customer Data '!$B:$B,0),CELL("col",Table_Customer_Data[[#Headers],[GroupName]]))</f>
        <v>CS02</v>
      </c>
      <c r="B29" s="8" t="s">
        <v>256</v>
      </c>
      <c r="C29" s="18" t="str" cm="1">
        <f t="array" aca="1" ref="C29" ca="1">INDEX('SAP Customer Data '!$A:$AC,MATCH(بيانات_العملاء4[[#This Row],[رمز شريك الأعمال]],'SAP Customer Data '!$B:$B,0),CELL("col",Table_Customer_Data[[#Headers],[CardName]]))</f>
        <v>شركة محفوظ المتحدة للتجارة- فرع جيزان</v>
      </c>
      <c r="D29" s="26" t="str">
        <f ca="1">IF(بيانات_العملاء4[[#This Row],[حد الائتمان على SAP]]&gt;0,"آجل","نقدى")</f>
        <v>آجل</v>
      </c>
      <c r="E29" s="6"/>
      <c r="F29" s="26" t="s">
        <v>330</v>
      </c>
      <c r="G29" s="26" t="s">
        <v>54</v>
      </c>
      <c r="H2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9" s="26" t="s">
        <v>54</v>
      </c>
      <c r="J29" s="9">
        <v>44757</v>
      </c>
      <c r="K29" s="27" t="s">
        <v>55</v>
      </c>
      <c r="L29" s="19" t="str">
        <f ca="1">IF(AND(بيانات_العملاء4[[#This Row],[السجل التجارى]]="موجود",TODAY()+'Other Data'!$B$23&lt;J29,بيانات_العملاء4[[#This Row],[مطابقة اسم العميل بالاسم بالسجل التجارى]]="مطابق"), "سارى", "يجب اعادة طلبه")</f>
        <v>يجب اعادة طلبه</v>
      </c>
      <c r="M29" s="28" t="s">
        <v>54</v>
      </c>
      <c r="N29" s="13" t="str" cm="1">
        <f t="array" aca="1" ref="N29" ca="1">INDEX('SAP Customer Data '!A:Z,MATCH(بيانات_العملاء4[[#This Row],[رمز شريك الأعمال]],'SAP Customer Data '!B:B,0),CELL("col",Table_Customer_Data[[#Headers],[LicTradNum]]))</f>
        <v>311030439900003</v>
      </c>
      <c r="O2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9" s="26" t="s">
        <v>54</v>
      </c>
      <c r="Q29" s="9">
        <v>44789</v>
      </c>
      <c r="R2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9" s="26" t="s">
        <v>54</v>
      </c>
      <c r="T29" s="10">
        <v>200000</v>
      </c>
      <c r="U29" s="11">
        <v>44776</v>
      </c>
      <c r="V29" s="20">
        <f>IF(بيانات_العملاء4[[#This Row],[تاريخ انشاء سند الامر او الاستثناء]]="","",بيانات_العملاء4[[#This Row],[تاريخ انشاء سند الامر او الاستثناء]]+365*3)</f>
        <v>45871</v>
      </c>
      <c r="W2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29" s="18" cm="1">
        <f t="array" aca="1" ref="X29" ca="1">INDEX('SAP Customer Data '!$A:$AC,MATCH(بيانات_العملاء4[[#This Row],[رمز شريك الأعمال]],'SAP Customer Data '!$B:$B,0),CELL("col",Table_Customer_Data[[#Headers],[CreditLine]]))</f>
        <v>100000</v>
      </c>
      <c r="Y2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9" s="26" t="s">
        <v>55</v>
      </c>
      <c r="AA2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29" s="26" t="s">
        <v>56</v>
      </c>
      <c r="AC29" s="16"/>
      <c r="AD2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9" s="26" t="s">
        <v>54</v>
      </c>
      <c r="AF29" s="16"/>
      <c r="AG2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9" s="26" t="s">
        <v>54</v>
      </c>
      <c r="AI29" s="6">
        <v>46820</v>
      </c>
      <c r="AJ2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29" s="26" t="s">
        <v>54</v>
      </c>
      <c r="AL29" s="9"/>
      <c r="AM2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9" s="26" t="s">
        <v>54</v>
      </c>
      <c r="AO29" s="11">
        <v>44709</v>
      </c>
      <c r="AP2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9" s="26" t="s">
        <v>56</v>
      </c>
      <c r="AR29" s="6"/>
      <c r="AS2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9" s="22" cm="1">
        <f t="array" aca="1" ref="AT29" ca="1">INDEX('SAP Customer Data '!A:Z,MATCH(بيانات_العملاء4[[#This Row],[رمز شريك الأعمال]],'SAP Customer Data '!B:B,0),CELL("col",Table_Customer_Data[[#Headers],[CreateDate]]))</f>
        <v>44635</v>
      </c>
      <c r="AU29" s="30"/>
      <c r="AV29" s="11"/>
      <c r="AW29" s="6" t="s">
        <v>845</v>
      </c>
      <c r="AX29" s="6">
        <v>1200000</v>
      </c>
    </row>
    <row r="30" spans="1:50" x14ac:dyDescent="0.25">
      <c r="A30" s="17" t="str" cm="1">
        <f t="array" aca="1" ref="A30" ca="1">INDEX('SAP Customer Data '!$A:$AC,MATCH(بيانات_العملاء4[[#This Row],[رمز شريك الأعمال]],'SAP Customer Data '!$B:$B,0),CELL("col",Table_Customer_Data[[#Headers],[GroupName]]))</f>
        <v>CS02</v>
      </c>
      <c r="B30" s="8" t="s">
        <v>278</v>
      </c>
      <c r="C30" s="18" t="str" cm="1">
        <f t="array" aca="1" ref="C30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أبو عريش</v>
      </c>
      <c r="D30" s="26" t="str">
        <f ca="1">IF(بيانات_العملاء4[[#This Row],[حد الائتمان على SAP]]&gt;0,"آجل","نقدى")</f>
        <v>آجل</v>
      </c>
      <c r="E30" s="6"/>
      <c r="F30" s="26" t="s">
        <v>330</v>
      </c>
      <c r="G30" s="26" t="s">
        <v>54</v>
      </c>
      <c r="H3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0" s="26" t="s">
        <v>56</v>
      </c>
      <c r="J30" s="9"/>
      <c r="K30" s="27"/>
      <c r="L30" s="19" t="str">
        <f ca="1">IF(AND(بيانات_العملاء4[[#This Row],[السجل التجارى]]="موجود",TODAY()+'Other Data'!$B$23&lt;J30,بيانات_العملاء4[[#This Row],[مطابقة اسم العميل بالاسم بالسجل التجارى]]="مطابق"), "سارى", "يجب اعادة طلبه")</f>
        <v>يجب اعادة طلبه</v>
      </c>
      <c r="M30" s="28" t="s">
        <v>54</v>
      </c>
      <c r="N30" s="13" t="str" cm="1">
        <f t="array" aca="1" ref="N30" ca="1">INDEX('SAP Customer Data '!A:Z,MATCH(بيانات_العملاء4[[#This Row],[رمز شريك الأعمال]],'SAP Customer Data '!B:B,0),CELL("col",Table_Customer_Data[[#Headers],[LicTradNum]]))</f>
        <v>311030439900003</v>
      </c>
      <c r="O3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0" s="26" t="s">
        <v>56</v>
      </c>
      <c r="Q30" s="9"/>
      <c r="R3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0" s="26" t="s">
        <v>54</v>
      </c>
      <c r="T30" s="10">
        <v>200000</v>
      </c>
      <c r="U30" s="11">
        <v>44776</v>
      </c>
      <c r="V30" s="20">
        <f>IF(بيانات_العملاء4[[#This Row],[تاريخ انشاء سند الامر او الاستثناء]]="","",بيانات_العملاء4[[#This Row],[تاريخ انشاء سند الامر او الاستثناء]]+365*3)</f>
        <v>45871</v>
      </c>
      <c r="W3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30" s="18" cm="1">
        <f t="array" aca="1" ref="X30" ca="1">INDEX('SAP Customer Data '!$A:$AC,MATCH(بيانات_العملاء4[[#This Row],[رمز شريك الأعمال]],'SAP Customer Data '!$B:$B,0),CELL("col",Table_Customer_Data[[#Headers],[CreditLine]]))</f>
        <v>100000</v>
      </c>
      <c r="Y3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0" s="26" t="s">
        <v>55</v>
      </c>
      <c r="AA3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30" s="26" t="s">
        <v>56</v>
      </c>
      <c r="AC30" s="16"/>
      <c r="AD3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0" s="26" t="s">
        <v>54</v>
      </c>
      <c r="AF30" s="16"/>
      <c r="AG3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0" s="26" t="s">
        <v>54</v>
      </c>
      <c r="AI30" s="6">
        <v>46820</v>
      </c>
      <c r="AJ3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30" s="26" t="s">
        <v>54</v>
      </c>
      <c r="AL30" s="9"/>
      <c r="AM3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0" s="26" t="s">
        <v>56</v>
      </c>
      <c r="AO30" s="11"/>
      <c r="AP3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0" s="26" t="s">
        <v>56</v>
      </c>
      <c r="AR30" s="6"/>
      <c r="AS3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0" s="22" cm="1">
        <f t="array" aca="1" ref="AT30" ca="1">INDEX('SAP Customer Data '!A:Z,MATCH(بيانات_العملاء4[[#This Row],[رمز شريك الأعمال]],'SAP Customer Data '!B:B,0),CELL("col",Table_Customer_Data[[#Headers],[CreateDate]]))</f>
        <v>44748</v>
      </c>
      <c r="AU30" s="30"/>
      <c r="AV30" s="11"/>
      <c r="AW30" s="6" t="s">
        <v>845</v>
      </c>
      <c r="AX30" s="6">
        <v>1200000</v>
      </c>
    </row>
    <row r="31" spans="1:50" x14ac:dyDescent="0.25">
      <c r="A31" s="17" t="str" cm="1">
        <f t="array" aca="1" ref="A31" ca="1">INDEX('SAP Customer Data '!$A:$AC,MATCH(بيانات_العملاء4[[#This Row],[رمز شريك الأعمال]],'SAP Customer Data '!$B:$B,0),CELL("col",Table_Customer_Data[[#Headers],[GroupName]]))</f>
        <v>CS02</v>
      </c>
      <c r="B31" s="8" t="s">
        <v>280</v>
      </c>
      <c r="C31" s="18" t="str" cm="1">
        <f t="array" aca="1" ref="C31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الدرب</v>
      </c>
      <c r="D31" s="26" t="str">
        <f ca="1">IF(بيانات_العملاء4[[#This Row],[حد الائتمان على SAP]]&gt;0,"آجل","نقدى")</f>
        <v>آجل</v>
      </c>
      <c r="E31" s="6"/>
      <c r="F31" s="26" t="s">
        <v>330</v>
      </c>
      <c r="G31" s="26" t="s">
        <v>54</v>
      </c>
      <c r="H3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1" s="26" t="s">
        <v>56</v>
      </c>
      <c r="J31" s="9"/>
      <c r="K31" s="27"/>
      <c r="L31" s="19" t="str">
        <f ca="1">IF(AND(بيانات_العملاء4[[#This Row],[السجل التجارى]]="موجود",TODAY()+'Other Data'!$B$23&lt;J31,بيانات_العملاء4[[#This Row],[مطابقة اسم العميل بالاسم بالسجل التجارى]]="مطابق"), "سارى", "يجب اعادة طلبه")</f>
        <v>يجب اعادة طلبه</v>
      </c>
      <c r="M31" s="28" t="s">
        <v>54</v>
      </c>
      <c r="N31" s="13" t="str" cm="1">
        <f t="array" aca="1" ref="N31" ca="1">INDEX('SAP Customer Data '!A:Z,MATCH(بيانات_العملاء4[[#This Row],[رمز شريك الأعمال]],'SAP Customer Data '!B:B,0),CELL("col",Table_Customer_Data[[#Headers],[LicTradNum]]))</f>
        <v>311030439900003</v>
      </c>
      <c r="O3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1" s="26" t="s">
        <v>56</v>
      </c>
      <c r="Q31" s="9"/>
      <c r="R3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1" s="26" t="s">
        <v>54</v>
      </c>
      <c r="T31" s="10">
        <v>200000</v>
      </c>
      <c r="U31" s="11">
        <v>44776</v>
      </c>
      <c r="V31" s="20">
        <f>IF(بيانات_العملاء4[[#This Row],[تاريخ انشاء سند الامر او الاستثناء]]="","",بيانات_العملاء4[[#This Row],[تاريخ انشاء سند الامر او الاستثناء]]+365*3)</f>
        <v>45871</v>
      </c>
      <c r="W3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31" s="18" cm="1">
        <f t="array" aca="1" ref="X31" ca="1">INDEX('SAP Customer Data '!$A:$AC,MATCH(بيانات_العملاء4[[#This Row],[رمز شريك الأعمال]],'SAP Customer Data '!$B:$B,0),CELL("col",Table_Customer_Data[[#Headers],[CreditLine]]))</f>
        <v>100000</v>
      </c>
      <c r="Y3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1" s="26" t="s">
        <v>55</v>
      </c>
      <c r="AA3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31" s="26" t="s">
        <v>56</v>
      </c>
      <c r="AC31" s="16"/>
      <c r="AD3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1" s="26" t="s">
        <v>54</v>
      </c>
      <c r="AF31" s="16"/>
      <c r="AG3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1" s="26" t="s">
        <v>54</v>
      </c>
      <c r="AI31" s="6">
        <v>46820</v>
      </c>
      <c r="AJ3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31" s="26" t="s">
        <v>54</v>
      </c>
      <c r="AL31" s="9"/>
      <c r="AM3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1" s="26" t="s">
        <v>56</v>
      </c>
      <c r="AO31" s="11"/>
      <c r="AP3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1" s="26" t="s">
        <v>56</v>
      </c>
      <c r="AR31" s="6"/>
      <c r="AS3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1" s="22" cm="1">
        <f t="array" aca="1" ref="AT31" ca="1">INDEX('SAP Customer Data '!A:Z,MATCH(بيانات_العملاء4[[#This Row],[رمز شريك الأعمال]],'SAP Customer Data '!B:B,0),CELL("col",Table_Customer_Data[[#Headers],[CreateDate]]))</f>
        <v>44748</v>
      </c>
      <c r="AU31" s="30"/>
      <c r="AV31" s="11"/>
      <c r="AW31" s="6" t="s">
        <v>845</v>
      </c>
      <c r="AX31" s="6">
        <v>1200000</v>
      </c>
    </row>
    <row r="32" spans="1:50" x14ac:dyDescent="0.25">
      <c r="A32" s="17" t="str" cm="1">
        <f t="array" aca="1" ref="A32" ca="1">INDEX('SAP Customer Data '!$A:$AC,MATCH(بيانات_العملاء4[[#This Row],[رمز شريك الأعمال]],'SAP Customer Data '!$B:$B,0),CELL("col",Table_Customer_Data[[#Headers],[GroupName]]))</f>
        <v>CS02</v>
      </c>
      <c r="B32" s="8" t="s">
        <v>282</v>
      </c>
      <c r="C32" s="18" t="str" cm="1">
        <f t="array" aca="1" ref="C32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صامطة</v>
      </c>
      <c r="D32" s="26" t="str">
        <f ca="1">IF(بيانات_العملاء4[[#This Row],[حد الائتمان على SAP]]&gt;0,"آجل","نقدى")</f>
        <v>آجل</v>
      </c>
      <c r="E32" s="6"/>
      <c r="F32" s="26" t="s">
        <v>330</v>
      </c>
      <c r="G32" s="26" t="s">
        <v>54</v>
      </c>
      <c r="H3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2" s="26" t="s">
        <v>56</v>
      </c>
      <c r="J32" s="9"/>
      <c r="K32" s="27"/>
      <c r="L32" s="19" t="str">
        <f ca="1">IF(AND(بيانات_العملاء4[[#This Row],[السجل التجارى]]="موجود",TODAY()+'Other Data'!$B$23&lt;J32,بيانات_العملاء4[[#This Row],[مطابقة اسم العميل بالاسم بالسجل التجارى]]="مطابق"), "سارى", "يجب اعادة طلبه")</f>
        <v>يجب اعادة طلبه</v>
      </c>
      <c r="M32" s="28" t="s">
        <v>54</v>
      </c>
      <c r="N32" s="13" t="str" cm="1">
        <f t="array" aca="1" ref="N32" ca="1">INDEX('SAP Customer Data '!A:Z,MATCH(بيانات_العملاء4[[#This Row],[رمز شريك الأعمال]],'SAP Customer Data '!B:B,0),CELL("col",Table_Customer_Data[[#Headers],[LicTradNum]]))</f>
        <v>311030439900003</v>
      </c>
      <c r="O3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2" s="26" t="s">
        <v>56</v>
      </c>
      <c r="Q32" s="9"/>
      <c r="R3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2" s="26" t="s">
        <v>54</v>
      </c>
      <c r="T32" s="10">
        <v>200000</v>
      </c>
      <c r="U32" s="11">
        <v>44776</v>
      </c>
      <c r="V32" s="20">
        <f>IF(بيانات_العملاء4[[#This Row],[تاريخ انشاء سند الامر او الاستثناء]]="","",بيانات_العملاء4[[#This Row],[تاريخ انشاء سند الامر او الاستثناء]]+365*3)</f>
        <v>45871</v>
      </c>
      <c r="W3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32" s="18" cm="1">
        <f t="array" aca="1" ref="X32" ca="1">INDEX('SAP Customer Data '!$A:$AC,MATCH(بيانات_العملاء4[[#This Row],[رمز شريك الأعمال]],'SAP Customer Data '!$B:$B,0),CELL("col",Table_Customer_Data[[#Headers],[CreditLine]]))</f>
        <v>100000</v>
      </c>
      <c r="Y3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2" s="26" t="s">
        <v>55</v>
      </c>
      <c r="AA3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32" s="26" t="s">
        <v>56</v>
      </c>
      <c r="AC32" s="16"/>
      <c r="AD3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2" s="26" t="s">
        <v>54</v>
      </c>
      <c r="AF32" s="16"/>
      <c r="AG3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2" s="26" t="s">
        <v>54</v>
      </c>
      <c r="AI32" s="6">
        <v>46820</v>
      </c>
      <c r="AJ3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32" s="26" t="s">
        <v>54</v>
      </c>
      <c r="AL32" s="9"/>
      <c r="AM3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2" s="26" t="s">
        <v>56</v>
      </c>
      <c r="AO32" s="11"/>
      <c r="AP3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2" s="26" t="s">
        <v>56</v>
      </c>
      <c r="AR32" s="6"/>
      <c r="AS3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2" s="22" cm="1">
        <f t="array" aca="1" ref="AT32" ca="1">INDEX('SAP Customer Data '!A:Z,MATCH(بيانات_العملاء4[[#This Row],[رمز شريك الأعمال]],'SAP Customer Data '!B:B,0),CELL("col",Table_Customer_Data[[#Headers],[CreateDate]]))</f>
        <v>44748</v>
      </c>
      <c r="AU32" s="30"/>
      <c r="AV32" s="11"/>
      <c r="AW32" s="6" t="s">
        <v>845</v>
      </c>
      <c r="AX32" s="6">
        <v>1200000</v>
      </c>
    </row>
    <row r="33" spans="1:50" x14ac:dyDescent="0.25">
      <c r="A33" s="17" t="str" cm="1">
        <f t="array" aca="1" ref="A33" ca="1">INDEX('SAP Customer Data '!$A:$AC,MATCH(بيانات_العملاء4[[#This Row],[رمز شريك الأعمال]],'SAP Customer Data '!$B:$B,0),CELL("col",Table_Customer_Data[[#Headers],[GroupName]]))</f>
        <v>CS02</v>
      </c>
      <c r="B33" s="8" t="s">
        <v>284</v>
      </c>
      <c r="C33" s="18" t="str" cm="1">
        <f t="array" aca="1" ref="C33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العيدابي</v>
      </c>
      <c r="D33" s="26" t="str">
        <f ca="1">IF(بيانات_العملاء4[[#This Row],[حد الائتمان على SAP]]&gt;0,"آجل","نقدى")</f>
        <v>آجل</v>
      </c>
      <c r="E33" s="6"/>
      <c r="F33" s="26" t="s">
        <v>330</v>
      </c>
      <c r="G33" s="26" t="s">
        <v>54</v>
      </c>
      <c r="H3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3" s="26" t="s">
        <v>56</v>
      </c>
      <c r="J33" s="9"/>
      <c r="K33" s="27"/>
      <c r="L33" s="19" t="str">
        <f ca="1">IF(AND(بيانات_العملاء4[[#This Row],[السجل التجارى]]="موجود",TODAY()+'Other Data'!$B$23&lt;J33,بيانات_العملاء4[[#This Row],[مطابقة اسم العميل بالاسم بالسجل التجارى]]="مطابق"), "سارى", "يجب اعادة طلبه")</f>
        <v>يجب اعادة طلبه</v>
      </c>
      <c r="M33" s="28" t="s">
        <v>54</v>
      </c>
      <c r="N33" s="13" t="str" cm="1">
        <f t="array" aca="1" ref="N33" ca="1">INDEX('SAP Customer Data '!A:Z,MATCH(بيانات_العملاء4[[#This Row],[رمز شريك الأعمال]],'SAP Customer Data '!B:B,0),CELL("col",Table_Customer_Data[[#Headers],[LicTradNum]]))</f>
        <v>311030439900003</v>
      </c>
      <c r="O3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3" s="26" t="s">
        <v>56</v>
      </c>
      <c r="Q33" s="9"/>
      <c r="R3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3" s="26" t="s">
        <v>54</v>
      </c>
      <c r="T33" s="10">
        <v>200000</v>
      </c>
      <c r="U33" s="11">
        <v>44776</v>
      </c>
      <c r="V33" s="20">
        <f>IF(بيانات_العملاء4[[#This Row],[تاريخ انشاء سند الامر او الاستثناء]]="","",بيانات_العملاء4[[#This Row],[تاريخ انشاء سند الامر او الاستثناء]]+365*3)</f>
        <v>45871</v>
      </c>
      <c r="W3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33" s="18" cm="1">
        <f t="array" aca="1" ref="X33" ca="1">INDEX('SAP Customer Data '!$A:$AC,MATCH(بيانات_العملاء4[[#This Row],[رمز شريك الأعمال]],'SAP Customer Data '!$B:$B,0),CELL("col",Table_Customer_Data[[#Headers],[CreditLine]]))</f>
        <v>100000</v>
      </c>
      <c r="Y3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3" s="26" t="s">
        <v>55</v>
      </c>
      <c r="AA3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33" s="26" t="s">
        <v>56</v>
      </c>
      <c r="AC33" s="16"/>
      <c r="AD3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3" s="26" t="s">
        <v>54</v>
      </c>
      <c r="AF33" s="16"/>
      <c r="AG3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3" s="26" t="s">
        <v>54</v>
      </c>
      <c r="AI33" s="6">
        <v>46820</v>
      </c>
      <c r="AJ3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33" s="26" t="s">
        <v>54</v>
      </c>
      <c r="AL33" s="9"/>
      <c r="AM3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3" s="26" t="s">
        <v>56</v>
      </c>
      <c r="AO33" s="11"/>
      <c r="AP3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3" s="26" t="s">
        <v>56</v>
      </c>
      <c r="AR33" s="6"/>
      <c r="AS3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3" s="22" cm="1">
        <f t="array" aca="1" ref="AT33" ca="1">INDEX('SAP Customer Data '!A:Z,MATCH(بيانات_العملاء4[[#This Row],[رمز شريك الأعمال]],'SAP Customer Data '!B:B,0),CELL("col",Table_Customer_Data[[#Headers],[CreateDate]]))</f>
        <v>44748</v>
      </c>
      <c r="AU33" s="30"/>
      <c r="AV33" s="11"/>
      <c r="AW33" s="6" t="s">
        <v>845</v>
      </c>
      <c r="AX33" s="6">
        <v>1200000</v>
      </c>
    </row>
    <row r="34" spans="1:50" x14ac:dyDescent="0.25">
      <c r="A34" s="17" t="str" cm="1">
        <f t="array" aca="1" ref="A34" ca="1">INDEX('SAP Customer Data '!$A:$AC,MATCH(بيانات_العملاء4[[#This Row],[رمز شريك الأعمال]],'SAP Customer Data '!$B:$B,0),CELL("col",Table_Customer_Data[[#Headers],[GroupName]]))</f>
        <v>CS03</v>
      </c>
      <c r="B34" s="8" t="s">
        <v>96</v>
      </c>
      <c r="C34" s="18" t="str" cm="1">
        <f t="array" aca="1" ref="C34" ca="1">INDEX('SAP Customer Data '!$A:$AC,MATCH(بيانات_العملاء4[[#This Row],[رمز شريك الأعمال]],'SAP Customer Data '!$B:$B,0),CELL("col",Table_Customer_Data[[#Headers],[CardName]]))</f>
        <v>شركة قمة المرسلات للتجارة-الصحافة</v>
      </c>
      <c r="D34" s="26" t="s">
        <v>910</v>
      </c>
      <c r="E34" s="6"/>
      <c r="F34" s="26" t="s">
        <v>309</v>
      </c>
      <c r="G34" s="26" t="s">
        <v>54</v>
      </c>
      <c r="H34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4" s="26" t="s">
        <v>56</v>
      </c>
      <c r="J34" s="9"/>
      <c r="K34" s="27"/>
      <c r="L34" s="19" t="str">
        <f ca="1">IF(AND(بيانات_العملاء4[[#This Row],[السجل التجارى]]="موجود",TODAY()+'Other Data'!$B$23&lt;J34,بيانات_العملاء4[[#This Row],[مطابقة اسم العميل بالاسم بالسجل التجارى]]="مطابق"), "سارى", "يجب اعادة طلبه")</f>
        <v>يجب اعادة طلبه</v>
      </c>
      <c r="M34" s="28" t="s">
        <v>54</v>
      </c>
      <c r="N34" s="13" t="str" cm="1">
        <f t="array" aca="1" ref="N34" ca="1">INDEX('SAP Customer Data '!A:Z,MATCH(بيانات_العملاء4[[#This Row],[رمز شريك الأعمال]],'SAP Customer Data '!B:B,0),CELL("col",Table_Customer_Data[[#Headers],[LicTradNum]]))</f>
        <v>311037610200003</v>
      </c>
      <c r="O3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4" s="26" t="s">
        <v>56</v>
      </c>
      <c r="Q34" s="9"/>
      <c r="R3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4" s="26" t="s">
        <v>369</v>
      </c>
      <c r="T34" s="10">
        <v>35000</v>
      </c>
      <c r="U34" s="11">
        <v>43747</v>
      </c>
      <c r="V34" s="20">
        <f>IF(بيانات_العملاء4[[#This Row],[تاريخ انشاء سند الامر او الاستثناء]]="","",بيانات_العملاء4[[#This Row],[تاريخ انشاء سند الامر او الاستثناء]]+365*3)</f>
        <v>44842</v>
      </c>
      <c r="W3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34" s="18" cm="1">
        <f t="array" aca="1" ref="X34" ca="1">INDEX('SAP Customer Data '!$A:$AC,MATCH(بيانات_العملاء4[[#This Row],[رمز شريك الأعمال]],'SAP Customer Data '!$B:$B,0),CELL("col",Table_Customer_Data[[#Headers],[CreditLine]]))</f>
        <v>35000</v>
      </c>
      <c r="Y3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4" s="26"/>
      <c r="AA3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34" s="26" t="s">
        <v>56</v>
      </c>
      <c r="AC34" s="16"/>
      <c r="AD3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4" s="26" t="s">
        <v>56</v>
      </c>
      <c r="AF34" s="16"/>
      <c r="AG3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4" s="26" t="s">
        <v>56</v>
      </c>
      <c r="AI34" s="6"/>
      <c r="AJ3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4" s="26"/>
      <c r="AL34" s="9"/>
      <c r="AM3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4" s="26" t="s">
        <v>56</v>
      </c>
      <c r="AO34" s="11"/>
      <c r="AP3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4" s="26" t="s">
        <v>56</v>
      </c>
      <c r="AR34" s="6"/>
      <c r="AS3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4" s="22" cm="1">
        <f t="array" aca="1" ref="AT34" ca="1">INDEX('SAP Customer Data '!A:Z,MATCH(بيانات_العملاء4[[#This Row],[رمز شريك الأعمال]],'SAP Customer Data '!B:B,0),CELL("col",Table_Customer_Data[[#Headers],[CreateDate]]))</f>
        <v>44612</v>
      </c>
      <c r="AU34" s="30"/>
      <c r="AV34" s="11"/>
      <c r="AW34" s="6" t="s">
        <v>845</v>
      </c>
      <c r="AX34" s="6">
        <v>70000</v>
      </c>
    </row>
    <row r="35" spans="1:50" x14ac:dyDescent="0.25">
      <c r="A35" s="17" t="str" cm="1">
        <f t="array" aca="1" ref="A35" ca="1">INDEX('SAP Customer Data '!$A:$AC,MATCH(بيانات_العملاء4[[#This Row],[رمز شريك الأعمال]],'SAP Customer Data '!$B:$B,0),CELL("col",Table_Customer_Data[[#Headers],[GroupName]]))</f>
        <v>CS03</v>
      </c>
      <c r="B35" s="8" t="s">
        <v>141</v>
      </c>
      <c r="C35" s="18" t="str" cm="1">
        <f t="array" aca="1" ref="C35" ca="1">INDEX('SAP Customer Data '!$A:$AC,MATCH(بيانات_العملاء4[[#This Row],[رمز شريك الأعمال]],'SAP Customer Data '!$B:$B,0),CELL("col",Table_Customer_Data[[#Headers],[CardName]]))</f>
        <v>شركة قمة المرسلات للتجارة/ المرسلات- نقدى</v>
      </c>
      <c r="D35" s="26" t="str">
        <f ca="1">IF(بيانات_العملاء4[[#This Row],[حد الائتمان على SAP]]&gt;0,"آجل","نقدى")</f>
        <v>نقدى</v>
      </c>
      <c r="E35" s="6"/>
      <c r="F35" s="26" t="s">
        <v>309</v>
      </c>
      <c r="G35" s="26" t="s">
        <v>54</v>
      </c>
      <c r="H3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5" s="26" t="s">
        <v>54</v>
      </c>
      <c r="J35" s="9">
        <v>44486</v>
      </c>
      <c r="K35" s="27" t="s">
        <v>55</v>
      </c>
      <c r="L35" s="19" t="str">
        <f ca="1">IF(AND(بيانات_العملاء4[[#This Row],[السجل التجارى]]="موجود",TODAY()+'Other Data'!$B$23&lt;J35,بيانات_العملاء4[[#This Row],[مطابقة اسم العميل بالاسم بالسجل التجارى]]="مطابق"), "سارى", "يجب اعادة طلبه")</f>
        <v>يجب اعادة طلبه</v>
      </c>
      <c r="M35" s="28" t="s">
        <v>54</v>
      </c>
      <c r="N35" s="13" t="str" cm="1">
        <f t="array" aca="1" ref="N35" ca="1">INDEX('SAP Customer Data '!A:Z,MATCH(بيانات_العملاء4[[#This Row],[رمز شريك الأعمال]],'SAP Customer Data '!B:B,0),CELL("col",Table_Customer_Data[[#Headers],[LicTradNum]]))</f>
        <v>311037610200003</v>
      </c>
      <c r="O3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5" s="26" t="s">
        <v>54</v>
      </c>
      <c r="Q35" s="9">
        <v>44818</v>
      </c>
      <c r="R3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5" s="26" t="s">
        <v>369</v>
      </c>
      <c r="T35" s="10">
        <v>35000</v>
      </c>
      <c r="U35" s="11">
        <v>43747</v>
      </c>
      <c r="V35" s="20">
        <f>IF(بيانات_العملاء4[[#This Row],[تاريخ انشاء سند الامر او الاستثناء]]="","",بيانات_العملاء4[[#This Row],[تاريخ انشاء سند الامر او الاستثناء]]+365*3)</f>
        <v>44842</v>
      </c>
      <c r="W3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35" s="18" cm="1">
        <f t="array" aca="1" ref="X35" ca="1">INDEX('SAP Customer Data '!$A:$AC,MATCH(بيانات_العملاء4[[#This Row],[رمز شريك الأعمال]],'SAP Customer Data '!$B:$B,0),CELL("col",Table_Customer_Data[[#Headers],[CreditLine]]))</f>
        <v>0</v>
      </c>
      <c r="Y3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35" s="26"/>
      <c r="AA3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35" s="26" t="s">
        <v>56</v>
      </c>
      <c r="AC35" s="16"/>
      <c r="AD3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5" s="26" t="s">
        <v>56</v>
      </c>
      <c r="AF35" s="16"/>
      <c r="AG3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5" s="26" t="s">
        <v>56</v>
      </c>
      <c r="AI35" s="6"/>
      <c r="AJ3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5" s="26"/>
      <c r="AL35" s="9"/>
      <c r="AM3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5" s="26" t="s">
        <v>54</v>
      </c>
      <c r="AO35" s="11"/>
      <c r="AP3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5" s="26" t="s">
        <v>56</v>
      </c>
      <c r="AR35" s="6"/>
      <c r="AS3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5" s="22" cm="1">
        <f t="array" aca="1" ref="AT35" ca="1">INDEX('SAP Customer Data '!A:Z,MATCH(بيانات_العملاء4[[#This Row],[رمز شريك الأعمال]],'SAP Customer Data '!B:B,0),CELL("col",Table_Customer_Data[[#Headers],[CreateDate]]))</f>
        <v>44651</v>
      </c>
      <c r="AU35" s="30"/>
      <c r="AV35" s="11"/>
      <c r="AW35" s="6" t="s">
        <v>845</v>
      </c>
      <c r="AX35" s="6">
        <v>70000</v>
      </c>
    </row>
    <row r="36" spans="1:50" x14ac:dyDescent="0.25">
      <c r="A36" s="17" t="str" cm="1">
        <f t="array" aca="1" ref="A36" ca="1">INDEX('SAP Customer Data '!$A:$AC,MATCH(بيانات_العملاء4[[#This Row],[رمز شريك الأعمال]],'SAP Customer Data '!$B:$B,0),CELL("col",Table_Customer_Data[[#Headers],[GroupName]]))</f>
        <v>CS06</v>
      </c>
      <c r="B36" s="8" t="s">
        <v>187</v>
      </c>
      <c r="C36" s="18" t="str" cm="1">
        <f t="array" aca="1" ref="C36" ca="1">INDEX('SAP Customer Data '!$A:$AC,MATCH(بيانات_العملاء4[[#This Row],[رمز شريك الأعمال]],'SAP Customer Data '!$B:$B,0),CELL("col",Table_Customer_Data[[#Headers],[CardName]]))</f>
        <v>شركة جوهرة جدة للانارة والكهرباء - نقدي</v>
      </c>
      <c r="D36" s="26" t="str">
        <f ca="1">IF(بيانات_العملاء4[[#This Row],[حد الائتمان على SAP]]&gt;0,"آجل","نقدى")</f>
        <v>نقدى</v>
      </c>
      <c r="E36" s="6"/>
      <c r="F36" s="26" t="s">
        <v>309</v>
      </c>
      <c r="G36" s="26" t="s">
        <v>56</v>
      </c>
      <c r="H36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36" s="26" t="s">
        <v>54</v>
      </c>
      <c r="J36" s="9">
        <v>45070</v>
      </c>
      <c r="K36" s="27"/>
      <c r="L36" s="19" t="str">
        <f ca="1">IF(AND(بيانات_العملاء4[[#This Row],[السجل التجارى]]="موجود",TODAY()+'Other Data'!$B$23&lt;J36,بيانات_العملاء4[[#This Row],[مطابقة اسم العميل بالاسم بالسجل التجارى]]="مطابق"), "سارى", "يجب اعادة طلبه")</f>
        <v>يجب اعادة طلبه</v>
      </c>
      <c r="M36" s="28" t="s">
        <v>54</v>
      </c>
      <c r="N36" s="13" t="str" cm="1">
        <f t="array" aca="1" ref="N36" ca="1">INDEX('SAP Customer Data '!A:Z,MATCH(بيانات_العملاء4[[#This Row],[رمز شريك الأعمال]],'SAP Customer Data '!B:B,0),CELL("col",Table_Customer_Data[[#Headers],[LicTradNum]]))</f>
        <v>311320459600003</v>
      </c>
      <c r="O3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6" s="26" t="s">
        <v>56</v>
      </c>
      <c r="Q36" s="9"/>
      <c r="R3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6" s="26" t="s">
        <v>56</v>
      </c>
      <c r="T36" s="10"/>
      <c r="U36" s="11"/>
      <c r="V36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3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36" s="18" cm="1">
        <f t="array" aca="1" ref="X36" ca="1">INDEX('SAP Customer Data '!$A:$AC,MATCH(بيانات_العملاء4[[#This Row],[رمز شريك الأعمال]],'SAP Customer Data '!$B:$B,0),CELL("col",Table_Customer_Data[[#Headers],[CreditLine]]))</f>
        <v>0</v>
      </c>
      <c r="Y3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6" s="26"/>
      <c r="AA3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36" s="26" t="s">
        <v>56</v>
      </c>
      <c r="AC36" s="16"/>
      <c r="AD3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6" s="26" t="s">
        <v>56</v>
      </c>
      <c r="AF36" s="16"/>
      <c r="AG3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6" s="26" t="s">
        <v>56</v>
      </c>
      <c r="AI36" s="6"/>
      <c r="AJ3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6" s="26" t="s">
        <v>56</v>
      </c>
      <c r="AL36" s="9"/>
      <c r="AM3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6" s="26" t="s">
        <v>56</v>
      </c>
      <c r="AO36" s="11"/>
      <c r="AP3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6" s="26" t="s">
        <v>56</v>
      </c>
      <c r="AR36" s="6"/>
      <c r="AS3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6" s="22" cm="1">
        <f t="array" aca="1" ref="AT36" ca="1">INDEX('SAP Customer Data '!A:Z,MATCH(بيانات_العملاء4[[#This Row],[رمز شريك الأعمال]],'SAP Customer Data '!B:B,0),CELL("col",Table_Customer_Data[[#Headers],[CreateDate]]))</f>
        <v>44895</v>
      </c>
      <c r="AU36" s="30"/>
      <c r="AV36" s="11"/>
      <c r="AW36" s="6" t="s">
        <v>845</v>
      </c>
      <c r="AX36" s="6">
        <v>0</v>
      </c>
    </row>
    <row r="37" spans="1:50" x14ac:dyDescent="0.25">
      <c r="A37" s="17" t="str" cm="1">
        <f t="array" aca="1" ref="A37" ca="1">INDEX('SAP Customer Data '!$A:$AC,MATCH(بيانات_العملاء4[[#This Row],[رمز شريك الأعمال]],'SAP Customer Data '!$B:$B,0),CELL("col",Table_Customer_Data[[#Headers],[GroupName]]))</f>
        <v>CS06</v>
      </c>
      <c r="B37" s="8" t="s">
        <v>224</v>
      </c>
      <c r="C37" s="18" t="str" cm="1">
        <f t="array" aca="1" ref="C37" ca="1">INDEX('SAP Customer Data '!$A:$AC,MATCH(بيانات_العملاء4[[#This Row],[رمز شريك الأعمال]],'SAP Customer Data '!$B:$B,0),CELL("col",Table_Customer_Data[[#Headers],[CardName]]))</f>
        <v>شركة روعة الانارة للادوات الكهربائية-نقدي</v>
      </c>
      <c r="D37" s="26" t="str">
        <f ca="1">IF(بيانات_العملاء4[[#This Row],[حد الائتمان على SAP]]&gt;0,"آجل","نقدى")</f>
        <v>نقدى</v>
      </c>
      <c r="E37" s="6"/>
      <c r="F37" s="26" t="s">
        <v>309</v>
      </c>
      <c r="G37" s="26" t="s">
        <v>56</v>
      </c>
      <c r="H37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37" s="26" t="s">
        <v>54</v>
      </c>
      <c r="J37" s="9">
        <v>45084</v>
      </c>
      <c r="K37" s="27" t="s">
        <v>55</v>
      </c>
      <c r="L37" s="19" t="str">
        <f ca="1">IF(AND(بيانات_العملاء4[[#This Row],[السجل التجارى]]="موجود",TODAY()+'Other Data'!$B$23&lt;J37,بيانات_العملاء4[[#This Row],[مطابقة اسم العميل بالاسم بالسجل التجارى]]="مطابق"), "سارى", "يجب اعادة طلبه")</f>
        <v>يجب اعادة طلبه</v>
      </c>
      <c r="M37" s="28" t="s">
        <v>54</v>
      </c>
      <c r="N37" s="13" t="str" cm="1">
        <f t="array" aca="1" ref="N37" ca="1">INDEX('SAP Customer Data '!A:Z,MATCH(بيانات_العملاء4[[#This Row],[رمز شريك الأعمال]],'SAP Customer Data '!B:B,0),CELL("col",Table_Customer_Data[[#Headers],[LicTradNum]]))</f>
        <v>311320459600003</v>
      </c>
      <c r="O3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7" s="26" t="s">
        <v>56</v>
      </c>
      <c r="Q37" s="9"/>
      <c r="R3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7" s="26" t="s">
        <v>56</v>
      </c>
      <c r="T37" s="10"/>
      <c r="U37" s="11"/>
      <c r="V37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3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37" s="18" cm="1">
        <f t="array" aca="1" ref="X37" ca="1">INDEX('SAP Customer Data '!$A:$AC,MATCH(بيانات_العملاء4[[#This Row],[رمز شريك الأعمال]],'SAP Customer Data '!$B:$B,0),CELL("col",Table_Customer_Data[[#Headers],[CreditLine]]))</f>
        <v>0</v>
      </c>
      <c r="Y3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7" s="26"/>
      <c r="AA3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37" s="26" t="s">
        <v>56</v>
      </c>
      <c r="AC37" s="16"/>
      <c r="AD3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7" s="26" t="s">
        <v>56</v>
      </c>
      <c r="AF37" s="16"/>
      <c r="AG3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7" s="26" t="s">
        <v>56</v>
      </c>
      <c r="AI37" s="6"/>
      <c r="AJ3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7" s="26" t="s">
        <v>56</v>
      </c>
      <c r="AL37" s="9"/>
      <c r="AM3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7" s="26" t="s">
        <v>56</v>
      </c>
      <c r="AO37" s="11"/>
      <c r="AP3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7" s="26" t="s">
        <v>56</v>
      </c>
      <c r="AR37" s="6"/>
      <c r="AS3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7" s="22" cm="1">
        <f t="array" aca="1" ref="AT37" ca="1">INDEX('SAP Customer Data '!A:Z,MATCH(بيانات_العملاء4[[#This Row],[رمز شريك الأعمال]],'SAP Customer Data '!B:B,0),CELL("col",Table_Customer_Data[[#Headers],[CreateDate]]))</f>
        <v>44936</v>
      </c>
      <c r="AU37" s="30"/>
      <c r="AV37" s="11"/>
      <c r="AW37" s="6" t="s">
        <v>845</v>
      </c>
      <c r="AX37" s="6">
        <v>0</v>
      </c>
    </row>
    <row r="38" spans="1:50" x14ac:dyDescent="0.25">
      <c r="A38" s="17" t="str" cm="1">
        <f t="array" aca="1" ref="A38" ca="1">INDEX('SAP Customer Data '!$A:$AC,MATCH(بيانات_العملاء4[[#This Row],[رمز شريك الأعمال]],'SAP Customer Data '!$B:$B,0),CELL("col",Table_Customer_Data[[#Headers],[GroupName]]))</f>
        <v>CS05</v>
      </c>
      <c r="B38" s="8" t="s">
        <v>310</v>
      </c>
      <c r="C38" s="18" t="str" cm="1">
        <f t="array" aca="1" ref="C38" ca="1">INDEX('SAP Customer Data '!$A:$AC,MATCH(بيانات_العملاء4[[#This Row],[رمز شريك الأعمال]],'SAP Customer Data '!$B:$B,0),CELL("col",Table_Customer_Data[[#Headers],[CardName]]))</f>
        <v>مؤسسة طاهر حمد النمر التجارية</v>
      </c>
      <c r="D38" s="26" t="str">
        <f ca="1">IF(بيانات_العملاء4[[#This Row],[حد الائتمان على SAP]]&gt;0,"آجل","نقدى")</f>
        <v>آجل</v>
      </c>
      <c r="E38" s="6" t="s">
        <v>312</v>
      </c>
      <c r="F38" s="26" t="s">
        <v>385</v>
      </c>
      <c r="G38" s="26" t="s">
        <v>54</v>
      </c>
      <c r="H3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8" s="26" t="s">
        <v>54</v>
      </c>
      <c r="J38" s="9">
        <v>45250</v>
      </c>
      <c r="K38" s="27" t="s">
        <v>55</v>
      </c>
      <c r="L38" s="19" t="str">
        <f ca="1">IF(AND(بيانات_العملاء4[[#This Row],[السجل التجارى]]="موجود",TODAY()+'Other Data'!$B$23&lt;J38,بيانات_العملاء4[[#This Row],[مطابقة اسم العميل بالاسم بالسجل التجارى]]="مطابق"), "سارى", "يجب اعادة طلبه")</f>
        <v>سارى</v>
      </c>
      <c r="M38" s="28" t="s">
        <v>54</v>
      </c>
      <c r="N38" s="13" t="str" cm="1">
        <f t="array" aca="1" ref="N38" ca="1">INDEX('SAP Customer Data '!A:Z,MATCH(بيانات_العملاء4[[#This Row],[رمز شريك الأعمال]],'SAP Customer Data '!B:B,0),CELL("col",Table_Customer_Data[[#Headers],[LicTradNum]]))</f>
        <v>310622202300003</v>
      </c>
      <c r="O3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8" s="26" t="s">
        <v>54</v>
      </c>
      <c r="Q38" s="9">
        <v>45317</v>
      </c>
      <c r="R3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38" s="26" t="s">
        <v>54</v>
      </c>
      <c r="T38" s="10">
        <v>8000</v>
      </c>
      <c r="U38" s="11">
        <v>44982</v>
      </c>
      <c r="V38" s="20">
        <f>IF(بيانات_العملاء4[[#This Row],[تاريخ انشاء سند الامر او الاستثناء]]="","",بيانات_العملاء4[[#This Row],[تاريخ انشاء سند الامر او الاستثناء]]+365*3)</f>
        <v>46077</v>
      </c>
      <c r="W3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4000</v>
      </c>
      <c r="X38" s="18" cm="1">
        <f t="array" aca="1" ref="X38" ca="1">INDEX('SAP Customer Data '!$A:$AC,MATCH(بيانات_العملاء4[[#This Row],[رمز شريك الأعمال]],'SAP Customer Data '!$B:$B,0),CELL("col",Table_Customer_Data[[#Headers],[CreditLine]]))</f>
        <v>4000</v>
      </c>
      <c r="Y3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8" s="26" t="s">
        <v>55</v>
      </c>
      <c r="AA3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38" s="26"/>
      <c r="AC38" s="16"/>
      <c r="AD3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8" s="26" t="s">
        <v>56</v>
      </c>
      <c r="AF38" s="16"/>
      <c r="AG3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8" s="26" t="s">
        <v>56</v>
      </c>
      <c r="AI38" s="6"/>
      <c r="AJ3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8" s="26"/>
      <c r="AL38" s="9"/>
      <c r="AM3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8" s="26" t="s">
        <v>54</v>
      </c>
      <c r="AO38" s="11">
        <v>44628</v>
      </c>
      <c r="AP3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8" s="26" t="s">
        <v>56</v>
      </c>
      <c r="AR38" s="6"/>
      <c r="AS3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8" s="22" cm="1">
        <f t="array" aca="1" ref="AT38" ca="1">INDEX('SAP Customer Data '!A:Z,MATCH(بيانات_العملاء4[[#This Row],[رمز شريك الأعمال]],'SAP Customer Data '!B:B,0),CELL("col",Table_Customer_Data[[#Headers],[CreateDate]]))</f>
        <v>45019</v>
      </c>
      <c r="AU38" s="30"/>
      <c r="AV38" s="11"/>
      <c r="AW38" s="6" t="s">
        <v>846</v>
      </c>
      <c r="AX38" s="6"/>
    </row>
    <row r="39" spans="1:50" x14ac:dyDescent="0.25">
      <c r="A39" s="17" t="str" cm="1">
        <f t="array" aca="1" ref="A39" ca="1">INDEX('SAP Customer Data '!$A:$AC,MATCH(بيانات_العملاء4[[#This Row],[رمز شريك الأعمال]],'SAP Customer Data '!$B:$B,0),CELL("col",Table_Customer_Data[[#Headers],[GroupName]]))</f>
        <v>CS05</v>
      </c>
      <c r="B39" s="8" t="s">
        <v>6</v>
      </c>
      <c r="C39" s="18" t="str" cm="1">
        <f t="array" aca="1" ref="C39" ca="1">INDEX('SAP Customer Data '!$A:$AC,MATCH(بيانات_العملاء4[[#This Row],[رمز شريك الأعمال]],'SAP Customer Data '!$B:$B,0),CELL("col",Table_Customer_Data[[#Headers],[CardName]]))</f>
        <v>مؤسسة نهر الانارة للتجارة - نقدي</v>
      </c>
      <c r="D39" s="26" t="str">
        <f ca="1">IF(بيانات_العملاء4[[#This Row],[حد الائتمان على SAP]]&gt;0,"آجل","نقدى")</f>
        <v>نقدى</v>
      </c>
      <c r="E39" s="6" t="s">
        <v>914</v>
      </c>
      <c r="F39" s="26" t="s">
        <v>386</v>
      </c>
      <c r="G39" s="26" t="s">
        <v>56</v>
      </c>
      <c r="H39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39" s="26" t="s">
        <v>54</v>
      </c>
      <c r="J39" s="9">
        <v>45060</v>
      </c>
      <c r="K39" s="27" t="s">
        <v>55</v>
      </c>
      <c r="L39" s="19" t="str">
        <f ca="1">IF(AND(بيانات_العملاء4[[#This Row],[السجل التجارى]]="موجود",TODAY()+'Other Data'!$B$23&lt;J39,بيانات_العملاء4[[#This Row],[مطابقة اسم العميل بالاسم بالسجل التجارى]]="مطابق"), "سارى", "يجب اعادة طلبه")</f>
        <v>يجب اعادة طلبه</v>
      </c>
      <c r="M39" s="28" t="s">
        <v>54</v>
      </c>
      <c r="N39" s="13" t="str" cm="1">
        <f t="array" aca="1" ref="N39" ca="1">INDEX('SAP Customer Data '!A:Z,MATCH(بيانات_العملاء4[[#This Row],[رمز شريك الأعمال]],'SAP Customer Data '!B:B,0),CELL("col",Table_Customer_Data[[#Headers],[LicTradNum]]))</f>
        <v>311484851400003</v>
      </c>
      <c r="O3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9" s="26" t="s">
        <v>54</v>
      </c>
      <c r="Q39" s="9">
        <v>45553</v>
      </c>
      <c r="R3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39" s="26"/>
      <c r="T39" s="10"/>
      <c r="U39" s="11"/>
      <c r="V39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3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39" s="18" cm="1">
        <f t="array" aca="1" ref="X39" ca="1">INDEX('SAP Customer Data '!$A:$AC,MATCH(بيانات_العملاء4[[#This Row],[رمز شريك الأعمال]],'SAP Customer Data '!$B:$B,0),CELL("col",Table_Customer_Data[[#Headers],[CreditLine]]))</f>
        <v>0</v>
      </c>
      <c r="Y3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9" s="26"/>
      <c r="AA3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39" s="26"/>
      <c r="AC39" s="16"/>
      <c r="AD3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9" s="26"/>
      <c r="AF39" s="16"/>
      <c r="AG3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9" s="26"/>
      <c r="AI39" s="6"/>
      <c r="AJ3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9" s="26"/>
      <c r="AL39" s="9"/>
      <c r="AM3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9" s="26"/>
      <c r="AO39" s="11"/>
      <c r="AP3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9" s="26"/>
      <c r="AR39" s="6"/>
      <c r="AS3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9" s="22" cm="1">
        <f t="array" aca="1" ref="AT39" ca="1">INDEX('SAP Customer Data '!A:Z,MATCH(بيانات_العملاء4[[#This Row],[رمز شريك الأعمال]],'SAP Customer Data '!B:B,0),CELL("col",Table_Customer_Data[[#Headers],[CreateDate]]))</f>
        <v>44877</v>
      </c>
      <c r="AU39" s="30"/>
      <c r="AV39" s="11"/>
      <c r="AW39" s="6" t="s">
        <v>846</v>
      </c>
      <c r="AX39" s="6"/>
    </row>
    <row r="40" spans="1:50" x14ac:dyDescent="0.25">
      <c r="A40" s="17" t="str" cm="1">
        <f t="array" aca="1" ref="A40" ca="1">INDEX('SAP Customer Data '!$A:$AC,MATCH(بيانات_العملاء4[[#This Row],[رمز شريك الأعمال]],'SAP Customer Data '!$B:$B,0),CELL("col",Table_Customer_Data[[#Headers],[GroupName]]))</f>
        <v>CS02</v>
      </c>
      <c r="B40" s="8" t="s">
        <v>10</v>
      </c>
      <c r="C40" s="18" t="str" cm="1">
        <f t="array" aca="1" ref="C40" ca="1">INDEX('SAP Customer Data '!$A:$AC,MATCH(بيانات_العملاء4[[#This Row],[رمز شريك الأعمال]],'SAP Customer Data '!$B:$B,0),CELL("col",Table_Customer_Data[[#Headers],[CardName]]))</f>
        <v>مؤسسة يحيي حسن عيظة عوجري التجارية</v>
      </c>
      <c r="D40" s="26" t="str">
        <f ca="1">IF(بيانات_العملاء4[[#This Row],[حد الائتمان على SAP]]&gt;0,"آجل","نقدى")</f>
        <v>آجل</v>
      </c>
      <c r="E40" s="6" t="s">
        <v>361</v>
      </c>
      <c r="F40" s="26" t="s">
        <v>385</v>
      </c>
      <c r="G40" s="26" t="s">
        <v>54</v>
      </c>
      <c r="H4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0" s="26" t="s">
        <v>54</v>
      </c>
      <c r="J40" s="9">
        <v>45115</v>
      </c>
      <c r="K40" s="27" t="s">
        <v>55</v>
      </c>
      <c r="L40" s="19" t="str">
        <f ca="1">IF(AND(بيانات_العملاء4[[#This Row],[السجل التجارى]]="موجود",TODAY()+'Other Data'!$B$23&lt;J40,بيانات_العملاء4[[#This Row],[مطابقة اسم العميل بالاسم بالسجل التجارى]]="مطابق"), "سارى", "يجب اعادة طلبه")</f>
        <v>يجب اعادة طلبه</v>
      </c>
      <c r="M40" s="28" t="s">
        <v>56</v>
      </c>
      <c r="N40" s="13" t="str" cm="1">
        <f t="array" aca="1" ref="N40" ca="1">INDEX('SAP Customer Data '!A:Z,MATCH(بيانات_العملاء4[[#This Row],[رمز شريك الأعمال]],'SAP Customer Data '!B:B,0),CELL("col",Table_Customer_Data[[#Headers],[LicTradNum]]))</f>
        <v>302185578300003</v>
      </c>
      <c r="O4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40" s="26" t="s">
        <v>54</v>
      </c>
      <c r="Q40" s="9">
        <v>44926</v>
      </c>
      <c r="R4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40" s="26" t="s">
        <v>54</v>
      </c>
      <c r="T40" s="10">
        <v>100000</v>
      </c>
      <c r="U40" s="11"/>
      <c r="V4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40" s="18" cm="1">
        <f t="array" aca="1" ref="X40" ca="1">INDEX('SAP Customer Data '!$A:$AC,MATCH(بيانات_العملاء4[[#This Row],[رمز شريك الأعمال]],'SAP Customer Data '!$B:$B,0),CELL("col",Table_Customer_Data[[#Headers],[CreditLine]]))</f>
        <v>50000</v>
      </c>
      <c r="Y4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0" s="26" t="s">
        <v>55</v>
      </c>
      <c r="AA4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40" s="26" t="s">
        <v>54</v>
      </c>
      <c r="AC40" s="16">
        <v>48173</v>
      </c>
      <c r="AD4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40" s="26" t="s">
        <v>56</v>
      </c>
      <c r="AF40" s="16"/>
      <c r="AG4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0" s="26" t="s">
        <v>56</v>
      </c>
      <c r="AI40" s="6"/>
      <c r="AJ4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0" s="26"/>
      <c r="AL40" s="9"/>
      <c r="AM4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0" s="26" t="s">
        <v>56</v>
      </c>
      <c r="AO40" s="11"/>
      <c r="AP4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0" s="26" t="s">
        <v>56</v>
      </c>
      <c r="AR40" s="6"/>
      <c r="AS4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0" s="22" cm="1">
        <f t="array" aca="1" ref="AT40" ca="1">INDEX('SAP Customer Data '!A:Z,MATCH(بيانات_العملاء4[[#This Row],[رمز شريك الأعمال]],'SAP Customer Data '!B:B,0),CELL("col",Table_Customer_Data[[#Headers],[CreateDate]]))</f>
        <v>44905</v>
      </c>
      <c r="AU40" s="30"/>
      <c r="AV40" s="11"/>
      <c r="AW40" s="6" t="s">
        <v>846</v>
      </c>
      <c r="AX40" s="6"/>
    </row>
    <row r="41" spans="1:50" x14ac:dyDescent="0.25">
      <c r="A41" s="17" t="str" cm="1">
        <f t="array" aca="1" ref="A41" ca="1">INDEX('SAP Customer Data '!$A:$AC,MATCH(بيانات_العملاء4[[#This Row],[رمز شريك الأعمال]],'SAP Customer Data '!$B:$B,0),CELL("col",Table_Customer_Data[[#Headers],[GroupName]]))</f>
        <v>CS02</v>
      </c>
      <c r="B41" s="8" t="s">
        <v>12</v>
      </c>
      <c r="C41" s="18" t="str" cm="1">
        <f t="array" aca="1" ref="C41" ca="1">INDEX('SAP Customer Data '!$A:$AC,MATCH(بيانات_العملاء4[[#This Row],[رمز شريك الأعمال]],'SAP Customer Data '!$B:$B,0),CELL("col",Table_Customer_Data[[#Headers],[CardName]]))</f>
        <v>شركة جملة الدرب الحديث التجارية</v>
      </c>
      <c r="D41" s="26" t="str">
        <f ca="1">IF(بيانات_العملاء4[[#This Row],[حد الائتمان على SAP]]&gt;0,"آجل","نقدى")</f>
        <v>آجل</v>
      </c>
      <c r="E41" s="6"/>
      <c r="F41" s="26" t="s">
        <v>330</v>
      </c>
      <c r="G41" s="26" t="s">
        <v>54</v>
      </c>
      <c r="H4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1" s="26" t="s">
        <v>54</v>
      </c>
      <c r="J41" s="9">
        <v>45002</v>
      </c>
      <c r="K41" s="27" t="s">
        <v>55</v>
      </c>
      <c r="L41" s="19" t="str">
        <f ca="1">IF(AND(بيانات_العملاء4[[#This Row],[السجل التجارى]]="موجود",TODAY()+'Other Data'!$B$23&lt;J41,بيانات_العملاء4[[#This Row],[مطابقة اسم العميل بالاسم بالسجل التجارى]]="مطابق"), "سارى", "يجب اعادة طلبه")</f>
        <v>يجب اعادة طلبه</v>
      </c>
      <c r="M41" s="28" t="s">
        <v>54</v>
      </c>
      <c r="N41" s="13" t="str" cm="1">
        <f t="array" aca="1" ref="N41" ca="1">INDEX('SAP Customer Data '!A:Z,MATCH(بيانات_العملاء4[[#This Row],[رمز شريك الأعمال]],'SAP Customer Data '!B:B,0),CELL("col",Table_Customer_Data[[#Headers],[LicTradNum]]))</f>
        <v>311242601800003</v>
      </c>
      <c r="O4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1" s="26" t="s">
        <v>54</v>
      </c>
      <c r="Q41" s="9">
        <v>44930</v>
      </c>
      <c r="R4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41" s="26" t="s">
        <v>54</v>
      </c>
      <c r="T41" s="10">
        <v>50000</v>
      </c>
      <c r="U41" s="11">
        <v>44929</v>
      </c>
      <c r="V41" s="20">
        <f>IF(بيانات_العملاء4[[#This Row],[تاريخ انشاء سند الامر او الاستثناء]]="","",بيانات_العملاء4[[#This Row],[تاريخ انشاء سند الامر او الاستثناء]]+365*3)</f>
        <v>46024</v>
      </c>
      <c r="W4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41" s="18" cm="1">
        <f t="array" aca="1" ref="X41" ca="1">INDEX('SAP Customer Data '!$A:$AC,MATCH(بيانات_العملاء4[[#This Row],[رمز شريك الأعمال]],'SAP Customer Data '!$B:$B,0),CELL("col",Table_Customer_Data[[#Headers],[CreditLine]]))</f>
        <v>30000</v>
      </c>
      <c r="Y4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41" s="26" t="s">
        <v>55</v>
      </c>
      <c r="AA4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41" s="26" t="s">
        <v>56</v>
      </c>
      <c r="AC41" s="16"/>
      <c r="AD4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1" s="26" t="s">
        <v>54</v>
      </c>
      <c r="AF41" s="16"/>
      <c r="AG4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1" s="26" t="s">
        <v>56</v>
      </c>
      <c r="AI41" s="6"/>
      <c r="AJ4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1" s="26"/>
      <c r="AL41" s="9"/>
      <c r="AM4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1" s="26" t="s">
        <v>54</v>
      </c>
      <c r="AO41" s="11">
        <v>44862</v>
      </c>
      <c r="AP4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1" s="26" t="s">
        <v>56</v>
      </c>
      <c r="AR41" s="6"/>
      <c r="AS4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1" s="22" cm="1">
        <f t="array" aca="1" ref="AT41" ca="1">INDEX('SAP Customer Data '!A:Z,MATCH(بيانات_العملاء4[[#This Row],[رمز شريك الأعمال]],'SAP Customer Data '!B:B,0),CELL("col",Table_Customer_Data[[#Headers],[CreateDate]]))</f>
        <v>44934</v>
      </c>
      <c r="AU41" s="30"/>
      <c r="AV41" s="11"/>
      <c r="AW41" s="6" t="s">
        <v>846</v>
      </c>
      <c r="AX41" s="6"/>
    </row>
    <row r="42" spans="1:50" x14ac:dyDescent="0.25">
      <c r="A42" s="17" t="str" cm="1">
        <f t="array" aca="1" ref="A42" ca="1">INDEX('SAP Customer Data '!$A:$AC,MATCH(بيانات_العملاء4[[#This Row],[رمز شريك الأعمال]],'SAP Customer Data '!$B:$B,0),CELL("col",Table_Customer_Data[[#Headers],[GroupName]]))</f>
        <v>CS02</v>
      </c>
      <c r="B42" s="8" t="s">
        <v>81</v>
      </c>
      <c r="C42" s="18" t="str" cm="1">
        <f t="array" aca="1" ref="C42" ca="1">INDEX('SAP Customer Data '!$A:$AC,MATCH(بيانات_العملاء4[[#This Row],[رمز شريك الأعمال]],'SAP Customer Data '!$B:$B,0),CELL("col",Table_Customer_Data[[#Headers],[CardName]]))</f>
        <v>شركة تخصص الاعمار للتجارة</v>
      </c>
      <c r="D42" s="26" t="str">
        <f ca="1">IF(بيانات_العملاء4[[#This Row],[حد الائتمان على SAP]]&gt;0,"آجل","نقدى")</f>
        <v>آجل</v>
      </c>
      <c r="E42" s="6"/>
      <c r="F42" s="26" t="s">
        <v>309</v>
      </c>
      <c r="G42" s="26" t="s">
        <v>54</v>
      </c>
      <c r="H4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2" s="26" t="s">
        <v>54</v>
      </c>
      <c r="J42" s="9">
        <v>45219</v>
      </c>
      <c r="K42" s="27" t="s">
        <v>55</v>
      </c>
      <c r="L42" s="19" t="str">
        <f ca="1">IF(AND(بيانات_العملاء4[[#This Row],[السجل التجارى]]="موجود",TODAY()+'Other Data'!$B$23&lt;J42,بيانات_العملاء4[[#This Row],[مطابقة اسم العميل بالاسم بالسجل التجارى]]="مطابق"), "سارى", "يجب اعادة طلبه")</f>
        <v>سارى</v>
      </c>
      <c r="M42" s="28" t="s">
        <v>54</v>
      </c>
      <c r="N42" s="13" t="str" cm="1">
        <f t="array" aca="1" ref="N42" ca="1">INDEX('SAP Customer Data '!A:Z,MATCH(بيانات_العملاء4[[#This Row],[رمز شريك الأعمال]],'SAP Customer Data '!B:B,0),CELL("col",Table_Customer_Data[[#Headers],[LicTradNum]]))</f>
        <v>311157027100003</v>
      </c>
      <c r="O4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2" s="26" t="s">
        <v>54</v>
      </c>
      <c r="Q42" s="9">
        <v>45688</v>
      </c>
      <c r="R4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42" s="26" t="s">
        <v>54</v>
      </c>
      <c r="T42" s="10">
        <v>100000</v>
      </c>
      <c r="U42" s="11">
        <v>44955</v>
      </c>
      <c r="V42" s="20">
        <f>IF(بيانات_العملاء4[[#This Row],[تاريخ انشاء سند الامر او الاستثناء]]="","",بيانات_العملاء4[[#This Row],[تاريخ انشاء سند الامر او الاستثناء]]+365*3)</f>
        <v>46050</v>
      </c>
      <c r="W4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42" s="18" cm="1">
        <f t="array" aca="1" ref="X42" ca="1">INDEX('SAP Customer Data '!$A:$AC,MATCH(بيانات_العملاء4[[#This Row],[رمز شريك الأعمال]],'SAP Customer Data '!$B:$B,0),CELL("col",Table_Customer_Data[[#Headers],[CreditLine]]))</f>
        <v>40000</v>
      </c>
      <c r="Y4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42" s="26" t="s">
        <v>55</v>
      </c>
      <c r="AA4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42" s="26" t="s">
        <v>56</v>
      </c>
      <c r="AC42" s="16"/>
      <c r="AD4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2" s="26" t="s">
        <v>54</v>
      </c>
      <c r="AF42" s="16"/>
      <c r="AG4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2" s="26" t="s">
        <v>56</v>
      </c>
      <c r="AI42" s="6"/>
      <c r="AJ4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2" s="26"/>
      <c r="AL42" s="9"/>
      <c r="AM4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2" s="26" t="s">
        <v>54</v>
      </c>
      <c r="AO42" s="11">
        <v>44879</v>
      </c>
      <c r="AP4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2" s="26" t="s">
        <v>56</v>
      </c>
      <c r="AR42" s="6"/>
      <c r="AS4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2" s="22" cm="1">
        <f t="array" aca="1" ref="AT42" ca="1">INDEX('SAP Customer Data '!A:Z,MATCH(بيانات_العملاء4[[#This Row],[رمز شريك الأعمال]],'SAP Customer Data '!B:B,0),CELL("col",Table_Customer_Data[[#Headers],[CreateDate]]))</f>
        <v>44955</v>
      </c>
      <c r="AU42" s="30" t="s">
        <v>316</v>
      </c>
      <c r="AV42" s="11"/>
      <c r="AW42" s="6" t="s">
        <v>846</v>
      </c>
      <c r="AX42" s="6"/>
    </row>
    <row r="43" spans="1:50" x14ac:dyDescent="0.25">
      <c r="A43" s="17" t="str" cm="1">
        <f t="array" aca="1" ref="A43" ca="1">INDEX('SAP Customer Data '!$A:$AC,MATCH(بيانات_العملاء4[[#This Row],[رمز شريك الأعمال]],'SAP Customer Data '!$B:$B,0),CELL("col",Table_Customer_Data[[#Headers],[GroupName]]))</f>
        <v>CS02</v>
      </c>
      <c r="B43" s="8" t="s">
        <v>82</v>
      </c>
      <c r="C43" s="18" t="str" cm="1">
        <f t="array" aca="1" ref="C43" ca="1">INDEX('SAP Customer Data '!$A:$AC,MATCH(بيانات_العملاء4[[#This Row],[رمز شريك الأعمال]],'SAP Customer Data '!$B:$B,0),CELL("col",Table_Customer_Data[[#Headers],[CardName]]))</f>
        <v>مؤسسة شواهد تميز للتجارة</v>
      </c>
      <c r="D43" s="26" t="str">
        <f ca="1">IF(بيانات_العملاء4[[#This Row],[حد الائتمان على SAP]]&gt;0,"آجل","نقدى")</f>
        <v>آجل</v>
      </c>
      <c r="E43" s="6" t="s">
        <v>333</v>
      </c>
      <c r="F43" s="26" t="s">
        <v>385</v>
      </c>
      <c r="G43" s="26" t="s">
        <v>54</v>
      </c>
      <c r="H4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3" s="26" t="s">
        <v>54</v>
      </c>
      <c r="J43" s="9">
        <v>46028</v>
      </c>
      <c r="K43" s="27" t="s">
        <v>55</v>
      </c>
      <c r="L43" s="19" t="str">
        <f ca="1">IF(AND(بيانات_العملاء4[[#This Row],[السجل التجارى]]="موجود",TODAY()+'Other Data'!$B$23&lt;J43,بيانات_العملاء4[[#This Row],[مطابقة اسم العميل بالاسم بالسجل التجارى]]="مطابق"), "سارى", "يجب اعادة طلبه")</f>
        <v>سارى</v>
      </c>
      <c r="M43" s="28" t="s">
        <v>54</v>
      </c>
      <c r="N43" s="13" t="str" cm="1">
        <f t="array" aca="1" ref="N43" ca="1">INDEX('SAP Customer Data '!A:Z,MATCH(بيانات_العملاء4[[#This Row],[رمز شريك الأعمال]],'SAP Customer Data '!B:B,0),CELL("col",Table_Customer_Data[[#Headers],[LicTradNum]]))</f>
        <v>300549428400003</v>
      </c>
      <c r="O4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3" s="26" t="s">
        <v>56</v>
      </c>
      <c r="Q43" s="9"/>
      <c r="R4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43" s="26" t="s">
        <v>54</v>
      </c>
      <c r="T43" s="10">
        <v>50000</v>
      </c>
      <c r="U43" s="11">
        <v>44907</v>
      </c>
      <c r="V43" s="20">
        <f>IF(بيانات_العملاء4[[#This Row],[تاريخ انشاء سند الامر او الاستثناء]]="","",بيانات_العملاء4[[#This Row],[تاريخ انشاء سند الامر او الاستثناء]]+365*3)</f>
        <v>46002</v>
      </c>
      <c r="W4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43" s="18" cm="1">
        <f t="array" aca="1" ref="X43" ca="1">INDEX('SAP Customer Data '!$A:$AC,MATCH(بيانات_العملاء4[[#This Row],[رمز شريك الأعمال]],'SAP Customer Data '!$B:$B,0),CELL("col",Table_Customer_Data[[#Headers],[CreditLine]]))</f>
        <v>25000</v>
      </c>
      <c r="Y4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3" s="26" t="s">
        <v>55</v>
      </c>
      <c r="AA4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43" s="26" t="s">
        <v>54</v>
      </c>
      <c r="AC43" s="16">
        <v>47285</v>
      </c>
      <c r="AD4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43" s="26" t="s">
        <v>56</v>
      </c>
      <c r="AF43" s="16"/>
      <c r="AG4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3" s="26" t="s">
        <v>54</v>
      </c>
      <c r="AI43" s="6"/>
      <c r="AJ4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3" s="26" t="s">
        <v>54</v>
      </c>
      <c r="AL43" s="9"/>
      <c r="AM4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3" s="26" t="s">
        <v>54</v>
      </c>
      <c r="AO43" s="11">
        <v>44722</v>
      </c>
      <c r="AP4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3" s="26" t="s">
        <v>56</v>
      </c>
      <c r="AR43" s="6"/>
      <c r="AS4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3" s="22" cm="1">
        <f t="array" aca="1" ref="AT43" ca="1">INDEX('SAP Customer Data '!A:Z,MATCH(بيانات_العملاء4[[#This Row],[رمز شريك الأعمال]],'SAP Customer Data '!B:B,0),CELL("col",Table_Customer_Data[[#Headers],[CreateDate]]))</f>
        <v>44958</v>
      </c>
      <c r="AU43" s="30"/>
      <c r="AV43" s="11"/>
      <c r="AW43" s="6" t="s">
        <v>846</v>
      </c>
      <c r="AX43" s="6"/>
    </row>
    <row r="44" spans="1:50" x14ac:dyDescent="0.25">
      <c r="A44" s="17" t="str" cm="1">
        <f t="array" aca="1" ref="A44" ca="1">INDEX('SAP Customer Data '!$A:$AC,MATCH(بيانات_العملاء4[[#This Row],[رمز شريك الأعمال]],'SAP Customer Data '!$B:$B,0),CELL("col",Table_Customer_Data[[#Headers],[GroupName]]))</f>
        <v>CS02</v>
      </c>
      <c r="B44" s="8" t="s">
        <v>84</v>
      </c>
      <c r="C44" s="18" t="str" cm="1">
        <f t="array" aca="1" ref="C44" ca="1">INDEX('SAP Customer Data '!$A:$AC,MATCH(بيانات_العملاء4[[#This Row],[رمز شريك الأعمال]],'SAP Customer Data '!$B:$B,0),CELL("col",Table_Customer_Data[[#Headers],[CardName]]))</f>
        <v>مؤسسة مدينة الاضاءة للتجارة-نقدي</v>
      </c>
      <c r="D44" s="26" t="str">
        <f ca="1">IF(بيانات_العملاء4[[#This Row],[حد الائتمان على SAP]]&gt;0,"آجل","نقدى")</f>
        <v>نقدى</v>
      </c>
      <c r="E44" s="6" t="s">
        <v>334</v>
      </c>
      <c r="F44" s="26" t="s">
        <v>385</v>
      </c>
      <c r="G44" s="26" t="s">
        <v>56</v>
      </c>
      <c r="H4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44" s="26" t="s">
        <v>54</v>
      </c>
      <c r="J44" s="9">
        <v>46075</v>
      </c>
      <c r="K44" s="27" t="s">
        <v>55</v>
      </c>
      <c r="L44" s="19" t="str">
        <f ca="1">IF(AND(بيانات_العملاء4[[#This Row],[السجل التجارى]]="موجود",TODAY()+'Other Data'!$B$23&lt;J44,بيانات_العملاء4[[#This Row],[مطابقة اسم العميل بالاسم بالسجل التجارى]]="مطابق"), "سارى", "يجب اعادة طلبه")</f>
        <v>سارى</v>
      </c>
      <c r="M44" s="28" t="s">
        <v>54</v>
      </c>
      <c r="N44" s="13" t="str" cm="1">
        <f t="array" aca="1" ref="N44" ca="1">INDEX('SAP Customer Data '!A:Z,MATCH(بيانات_العملاء4[[#This Row],[رمز شريك الأعمال]],'SAP Customer Data '!B:B,0),CELL("col",Table_Customer_Data[[#Headers],[LicTradNum]]))</f>
        <v>310022604400003</v>
      </c>
      <c r="O4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4" s="26" t="s">
        <v>54</v>
      </c>
      <c r="Q44" s="9">
        <v>45677</v>
      </c>
      <c r="R4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44" s="26" t="s">
        <v>56</v>
      </c>
      <c r="T44" s="10"/>
      <c r="U44" s="11"/>
      <c r="V4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44" s="18" cm="1">
        <f t="array" aca="1" ref="X44" ca="1">INDEX('SAP Customer Data '!$A:$AC,MATCH(بيانات_العملاء4[[#This Row],[رمز شريك الأعمال]],'SAP Customer Data '!$B:$B,0),CELL("col",Table_Customer_Data[[#Headers],[CreditLine]]))</f>
        <v>0</v>
      </c>
      <c r="Y4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4" s="26"/>
      <c r="AA4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44" s="26" t="s">
        <v>56</v>
      </c>
      <c r="AC44" s="16"/>
      <c r="AD4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4" s="26" t="s">
        <v>56</v>
      </c>
      <c r="AF44" s="16"/>
      <c r="AG4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4" s="26" t="s">
        <v>56</v>
      </c>
      <c r="AI44" s="6"/>
      <c r="AJ4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4" s="26"/>
      <c r="AL44" s="9"/>
      <c r="AM4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4" s="26" t="s">
        <v>56</v>
      </c>
      <c r="AO44" s="11"/>
      <c r="AP4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4" s="26" t="s">
        <v>56</v>
      </c>
      <c r="AR44" s="6"/>
      <c r="AS4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4" s="22" cm="1">
        <f t="array" aca="1" ref="AT44" ca="1">INDEX('SAP Customer Data '!A:Z,MATCH(بيانات_العملاء4[[#This Row],[رمز شريك الأعمال]],'SAP Customer Data '!B:B,0),CELL("col",Table_Customer_Data[[#Headers],[CreateDate]]))</f>
        <v>44989</v>
      </c>
      <c r="AU44" s="30"/>
      <c r="AV44" s="11"/>
      <c r="AW44" s="6" t="s">
        <v>846</v>
      </c>
      <c r="AX44" s="6"/>
    </row>
    <row r="45" spans="1:50" x14ac:dyDescent="0.25">
      <c r="A45" s="17" t="str" cm="1">
        <f t="array" aca="1" ref="A45" ca="1">INDEX('SAP Customer Data '!$A:$AC,MATCH(بيانات_العملاء4[[#This Row],[رمز شريك الأعمال]],'SAP Customer Data '!$B:$B,0),CELL("col",Table_Customer_Data[[#Headers],[GroupName]]))</f>
        <v>CS02</v>
      </c>
      <c r="B45" s="8" t="s">
        <v>86</v>
      </c>
      <c r="C45" s="18" t="str" cm="1">
        <f t="array" aca="1" ref="C45" ca="1">INDEX('SAP Customer Data '!$A:$AC,MATCH(بيانات_العملاء4[[#This Row],[رمز شريك الأعمال]],'SAP Customer Data '!$B:$B,0),CELL("col",Table_Customer_Data[[#Headers],[CardName]]))</f>
        <v>مؤسسة الدقة العمرانية لمواد البناء</v>
      </c>
      <c r="D45" s="26" t="str">
        <f ca="1">IF(بيانات_العملاء4[[#This Row],[حد الائتمان على SAP]]&gt;0,"آجل","نقدى")</f>
        <v>آجل</v>
      </c>
      <c r="E45" s="6" t="s">
        <v>335</v>
      </c>
      <c r="F45" s="26" t="s">
        <v>385</v>
      </c>
      <c r="G45" s="26" t="s">
        <v>54</v>
      </c>
      <c r="H4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5" s="26" t="s">
        <v>54</v>
      </c>
      <c r="J45" s="9">
        <v>45438</v>
      </c>
      <c r="K45" s="27" t="s">
        <v>55</v>
      </c>
      <c r="L45" s="19" t="str">
        <f ca="1">IF(AND(بيانات_العملاء4[[#This Row],[السجل التجارى]]="موجود",TODAY()+'Other Data'!$B$23&lt;J45,بيانات_العملاء4[[#This Row],[مطابقة اسم العميل بالاسم بالسجل التجارى]]="مطابق"), "سارى", "يجب اعادة طلبه")</f>
        <v>سارى</v>
      </c>
      <c r="M45" s="28" t="s">
        <v>54</v>
      </c>
      <c r="N45" s="13" t="str" cm="1">
        <f t="array" aca="1" ref="N45" ca="1">INDEX('SAP Customer Data '!A:Z,MATCH(بيانات_العملاء4[[#This Row],[رمز شريك الأعمال]],'SAP Customer Data '!B:B,0),CELL("col",Table_Customer_Data[[#Headers],[LicTradNum]]))</f>
        <v>310965030300003</v>
      </c>
      <c r="O4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5" s="26" t="s">
        <v>54</v>
      </c>
      <c r="Q45" s="9">
        <v>45179</v>
      </c>
      <c r="R4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45" s="26" t="s">
        <v>54</v>
      </c>
      <c r="T45" s="10">
        <v>50000</v>
      </c>
      <c r="U45" s="11">
        <v>44972</v>
      </c>
      <c r="V45" s="20">
        <f>IF(بيانات_العملاء4[[#This Row],[تاريخ انشاء سند الامر او الاستثناء]]="","",بيانات_العملاء4[[#This Row],[تاريخ انشاء سند الامر او الاستثناء]]+365*3)</f>
        <v>46067</v>
      </c>
      <c r="W4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45" s="18" cm="1">
        <f t="array" aca="1" ref="X45" ca="1">INDEX('SAP Customer Data '!$A:$AC,MATCH(بيانات_العملاء4[[#This Row],[رمز شريك الأعمال]],'SAP Customer Data '!$B:$B,0),CELL("col",Table_Customer_Data[[#Headers],[CreditLine]]))</f>
        <v>25000</v>
      </c>
      <c r="Y4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5" s="26" t="s">
        <v>55</v>
      </c>
      <c r="AA4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45" s="26" t="s">
        <v>54</v>
      </c>
      <c r="AC45" s="16">
        <v>49665</v>
      </c>
      <c r="AD4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45" s="26" t="s">
        <v>54</v>
      </c>
      <c r="AF45" s="16">
        <v>46647</v>
      </c>
      <c r="AG4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45" s="26" t="s">
        <v>54</v>
      </c>
      <c r="AI45" s="6"/>
      <c r="AJ4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5" s="26" t="s">
        <v>54</v>
      </c>
      <c r="AL45" s="9">
        <v>38999</v>
      </c>
      <c r="AM4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5" s="26" t="s">
        <v>54</v>
      </c>
      <c r="AO45" s="11">
        <v>44856</v>
      </c>
      <c r="AP4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5" s="26" t="s">
        <v>56</v>
      </c>
      <c r="AR45" s="6"/>
      <c r="AS4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5" s="22" cm="1">
        <f t="array" aca="1" ref="AT45" ca="1">INDEX('SAP Customer Data '!A:Z,MATCH(بيانات_العملاء4[[#This Row],[رمز شريك الأعمال]],'SAP Customer Data '!B:B,0),CELL("col",Table_Customer_Data[[#Headers],[CreateDate]]))</f>
        <v>44993</v>
      </c>
      <c r="AU45" s="30"/>
      <c r="AV45" s="11"/>
      <c r="AW45" s="6" t="s">
        <v>846</v>
      </c>
      <c r="AX45" s="6"/>
    </row>
    <row r="46" spans="1:50" x14ac:dyDescent="0.25">
      <c r="A46" s="17" t="str" cm="1">
        <f t="array" aca="1" ref="A46" ca="1">INDEX('SAP Customer Data '!$A:$AC,MATCH(بيانات_العملاء4[[#This Row],[رمز شريك الأعمال]],'SAP Customer Data '!$B:$B,0),CELL("col",Table_Customer_Data[[#Headers],[GroupName]]))</f>
        <v>CS02</v>
      </c>
      <c r="B46" s="8" t="s">
        <v>323</v>
      </c>
      <c r="C46" s="18" t="str" cm="1">
        <f t="array" aca="1" ref="C46" ca="1">INDEX('SAP Customer Data '!$A:$AC,MATCH(بيانات_العملاء4[[#This Row],[رمز شريك الأعمال]],'SAP Customer Data '!$B:$B,0),CELL("col",Table_Customer_Data[[#Headers],[CardName]]))</f>
        <v>مؤسسة افاق الاعمار لمواد البناء - نقدي</v>
      </c>
      <c r="D46" s="26" t="str">
        <f ca="1">IF(بيانات_العملاء4[[#This Row],[حد الائتمان على SAP]]&gt;0,"آجل","نقدى")</f>
        <v>نقدى</v>
      </c>
      <c r="E46" s="6" t="s">
        <v>325</v>
      </c>
      <c r="F46" s="26" t="s">
        <v>385</v>
      </c>
      <c r="G46" s="26" t="s">
        <v>56</v>
      </c>
      <c r="H46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46" s="26" t="s">
        <v>54</v>
      </c>
      <c r="J46" s="9">
        <v>45198</v>
      </c>
      <c r="K46" s="27" t="s">
        <v>55</v>
      </c>
      <c r="L46" s="19" t="str">
        <f ca="1">IF(AND(بيانات_العملاء4[[#This Row],[السجل التجارى]]="موجود",TODAY()+'Other Data'!$B$23&lt;J46,بيانات_العملاء4[[#This Row],[مطابقة اسم العميل بالاسم بالسجل التجارى]]="مطابق"), "سارى", "يجب اعادة طلبه")</f>
        <v>سارى</v>
      </c>
      <c r="M46" s="28" t="s">
        <v>54</v>
      </c>
      <c r="N46" s="13" t="str" cm="1">
        <f t="array" aca="1" ref="N46" ca="1">INDEX('SAP Customer Data '!A:Z,MATCH(بيانات_العملاء4[[#This Row],[رمز شريك الأعمال]],'SAP Customer Data '!B:B,0),CELL("col",Table_Customer_Data[[#Headers],[LicTradNum]]))</f>
        <v>302027070300003</v>
      </c>
      <c r="O4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6" s="26" t="s">
        <v>56</v>
      </c>
      <c r="Q46" s="9"/>
      <c r="R46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46" s="26" t="s">
        <v>56</v>
      </c>
      <c r="T46" s="10"/>
      <c r="U46" s="11"/>
      <c r="V46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46" s="18" cm="1">
        <f t="array" aca="1" ref="X46" ca="1">INDEX('SAP Customer Data '!$A:$AC,MATCH(بيانات_العملاء4[[#This Row],[رمز شريك الأعمال]],'SAP Customer Data '!$B:$B,0),CELL("col",Table_Customer_Data[[#Headers],[CreditLine]]))</f>
        <v>0</v>
      </c>
      <c r="Y4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6" s="26"/>
      <c r="AA4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46" s="26" t="s">
        <v>56</v>
      </c>
      <c r="AC46" s="16"/>
      <c r="AD46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6" s="26" t="s">
        <v>56</v>
      </c>
      <c r="AF46" s="16"/>
      <c r="AG4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46" s="26" t="s">
        <v>56</v>
      </c>
      <c r="AI46" s="6"/>
      <c r="AJ4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46" s="26"/>
      <c r="AL46" s="9"/>
      <c r="AM4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6" s="26" t="s">
        <v>56</v>
      </c>
      <c r="AO46" s="11"/>
      <c r="AP4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6" s="26" t="s">
        <v>56</v>
      </c>
      <c r="AR46" s="6"/>
      <c r="AS4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46" s="22" cm="1">
        <f t="array" aca="1" ref="AT46" ca="1">INDEX('SAP Customer Data '!A:Z,MATCH(بيانات_العملاء4[[#This Row],[رمز شريك الأعمال]],'SAP Customer Data '!B:B,0),CELL("col",Table_Customer_Data[[#Headers],[CreateDate]]))</f>
        <v>45029</v>
      </c>
      <c r="AU46" s="30"/>
      <c r="AV46" s="11" t="s">
        <v>326</v>
      </c>
      <c r="AW46" s="6" t="s">
        <v>846</v>
      </c>
      <c r="AX46" s="6"/>
    </row>
    <row r="47" spans="1:50" x14ac:dyDescent="0.25">
      <c r="A47" s="17" t="str" cm="1">
        <f t="array" aca="1" ref="A47" ca="1">INDEX('SAP Customer Data '!$A:$AC,MATCH(بيانات_العملاء4[[#This Row],[رمز شريك الأعمال]],'SAP Customer Data '!$B:$B,0),CELL("col",Table_Customer_Data[[#Headers],[GroupName]]))</f>
        <v>CS02</v>
      </c>
      <c r="B47" s="8" t="s">
        <v>338</v>
      </c>
      <c r="C47" s="18" t="str" cm="1">
        <f t="array" aca="1" ref="C47" ca="1">INDEX('SAP Customer Data '!$A:$AC,MATCH(بيانات_العملاء4[[#This Row],[رمز شريك الأعمال]],'SAP Customer Data '!$B:$B,0),CELL("col",Table_Customer_Data[[#Headers],[CardName]]))</f>
        <v>مؤسسة محمد سالم بن سعد المهري للتجارة - نقدى</v>
      </c>
      <c r="D47" s="26" t="str">
        <f ca="1">IF(بيانات_العملاء4[[#This Row],[حد الائتمان على SAP]]&gt;0,"آجل","نقدى")</f>
        <v>نقدى</v>
      </c>
      <c r="E47" s="6" t="s">
        <v>340</v>
      </c>
      <c r="F47" s="26" t="s">
        <v>385</v>
      </c>
      <c r="G47" s="26" t="s">
        <v>56</v>
      </c>
      <c r="H47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47" s="26" t="s">
        <v>54</v>
      </c>
      <c r="J47" s="9">
        <v>46047</v>
      </c>
      <c r="K47" s="27" t="s">
        <v>55</v>
      </c>
      <c r="L47" s="19" t="str">
        <f ca="1">IF(AND(بيانات_العملاء4[[#This Row],[السجل التجارى]]="موجود",TODAY()+'Other Data'!$B$23&lt;J47,بيانات_العملاء4[[#This Row],[مطابقة اسم العميل بالاسم بالسجل التجارى]]="مطابق"), "سارى", "يجب اعادة طلبه")</f>
        <v>سارى</v>
      </c>
      <c r="M47" s="28" t="s">
        <v>54</v>
      </c>
      <c r="N47" s="13" t="str" cm="1">
        <f t="array" aca="1" ref="N47" ca="1">INDEX('SAP Customer Data '!A:Z,MATCH(بيانات_العملاء4[[#This Row],[رمز شريك الأعمال]],'SAP Customer Data '!B:B,0),CELL("col",Table_Customer_Data[[#Headers],[LicTradNum]]))</f>
        <v>310389704400003</v>
      </c>
      <c r="O4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7" s="26" t="s">
        <v>56</v>
      </c>
      <c r="Q47" s="9"/>
      <c r="R47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47" s="26" t="s">
        <v>56</v>
      </c>
      <c r="T47" s="10"/>
      <c r="U47" s="11"/>
      <c r="V47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47" s="18" cm="1">
        <f t="array" aca="1" ref="X47" ca="1">INDEX('SAP Customer Data '!$A:$AC,MATCH(بيانات_العملاء4[[#This Row],[رمز شريك الأعمال]],'SAP Customer Data '!$B:$B,0),CELL("col",Table_Customer_Data[[#Headers],[CreditLine]]))</f>
        <v>0</v>
      </c>
      <c r="Y4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7" s="26"/>
      <c r="AA4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47" s="26"/>
      <c r="AC47" s="16"/>
      <c r="AD47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7" s="26" t="s">
        <v>56</v>
      </c>
      <c r="AF47" s="16"/>
      <c r="AG4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47" s="26" t="s">
        <v>56</v>
      </c>
      <c r="AI47" s="6"/>
      <c r="AJ4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47" s="26"/>
      <c r="AL47" s="9"/>
      <c r="AM4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7" s="26" t="s">
        <v>56</v>
      </c>
      <c r="AO47" s="11"/>
      <c r="AP4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7" s="26" t="s">
        <v>56</v>
      </c>
      <c r="AR47" s="6"/>
      <c r="AS4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47" s="22" cm="1">
        <f t="array" aca="1" ref="AT47" ca="1">INDEX('SAP Customer Data '!A:Z,MATCH(بيانات_العملاء4[[#This Row],[رمز شريك الأعمال]],'SAP Customer Data '!B:B,0),CELL("col",Table_Customer_Data[[#Headers],[CreateDate]]))</f>
        <v>45046</v>
      </c>
      <c r="AU47" s="30"/>
      <c r="AV47" s="11" t="s">
        <v>341</v>
      </c>
      <c r="AW47" s="6" t="s">
        <v>846</v>
      </c>
      <c r="AX47" s="6"/>
    </row>
    <row r="48" spans="1:50" x14ac:dyDescent="0.25">
      <c r="A48" s="17" t="str" cm="1">
        <f t="array" aca="1" ref="A48" ca="1">INDEX('SAP Customer Data '!$A:$AC,MATCH(بيانات_العملاء4[[#This Row],[رمز شريك الأعمال]],'SAP Customer Data '!$B:$B,0),CELL("col",Table_Customer_Data[[#Headers],[GroupName]]))</f>
        <v>CS02</v>
      </c>
      <c r="B48" s="8" t="s">
        <v>343</v>
      </c>
      <c r="C48" s="18" t="str" cm="1">
        <f t="array" aca="1" ref="C48" ca="1">INDEX('SAP Customer Data '!$A:$AC,MATCH(بيانات_العملاء4[[#This Row],[رمز شريك الأعمال]],'SAP Customer Data '!$B:$B,0),CELL("col",Table_Customer_Data[[#Headers],[CardName]]))</f>
        <v>مؤسسة اجيال العود التجارية-نقدي</v>
      </c>
      <c r="D48" s="26" t="str">
        <f ca="1">IF(بيانات_العملاء4[[#This Row],[حد الائتمان على SAP]]&gt;0,"آجل","نقدى")</f>
        <v>نقدى</v>
      </c>
      <c r="E48" s="6" t="s">
        <v>344</v>
      </c>
      <c r="F48" s="26" t="s">
        <v>385</v>
      </c>
      <c r="G48" s="26" t="s">
        <v>56</v>
      </c>
      <c r="H48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48" s="26" t="s">
        <v>54</v>
      </c>
      <c r="J48" s="9">
        <v>45407</v>
      </c>
      <c r="K48" s="27" t="s">
        <v>55</v>
      </c>
      <c r="L48" s="19" t="str">
        <f ca="1">IF(AND(بيانات_العملاء4[[#This Row],[السجل التجارى]]="موجود",TODAY()+'Other Data'!$B$23&lt;J48,بيانات_العملاء4[[#This Row],[مطابقة اسم العميل بالاسم بالسجل التجارى]]="مطابق"), "سارى", "يجب اعادة طلبه")</f>
        <v>سارى</v>
      </c>
      <c r="M48" s="28" t="s">
        <v>54</v>
      </c>
      <c r="N48" s="13" t="str" cm="1">
        <f t="array" aca="1" ref="N48" ca="1">INDEX('SAP Customer Data '!A:Z,MATCH(بيانات_العملاء4[[#This Row],[رمز شريك الأعمال]],'SAP Customer Data '!B:B,0),CELL("col",Table_Customer_Data[[#Headers],[LicTradNum]]))</f>
        <v>310381554200003</v>
      </c>
      <c r="O4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8" s="26" t="s">
        <v>54</v>
      </c>
      <c r="Q48" s="9">
        <v>45548</v>
      </c>
      <c r="R48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48" s="26" t="s">
        <v>56</v>
      </c>
      <c r="T48" s="10"/>
      <c r="U48" s="11"/>
      <c r="V4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48" s="18" cm="1">
        <f t="array" aca="1" ref="X48" ca="1">INDEX('SAP Customer Data '!$A:$AC,MATCH(بيانات_العملاء4[[#This Row],[رمز شريك الأعمال]],'SAP Customer Data '!$B:$B,0),CELL("col",Table_Customer_Data[[#Headers],[CreditLine]]))</f>
        <v>0</v>
      </c>
      <c r="Y4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8" s="26"/>
      <c r="AA4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48" s="26" t="s">
        <v>56</v>
      </c>
      <c r="AC48" s="16"/>
      <c r="AD48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8" s="26"/>
      <c r="AF48" s="16"/>
      <c r="AG4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48" s="26"/>
      <c r="AI48" s="6"/>
      <c r="AJ4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48" s="26"/>
      <c r="AL48" s="9"/>
      <c r="AM4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8" s="26" t="s">
        <v>56</v>
      </c>
      <c r="AO48" s="11"/>
      <c r="AP4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8" s="26"/>
      <c r="AR48" s="6"/>
      <c r="AS4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48" s="22" cm="1">
        <f t="array" aca="1" ref="AT48" ca="1">INDEX('SAP Customer Data '!A:Z,MATCH(بيانات_العملاء4[[#This Row],[رمز شريك الأعمال]],'SAP Customer Data '!B:B,0),CELL("col",Table_Customer_Data[[#Headers],[CreateDate]]))</f>
        <v>45047</v>
      </c>
      <c r="AU48" s="30"/>
      <c r="AV48" s="11" t="s">
        <v>341</v>
      </c>
      <c r="AW48" s="6" t="s">
        <v>846</v>
      </c>
      <c r="AX48" s="6"/>
    </row>
    <row r="49" spans="1:50" x14ac:dyDescent="0.25">
      <c r="A49" s="17" t="str" cm="1">
        <f t="array" aca="1" ref="A49" ca="1">INDEX('SAP Customer Data '!$A:$AC,MATCH(بيانات_العملاء4[[#This Row],[رمز شريك الأعمال]],'SAP Customer Data '!$B:$B,0),CELL("col",Table_Customer_Data[[#Headers],[GroupName]]))</f>
        <v>CS02</v>
      </c>
      <c r="B49" s="8" t="s">
        <v>362</v>
      </c>
      <c r="C49" s="18" t="str" cm="1">
        <f t="array" aca="1" ref="C49" ca="1">INDEX('SAP Customer Data '!$A:$AC,MATCH(بيانات_العملاء4[[#This Row],[رمز شريك الأعمال]],'SAP Customer Data '!$B:$B,0),CELL("col",Table_Customer_Data[[#Headers],[CardName]]))</f>
        <v>شركة انارة نجف التجارية</v>
      </c>
      <c r="D49" s="26" t="str">
        <f ca="1">IF(بيانات_العملاء4[[#This Row],[حد الائتمان على SAP]]&gt;0,"آجل","نقدى")</f>
        <v>آجل</v>
      </c>
      <c r="E49" s="6"/>
      <c r="F49" s="26" t="s">
        <v>309</v>
      </c>
      <c r="G49" s="26" t="s">
        <v>54</v>
      </c>
      <c r="H4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9" s="26" t="s">
        <v>54</v>
      </c>
      <c r="J49" s="9">
        <v>45364</v>
      </c>
      <c r="K49" s="27" t="s">
        <v>55</v>
      </c>
      <c r="L49" s="19" t="str">
        <f ca="1">IF(AND(بيانات_العملاء4[[#This Row],[السجل التجارى]]="موجود",TODAY()+'Other Data'!$B$23&lt;J49,بيانات_العملاء4[[#This Row],[مطابقة اسم العميل بالاسم بالسجل التجارى]]="مطابق"), "سارى", "يجب اعادة طلبه")</f>
        <v>سارى</v>
      </c>
      <c r="M49" s="28" t="s">
        <v>54</v>
      </c>
      <c r="N49" s="13" t="str" cm="1">
        <f t="array" aca="1" ref="N49" ca="1">INDEX('SAP Customer Data '!A:Z,MATCH(بيانات_العملاء4[[#This Row],[رمز شريك الأعمال]],'SAP Customer Data '!B:B,0),CELL("col",Table_Customer_Data[[#Headers],[LicTradNum]]))</f>
        <v>311251108700003</v>
      </c>
      <c r="O4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9" s="26" t="s">
        <v>54</v>
      </c>
      <c r="Q49" s="9">
        <v>46448</v>
      </c>
      <c r="R49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49" s="26" t="s">
        <v>54</v>
      </c>
      <c r="T49" s="10">
        <v>200000</v>
      </c>
      <c r="U49" s="11">
        <v>45050</v>
      </c>
      <c r="V49" s="20">
        <f>IF(بيانات_العملاء4[[#This Row],[تاريخ انشاء سند الامر او الاستثناء]]="","",بيانات_العملاء4[[#This Row],[تاريخ انشاء سند الامر او الاستثناء]]+365*3)</f>
        <v>46145</v>
      </c>
      <c r="W4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49" s="18" cm="1">
        <f t="array" aca="1" ref="X49" ca="1">INDEX('SAP Customer Data '!$A:$AC,MATCH(بيانات_العملاء4[[#This Row],[رمز شريك الأعمال]],'SAP Customer Data '!$B:$B,0),CELL("col",Table_Customer_Data[[#Headers],[CreditLine]]))</f>
        <v>95000</v>
      </c>
      <c r="Y4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49" s="26" t="s">
        <v>55</v>
      </c>
      <c r="AA4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49" s="26" t="s">
        <v>56</v>
      </c>
      <c r="AC49" s="16"/>
      <c r="AD49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9" s="26" t="s">
        <v>56</v>
      </c>
      <c r="AF49" s="16"/>
      <c r="AG4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49" s="26" t="s">
        <v>56</v>
      </c>
      <c r="AI49" s="6"/>
      <c r="AJ4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49" s="26"/>
      <c r="AL49" s="9"/>
      <c r="AM4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9" s="26" t="s">
        <v>54</v>
      </c>
      <c r="AO49" s="11">
        <v>44661</v>
      </c>
      <c r="AP4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9" s="26" t="s">
        <v>56</v>
      </c>
      <c r="AR49" s="6"/>
      <c r="AS4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49" s="22" cm="1">
        <f t="array" aca="1" ref="AT49" ca="1">INDEX('SAP Customer Data '!A:Z,MATCH(بيانات_العملاء4[[#This Row],[رمز شريك الأعمال]],'SAP Customer Data '!B:B,0),CELL("col",Table_Customer_Data[[#Headers],[CreateDate]]))</f>
        <v>45052</v>
      </c>
      <c r="AU49" s="30"/>
      <c r="AV49" s="11"/>
      <c r="AW49" s="6" t="s">
        <v>846</v>
      </c>
      <c r="AX49" s="6"/>
    </row>
    <row r="50" spans="1:50" x14ac:dyDescent="0.25">
      <c r="A50" s="17" t="str" cm="1">
        <f t="array" aca="1" ref="A50" ca="1">INDEX('SAP Customer Data '!$A:$AC,MATCH(بيانات_العملاء4[[#This Row],[رمز شريك الأعمال]],'SAP Customer Data '!$B:$B,0),CELL("col",Table_Customer_Data[[#Headers],[GroupName]]))</f>
        <v>CS02</v>
      </c>
      <c r="B50" s="8" t="s">
        <v>356</v>
      </c>
      <c r="C50" s="18" t="str" cm="1">
        <f t="array" aca="1" ref="C50" ca="1">INDEX('SAP Customer Data '!$A:$AC,MATCH(بيانات_العملاء4[[#This Row],[رمز شريك الأعمال]],'SAP Customer Data '!$B:$B,0),CELL("col",Table_Customer_Data[[#Headers],[CardName]]))</f>
        <v>شركة ضوء الأندلس التجارية</v>
      </c>
      <c r="D50" s="26" t="str">
        <f ca="1">IF(بيانات_العملاء4[[#This Row],[حد الائتمان على SAP]]&gt;0,"آجل","نقدى")</f>
        <v>آجل</v>
      </c>
      <c r="E50" s="6"/>
      <c r="F50" s="26" t="s">
        <v>330</v>
      </c>
      <c r="G50" s="26" t="s">
        <v>54</v>
      </c>
      <c r="H5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0" s="26" t="s">
        <v>54</v>
      </c>
      <c r="J50" s="9">
        <v>45402</v>
      </c>
      <c r="K50" s="27" t="s">
        <v>55</v>
      </c>
      <c r="L50" s="19" t="str">
        <f ca="1">IF(AND(بيانات_العملاء4[[#This Row],[السجل التجارى]]="موجود",TODAY()+'Other Data'!$B$23&lt;J50,بيانات_العملاء4[[#This Row],[مطابقة اسم العميل بالاسم بالسجل التجارى]]="مطابق"), "سارى", "يجب اعادة طلبه")</f>
        <v>سارى</v>
      </c>
      <c r="M50" s="28" t="s">
        <v>54</v>
      </c>
      <c r="N50" s="13" t="str" cm="1">
        <f t="array" aca="1" ref="N50" ca="1">INDEX('SAP Customer Data '!A:Z,MATCH(بيانات_العملاء4[[#This Row],[رمز شريك الأعمال]],'SAP Customer Data '!B:B,0),CELL("col",Table_Customer_Data[[#Headers],[LicTradNum]]))</f>
        <v>311299571600003</v>
      </c>
      <c r="O5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0" s="26" t="s">
        <v>54</v>
      </c>
      <c r="Q50" s="9">
        <v>45244</v>
      </c>
      <c r="R50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50" s="26" t="s">
        <v>54</v>
      </c>
      <c r="T50" s="10">
        <v>50000</v>
      </c>
      <c r="U50" s="11">
        <v>45059</v>
      </c>
      <c r="V50" s="20">
        <f>IF(بيانات_العملاء4[[#This Row],[تاريخ انشاء سند الامر او الاستثناء]]="","",بيانات_العملاء4[[#This Row],[تاريخ انشاء سند الامر او الاستثناء]]+365*3)</f>
        <v>46154</v>
      </c>
      <c r="W5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50" s="18" cm="1">
        <f t="array" aca="1" ref="X50" ca="1">INDEX('SAP Customer Data '!$A:$AC,MATCH(بيانات_العملاء4[[#This Row],[رمز شريك الأعمال]],'SAP Customer Data '!$B:$B,0),CELL("col",Table_Customer_Data[[#Headers],[CreditLine]]))</f>
        <v>50000</v>
      </c>
      <c r="Y5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50" s="26" t="s">
        <v>55</v>
      </c>
      <c r="AA5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50" s="26" t="s">
        <v>56</v>
      </c>
      <c r="AC50" s="16"/>
      <c r="AD50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0" s="26" t="s">
        <v>56</v>
      </c>
      <c r="AF50" s="16"/>
      <c r="AG5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50" s="26" t="s">
        <v>56</v>
      </c>
      <c r="AI50" s="6"/>
      <c r="AJ5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50" s="26" t="s">
        <v>56</v>
      </c>
      <c r="AL50" s="9"/>
      <c r="AM5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0" s="26" t="s">
        <v>56</v>
      </c>
      <c r="AO50" s="11"/>
      <c r="AP5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0" s="26" t="s">
        <v>56</v>
      </c>
      <c r="AR50" s="6"/>
      <c r="AS5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50" s="22" cm="1">
        <f t="array" aca="1" ref="AT50" ca="1">INDEX('SAP Customer Data '!A:Z,MATCH(بيانات_العملاء4[[#This Row],[رمز شريك الأعمال]],'SAP Customer Data '!B:B,0),CELL("col",Table_Customer_Data[[#Headers],[CreateDate]]))</f>
        <v>45054</v>
      </c>
      <c r="AU50" s="30" t="s">
        <v>410</v>
      </c>
      <c r="AV50" s="11"/>
      <c r="AW50" s="6" t="s">
        <v>846</v>
      </c>
      <c r="AX50" s="6"/>
    </row>
    <row r="51" spans="1:50" x14ac:dyDescent="0.25">
      <c r="A51" s="17" t="str" cm="1">
        <f t="array" aca="1" ref="A51" ca="1">INDEX('SAP Customer Data '!$A:$AC,MATCH(بيانات_العملاء4[[#This Row],[رمز شريك الأعمال]],'SAP Customer Data '!$B:$B,0),CELL("col",Table_Customer_Data[[#Headers],[GroupName]]))</f>
        <v>CS02</v>
      </c>
      <c r="B51" s="8" t="s">
        <v>357</v>
      </c>
      <c r="C51" s="18" t="str" cm="1">
        <f t="array" aca="1" ref="C51" ca="1">INDEX('SAP Customer Data '!$A:$AC,MATCH(بيانات_العملاء4[[#This Row],[رمز شريك الأعمال]],'SAP Customer Data '!$B:$B,0),CELL("col",Table_Customer_Data[[#Headers],[CardName]]))</f>
        <v>مؤسسة سعد سعيد محمد ال سيف للتكييف والتبريد</v>
      </c>
      <c r="D51" s="26" t="str">
        <f ca="1">IF(بيانات_العملاء4[[#This Row],[حد الائتمان على SAP]]&gt;0,"آجل","نقدى")</f>
        <v>آجل</v>
      </c>
      <c r="E51" s="6" t="s">
        <v>358</v>
      </c>
      <c r="F51" s="26" t="s">
        <v>385</v>
      </c>
      <c r="G51" s="26" t="s">
        <v>54</v>
      </c>
      <c r="H5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1" s="26" t="s">
        <v>54</v>
      </c>
      <c r="J51" s="9">
        <v>45838</v>
      </c>
      <c r="K51" s="27" t="s">
        <v>55</v>
      </c>
      <c r="L51" s="19" t="str">
        <f ca="1">IF(AND(بيانات_العملاء4[[#This Row],[السجل التجارى]]="موجود",TODAY()+'Other Data'!$B$23&lt;J51,بيانات_العملاء4[[#This Row],[مطابقة اسم العميل بالاسم بالسجل التجارى]]="مطابق"), "سارى", "يجب اعادة طلبه")</f>
        <v>سارى</v>
      </c>
      <c r="M51" s="28" t="s">
        <v>54</v>
      </c>
      <c r="N51" s="13" t="str" cm="1">
        <f t="array" aca="1" ref="N51" ca="1">INDEX('SAP Customer Data '!A:Z,MATCH(بيانات_العملاء4[[#This Row],[رمز شريك الأعمال]],'SAP Customer Data '!B:B,0),CELL("col",Table_Customer_Data[[#Headers],[LicTradNum]]))</f>
        <v>302053512300003</v>
      </c>
      <c r="O5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1" s="26" t="s">
        <v>54</v>
      </c>
      <c r="Q51" s="9">
        <v>45356</v>
      </c>
      <c r="R51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51" s="26" t="s">
        <v>54</v>
      </c>
      <c r="T51" s="10">
        <v>100000</v>
      </c>
      <c r="U51" s="11">
        <v>45003</v>
      </c>
      <c r="V51" s="20">
        <f>IF(بيانات_العملاء4[[#This Row],[تاريخ انشاء سند الامر او الاستثناء]]="","",بيانات_العملاء4[[#This Row],[تاريخ انشاء سند الامر او الاستثناء]]+365*3)</f>
        <v>46098</v>
      </c>
      <c r="W5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51" s="18" cm="1">
        <f t="array" aca="1" ref="X51" ca="1">INDEX('SAP Customer Data '!$A:$AC,MATCH(بيانات_العملاء4[[#This Row],[رمز شريك الأعمال]],'SAP Customer Data '!$B:$B,0),CELL("col",Table_Customer_Data[[#Headers],[CreditLine]]))</f>
        <v>40000</v>
      </c>
      <c r="Y5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51" s="26" t="s">
        <v>55</v>
      </c>
      <c r="AA5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51" s="26" t="s">
        <v>54</v>
      </c>
      <c r="AC51" s="16">
        <v>47836</v>
      </c>
      <c r="AD51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51" s="26" t="s">
        <v>56</v>
      </c>
      <c r="AF51" s="16"/>
      <c r="AG5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51" s="26" t="s">
        <v>56</v>
      </c>
      <c r="AI51" s="6"/>
      <c r="AJ5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51" s="26"/>
      <c r="AL51" s="9"/>
      <c r="AM5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1" s="26" t="s">
        <v>54</v>
      </c>
      <c r="AO51" s="11">
        <v>45234</v>
      </c>
      <c r="AP5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سارى</v>
      </c>
      <c r="AQ51" s="26" t="s">
        <v>56</v>
      </c>
      <c r="AR51" s="6"/>
      <c r="AS5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51" s="22" cm="1">
        <f t="array" aca="1" ref="AT51" ca="1">INDEX('SAP Customer Data '!A:Z,MATCH(بيانات_العملاء4[[#This Row],[رمز شريك الأعمال]],'SAP Customer Data '!B:B,0),CELL("col",Table_Customer_Data[[#Headers],[CreateDate]]))</f>
        <v>45054</v>
      </c>
      <c r="AU51" s="30" t="s">
        <v>360</v>
      </c>
      <c r="AV51" s="11"/>
      <c r="AW51" s="6" t="s">
        <v>846</v>
      </c>
      <c r="AX51" s="6"/>
    </row>
    <row r="52" spans="1:50" x14ac:dyDescent="0.25">
      <c r="A52" s="17" t="str" cm="1">
        <f t="array" aca="1" ref="A52" ca="1">INDEX('SAP Customer Data '!$A:$AC,MATCH(بيانات_العملاء4[[#This Row],[رمز شريك الأعمال]],'SAP Customer Data '!$B:$B,0),CELL("col",Table_Customer_Data[[#Headers],[GroupName]]))</f>
        <v>CS02</v>
      </c>
      <c r="B52" s="8" t="s">
        <v>417</v>
      </c>
      <c r="C52" s="18" t="str" cm="1">
        <f t="array" aca="1" ref="C52" ca="1">INDEX('SAP Customer Data '!$A:$AC,MATCH(بيانات_العملاء4[[#This Row],[رمز شريك الأعمال]],'SAP Customer Data '!$B:$B,0),CELL("col",Table_Customer_Data[[#Headers],[CardName]]))</f>
        <v>شركة</v>
      </c>
      <c r="D52" s="26"/>
      <c r="E52" s="6"/>
      <c r="F52" s="26"/>
      <c r="G52" s="26"/>
      <c r="H52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52" s="26"/>
      <c r="J52" s="9"/>
      <c r="K52" s="27"/>
      <c r="L52" s="19" t="str">
        <f ca="1">IF(AND(بيانات_العملاء4[[#This Row],[السجل التجارى]]="موجود",TODAY()+'Other Data'!$B$23&lt;J52,بيانات_العملاء4[[#This Row],[مطابقة اسم العميل بالاسم بالسجل التجارى]]="مطابق"), "سارى", "يجب اعادة طلبه")</f>
        <v>يجب اعادة طلبه</v>
      </c>
      <c r="M52" s="28"/>
      <c r="N52" s="13" cm="1">
        <f t="array" aca="1" ref="N52" ca="1">INDEX('SAP Customer Data '!A:Z,MATCH(بيانات_العملاء4[[#This Row],[رمز شريك الأعمال]],'SAP Customer Data '!B:B,0),CELL("col",Table_Customer_Data[[#Headers],[LicTradNum]]))</f>
        <v>0</v>
      </c>
      <c r="O5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52" s="26"/>
      <c r="Q52" s="9"/>
      <c r="R52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52" s="26"/>
      <c r="T52" s="10"/>
      <c r="U52" s="11"/>
      <c r="V5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52" s="18" cm="1">
        <f t="array" aca="1" ref="X52" ca="1">INDEX('SAP Customer Data '!$A:$AC,MATCH(بيانات_العملاء4[[#This Row],[رمز شريك الأعمال]],'SAP Customer Data '!$B:$B,0),CELL("col",Table_Customer_Data[[#Headers],[CreditLine]]))</f>
        <v>25000</v>
      </c>
      <c r="Y5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52" s="26"/>
      <c r="AA5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52" s="26"/>
      <c r="AC52" s="16"/>
      <c r="AD52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2" s="26"/>
      <c r="AF52" s="16"/>
      <c r="AG5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52" s="26"/>
      <c r="AI52" s="6"/>
      <c r="AJ5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52" s="26"/>
      <c r="AL52" s="9"/>
      <c r="AM5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2" s="26"/>
      <c r="AO52" s="11"/>
      <c r="AP5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2" s="26"/>
      <c r="AR52" s="6"/>
      <c r="AS5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52" s="22" cm="1">
        <f t="array" aca="1" ref="AT52" ca="1">INDEX('SAP Customer Data '!A:Z,MATCH(بيانات_العملاء4[[#This Row],[رمز شريك الأعمال]],'SAP Customer Data '!B:B,0),CELL("col",Table_Customer_Data[[#Headers],[CreateDate]]))</f>
        <v>45068</v>
      </c>
      <c r="AU52" s="30"/>
      <c r="AV52" s="11" t="s">
        <v>418</v>
      </c>
      <c r="AW52" s="6" t="s">
        <v>846</v>
      </c>
      <c r="AX52" s="6"/>
    </row>
    <row r="53" spans="1:50" x14ac:dyDescent="0.25">
      <c r="A53" s="17" t="str" cm="1">
        <f t="array" aca="1" ref="A53" ca="1">INDEX('SAP Customer Data '!$A:$AC,MATCH(بيانات_العملاء4[[#This Row],[رمز شريك الأعمال]],'SAP Customer Data '!$B:$B,0),CELL("col",Table_Customer_Data[[#Headers],[GroupName]]))</f>
        <v>CS06</v>
      </c>
      <c r="B53" s="8" t="s">
        <v>327</v>
      </c>
      <c r="C53" s="18" t="str" cm="1">
        <f t="array" aca="1" ref="C53" ca="1">INDEX('SAP Customer Data '!$A:$AC,MATCH(بيانات_العملاء4[[#This Row],[رمز شريك الأعمال]],'SAP Customer Data '!$B:$B,0),CELL("col",Table_Customer_Data[[#Headers],[CardName]]))</f>
        <v>مؤسسة بندر خالد عبدالله بن رباع التجارية - نقدي</v>
      </c>
      <c r="D53" s="26" t="str">
        <f ca="1">IF(بيانات_العملاء4[[#This Row],[حد الائتمان على SAP]]&gt;0,"آجل","نقدى")</f>
        <v>نقدى</v>
      </c>
      <c r="E53" s="6" t="s">
        <v>329</v>
      </c>
      <c r="F53" s="26" t="s">
        <v>385</v>
      </c>
      <c r="G53" s="26" t="s">
        <v>56</v>
      </c>
      <c r="H53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53" s="26" t="s">
        <v>54</v>
      </c>
      <c r="J53" s="9">
        <v>45616</v>
      </c>
      <c r="K53" s="27" t="s">
        <v>55</v>
      </c>
      <c r="L53" s="19" t="str">
        <f ca="1">IF(AND(بيانات_العملاء4[[#This Row],[السجل التجارى]]="موجود",TODAY()+'Other Data'!$B$23&lt;J53,بيانات_العملاء4[[#This Row],[مطابقة اسم العميل بالاسم بالسجل التجارى]]="مطابق"), "سارى", "يجب اعادة طلبه")</f>
        <v>سارى</v>
      </c>
      <c r="M53" s="28" t="s">
        <v>54</v>
      </c>
      <c r="N53" s="13" t="str" cm="1">
        <f t="array" aca="1" ref="N53" ca="1">INDEX('SAP Customer Data '!A:Z,MATCH(بيانات_العملاء4[[#This Row],[رمز شريك الأعمال]],'SAP Customer Data '!B:B,0),CELL("col",Table_Customer_Data[[#Headers],[LicTradNum]]))</f>
        <v>300454629700003</v>
      </c>
      <c r="O5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3" s="26" t="s">
        <v>54</v>
      </c>
      <c r="Q53" s="9">
        <v>44983</v>
      </c>
      <c r="R53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53" s="26" t="s">
        <v>56</v>
      </c>
      <c r="T53" s="10"/>
      <c r="U53" s="11"/>
      <c r="V53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53" s="18" cm="1">
        <f t="array" aca="1" ref="X53" ca="1">INDEX('SAP Customer Data '!$A:$AC,MATCH(بيانات_العملاء4[[#This Row],[رمز شريك الأعمال]],'SAP Customer Data '!$B:$B,0),CELL("col",Table_Customer_Data[[#Headers],[CreditLine]]))</f>
        <v>0</v>
      </c>
      <c r="Y5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3" s="26"/>
      <c r="AA5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53" s="26"/>
      <c r="AC53" s="16"/>
      <c r="AD53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3" s="26" t="s">
        <v>56</v>
      </c>
      <c r="AF53" s="16"/>
      <c r="AG5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53" s="26" t="s">
        <v>56</v>
      </c>
      <c r="AI53" s="6"/>
      <c r="AJ5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53" s="26"/>
      <c r="AL53" s="9"/>
      <c r="AM5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3" s="26" t="s">
        <v>56</v>
      </c>
      <c r="AO53" s="11"/>
      <c r="AP5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3" s="26" t="s">
        <v>56</v>
      </c>
      <c r="AR53" s="6"/>
      <c r="AS5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53" s="22" cm="1">
        <f t="array" aca="1" ref="AT53" ca="1">INDEX('SAP Customer Data '!A:Z,MATCH(بيانات_العملاء4[[#This Row],[رمز شريك الأعمال]],'SAP Customer Data '!B:B,0),CELL("col",Table_Customer_Data[[#Headers],[CreateDate]]))</f>
        <v>45015</v>
      </c>
      <c r="AU53" s="30"/>
      <c r="AV53" s="11"/>
      <c r="AW53" s="6" t="s">
        <v>846</v>
      </c>
      <c r="AX53" s="6"/>
    </row>
    <row r="54" spans="1:50" x14ac:dyDescent="0.25">
      <c r="A54" s="17" t="str" cm="1">
        <f t="array" aca="1" ref="A54" ca="1">INDEX('SAP Customer Data '!$A:$AC,MATCH(بيانات_العملاء4[[#This Row],[رمز شريك الأعمال]],'SAP Customer Data '!$B:$B,0),CELL("col",Table_Customer_Data[[#Headers],[GroupName]]))</f>
        <v>CS05</v>
      </c>
      <c r="B54" s="8" t="s">
        <v>15</v>
      </c>
      <c r="C54" s="18" t="str" cm="1">
        <f t="array" aca="1" ref="C54" ca="1">INDEX('SAP Customer Data '!$A:$AC,MATCH(بيانات_العملاء4[[#This Row],[رمز شريك الأعمال]],'SAP Customer Data '!$B:$B,0),CELL("col",Table_Customer_Data[[#Headers],[CardName]]))</f>
        <v>مؤسسة اسامه عبدالله الموسي التجارية-نقدي</v>
      </c>
      <c r="D54" s="26" t="str">
        <f ca="1">IF(بيانات_العملاء4[[#This Row],[حد الائتمان على SAP]]&gt;0,"آجل","نقدى")</f>
        <v>نقدى</v>
      </c>
      <c r="E54" s="6" t="s">
        <v>822</v>
      </c>
      <c r="F54" s="26" t="s">
        <v>385</v>
      </c>
      <c r="G54" s="26" t="s">
        <v>56</v>
      </c>
      <c r="H5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54" s="26" t="s">
        <v>54</v>
      </c>
      <c r="J54" s="9">
        <v>45182</v>
      </c>
      <c r="K54" s="27" t="s">
        <v>55</v>
      </c>
      <c r="L54" s="19" t="str">
        <f ca="1">IF(AND(بيانات_العملاء4[[#This Row],[السجل التجارى]]="موجود",TODAY()+'Other Data'!$B$23&lt;J54,بيانات_العملاء4[[#This Row],[مطابقة اسم العميل بالاسم بالسجل التجارى]]="مطابق"), "سارى", "يجب اعادة طلبه")</f>
        <v>سارى</v>
      </c>
      <c r="M54" s="28" t="s">
        <v>54</v>
      </c>
      <c r="N54" s="13" t="str" cm="1">
        <f t="array" aca="1" ref="N54" ca="1">INDEX('SAP Customer Data '!A:Z,MATCH(بيانات_العملاء4[[#This Row],[رمز شريك الأعمال]],'SAP Customer Data '!B:B,0),CELL("col",Table_Customer_Data[[#Headers],[LicTradNum]]))</f>
        <v>310128049800003</v>
      </c>
      <c r="O5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4" s="26" t="s">
        <v>56</v>
      </c>
      <c r="Q54" s="9"/>
      <c r="R5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54" s="26" t="s">
        <v>56</v>
      </c>
      <c r="T54" s="10"/>
      <c r="U54" s="11"/>
      <c r="V5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54" s="18" cm="1">
        <f t="array" aca="1" ref="X54" ca="1">INDEX('SAP Customer Data '!$A:$AC,MATCH(بيانات_العملاء4[[#This Row],[رمز شريك الأعمال]],'SAP Customer Data '!$B:$B,0),CELL("col",Table_Customer_Data[[#Headers],[CreditLine]]))</f>
        <v>0</v>
      </c>
      <c r="Y5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4" s="26"/>
      <c r="AA5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54" s="26" t="s">
        <v>56</v>
      </c>
      <c r="AC54" s="16"/>
      <c r="AD5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4" s="26" t="s">
        <v>56</v>
      </c>
      <c r="AF54" s="16"/>
      <c r="AG5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4" s="26" t="s">
        <v>56</v>
      </c>
      <c r="AI54" s="6"/>
      <c r="AJ5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4" s="26" t="s">
        <v>56</v>
      </c>
      <c r="AL54" s="9"/>
      <c r="AM5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4" s="26" t="s">
        <v>54</v>
      </c>
      <c r="AO54" s="11">
        <v>44534</v>
      </c>
      <c r="AP5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4" s="26" t="s">
        <v>56</v>
      </c>
      <c r="AR54" s="6"/>
      <c r="AS5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4" s="22" cm="1">
        <f t="array" aca="1" ref="AT54" ca="1">INDEX('SAP Customer Data '!A:Z,MATCH(بيانات_العملاء4[[#This Row],[رمز شريك الأعمال]],'SAP Customer Data '!B:B,0),CELL("col",Table_Customer_Data[[#Headers],[CreateDate]]))</f>
        <v>44875</v>
      </c>
      <c r="AU54" s="30"/>
      <c r="AV54" s="11"/>
      <c r="AW54" s="6" t="s">
        <v>846</v>
      </c>
      <c r="AX54" s="6"/>
    </row>
    <row r="55" spans="1:50" x14ac:dyDescent="0.25">
      <c r="A55" s="17" t="str" cm="1">
        <f t="array" aca="1" ref="A55" ca="1">INDEX('SAP Customer Data '!$A:$AC,MATCH(بيانات_العملاء4[[#This Row],[رمز شريك الأعمال]],'SAP Customer Data '!$B:$B,0),CELL("col",Table_Customer_Data[[#Headers],[GroupName]]))</f>
        <v>CS05</v>
      </c>
      <c r="B55" s="8" t="s">
        <v>17</v>
      </c>
      <c r="C55" s="18" t="str" cm="1">
        <f t="array" aca="1" ref="C55" ca="1">INDEX('SAP Customer Data '!$A:$AC,MATCH(بيانات_العملاء4[[#This Row],[رمز شريك الأعمال]],'SAP Customer Data '!$B:$B,0),CELL("col",Table_Customer_Data[[#Headers],[CardName]]))</f>
        <v>مؤسسة عيسى يوسف الفهيد للانارة - نقدي</v>
      </c>
      <c r="D55" s="26" t="str">
        <f ca="1">IF(بيانات_العملاء4[[#This Row],[حد الائتمان على SAP]]&gt;0,"آجل","نقدى")</f>
        <v>نقدى</v>
      </c>
      <c r="E55" s="6"/>
      <c r="F55" s="26" t="s">
        <v>386</v>
      </c>
      <c r="G55" s="26" t="s">
        <v>56</v>
      </c>
      <c r="H55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55" s="26" t="s">
        <v>56</v>
      </c>
      <c r="J55" s="9"/>
      <c r="K55" s="27"/>
      <c r="L55" s="19" t="str">
        <f ca="1">IF(AND(بيانات_العملاء4[[#This Row],[السجل التجارى]]="موجود",TODAY()+'Other Data'!$B$23&lt;J55,بيانات_العملاء4[[#This Row],[مطابقة اسم العميل بالاسم بالسجل التجارى]]="مطابق"), "سارى", "يجب اعادة طلبه")</f>
        <v>يجب اعادة طلبه</v>
      </c>
      <c r="M55" s="28" t="s">
        <v>54</v>
      </c>
      <c r="N55" s="13" t="str" cm="1">
        <f t="array" aca="1" ref="N55" ca="1">INDEX('SAP Customer Data '!A:Z,MATCH(بيانات_العملاء4[[#This Row],[رمز شريك الأعمال]],'SAP Customer Data '!B:B,0),CELL("col",Table_Customer_Data[[#Headers],[LicTradNum]]))</f>
        <v>300459122200003</v>
      </c>
      <c r="O5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5" s="26" t="s">
        <v>54</v>
      </c>
      <c r="Q55" s="9">
        <v>45074</v>
      </c>
      <c r="R5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55" s="26" t="s">
        <v>56</v>
      </c>
      <c r="T55" s="10"/>
      <c r="U55" s="11"/>
      <c r="V55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55" s="18" cm="1">
        <f t="array" aca="1" ref="X55" ca="1">INDEX('SAP Customer Data '!$A:$AC,MATCH(بيانات_العملاء4[[#This Row],[رمز شريك الأعمال]],'SAP Customer Data '!$B:$B,0),CELL("col",Table_Customer_Data[[#Headers],[CreditLine]]))</f>
        <v>0</v>
      </c>
      <c r="Y5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5" s="26"/>
      <c r="AA5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55" s="26" t="s">
        <v>56</v>
      </c>
      <c r="AC55" s="16"/>
      <c r="AD5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5" s="26" t="s">
        <v>56</v>
      </c>
      <c r="AF55" s="16"/>
      <c r="AG5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5" s="26" t="s">
        <v>56</v>
      </c>
      <c r="AI55" s="6"/>
      <c r="AJ5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5" s="26" t="s">
        <v>56</v>
      </c>
      <c r="AL55" s="9"/>
      <c r="AM5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5" s="26" t="s">
        <v>56</v>
      </c>
      <c r="AO55" s="11"/>
      <c r="AP5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5" s="26" t="s">
        <v>56</v>
      </c>
      <c r="AR55" s="6"/>
      <c r="AS5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5" s="22" cm="1">
        <f t="array" aca="1" ref="AT55" ca="1">INDEX('SAP Customer Data '!A:Z,MATCH(بيانات_العملاء4[[#This Row],[رمز شريك الأعمال]],'SAP Customer Data '!B:B,0),CELL("col",Table_Customer_Data[[#Headers],[CreateDate]]))</f>
        <v>44875</v>
      </c>
      <c r="AU55" s="30"/>
      <c r="AV55" s="11" t="s">
        <v>915</v>
      </c>
      <c r="AW55" s="6" t="s">
        <v>846</v>
      </c>
      <c r="AX55" s="6"/>
    </row>
    <row r="56" spans="1:50" x14ac:dyDescent="0.25">
      <c r="A56" s="17" t="str" cm="1">
        <f t="array" aca="1" ref="A56" ca="1">INDEX('SAP Customer Data '!$A:$AC,MATCH(بيانات_العملاء4[[#This Row],[رمز شريك الأعمال]],'SAP Customer Data '!$B:$B,0),CELL("col",Table_Customer_Data[[#Headers],[GroupName]]))</f>
        <v>CS05</v>
      </c>
      <c r="B56" s="8" t="s">
        <v>313</v>
      </c>
      <c r="C56" s="18" t="str" cm="1">
        <f t="array" aca="1" ref="C56" ca="1">INDEX('SAP Customer Data '!$A:$AC,MATCH(بيانات_العملاء4[[#This Row],[رمز شريك الأعمال]],'SAP Customer Data '!$B:$B,0),CELL("col",Table_Customer_Data[[#Headers],[CardName]]))</f>
        <v>مؤسسة روائع التوريد لمواد البناء</v>
      </c>
      <c r="D56" s="26" t="str">
        <f ca="1">IF(بيانات_العملاء4[[#This Row],[حد الائتمان على SAP]]&gt;0,"آجل","نقدى")</f>
        <v>آجل</v>
      </c>
      <c r="E56" s="6" t="s">
        <v>314</v>
      </c>
      <c r="F56" s="26" t="s">
        <v>385</v>
      </c>
      <c r="G56" s="26" t="s">
        <v>54</v>
      </c>
      <c r="H5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6" s="26" t="s">
        <v>54</v>
      </c>
      <c r="J56" s="9">
        <v>45050</v>
      </c>
      <c r="K56" s="27" t="s">
        <v>55</v>
      </c>
      <c r="L56" s="19" t="str">
        <f ca="1">IF(AND(بيانات_العملاء4[[#This Row],[السجل التجارى]]="موجود",TODAY()+'Other Data'!$B$23&lt;J56,بيانات_العملاء4[[#This Row],[مطابقة اسم العميل بالاسم بالسجل التجارى]]="مطابق"), "سارى", "يجب اعادة طلبه")</f>
        <v>يجب اعادة طلبه</v>
      </c>
      <c r="M56" s="28" t="s">
        <v>54</v>
      </c>
      <c r="N56" s="13" t="str" cm="1">
        <f t="array" aca="1" ref="N56" ca="1">INDEX('SAP Customer Data '!A:Z,MATCH(بيانات_العملاء4[[#This Row],[رمز شريك الأعمال]],'SAP Customer Data '!B:B,0),CELL("col",Table_Customer_Data[[#Headers],[LicTradNum]]))</f>
        <v>311286171700003</v>
      </c>
      <c r="O5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6" s="26" t="s">
        <v>54</v>
      </c>
      <c r="Q56" s="9">
        <v>45240</v>
      </c>
      <c r="R5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56" s="26" t="s">
        <v>54</v>
      </c>
      <c r="T56" s="10">
        <v>100000</v>
      </c>
      <c r="U56" s="11">
        <v>45024</v>
      </c>
      <c r="V56" s="20">
        <f>IF(بيانات_العملاء4[[#This Row],[تاريخ انشاء سند الامر او الاستثناء]]="","",بيانات_العملاء4[[#This Row],[تاريخ انشاء سند الامر او الاستثناء]]+365*3)</f>
        <v>46119</v>
      </c>
      <c r="W5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56" s="18" cm="1">
        <f t="array" aca="1" ref="X56" ca="1">INDEX('SAP Customer Data '!$A:$AC,MATCH(بيانات_العملاء4[[#This Row],[رمز شريك الأعمال]],'SAP Customer Data '!$B:$B,0),CELL("col",Table_Customer_Data[[#Headers],[CreditLine]]))</f>
        <v>50000</v>
      </c>
      <c r="Y5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6" s="26" t="s">
        <v>55</v>
      </c>
      <c r="AA5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56" s="26" t="s">
        <v>54</v>
      </c>
      <c r="AC56" s="16">
        <v>45366</v>
      </c>
      <c r="AD5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56" s="26" t="s">
        <v>54</v>
      </c>
      <c r="AF56" s="16">
        <v>48113</v>
      </c>
      <c r="AG5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56" s="26" t="s">
        <v>54</v>
      </c>
      <c r="AI56" s="6"/>
      <c r="AJ5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6" s="26"/>
      <c r="AL56" s="9"/>
      <c r="AM5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6" s="26" t="s">
        <v>54</v>
      </c>
      <c r="AO56" s="11">
        <v>45094</v>
      </c>
      <c r="AP5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6" s="26" t="s">
        <v>56</v>
      </c>
      <c r="AR56" s="6"/>
      <c r="AS5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6" s="22" cm="1">
        <f t="array" aca="1" ref="AT56" ca="1">INDEX('SAP Customer Data '!A:Z,MATCH(بيانات_العملاء4[[#This Row],[رمز شريك الأعمال]],'SAP Customer Data '!B:B,0),CELL("col",Table_Customer_Data[[#Headers],[CreateDate]]))</f>
        <v>45015</v>
      </c>
      <c r="AU56" s="30" t="s">
        <v>355</v>
      </c>
      <c r="AV56" s="11"/>
      <c r="AW56" s="6" t="s">
        <v>846</v>
      </c>
      <c r="AX56" s="6"/>
    </row>
    <row r="57" spans="1:50" x14ac:dyDescent="0.25">
      <c r="A57" s="17" t="str" cm="1">
        <f t="array" aca="1" ref="A57" ca="1">INDEX('SAP Customer Data '!$A:$AC,MATCH(بيانات_العملاء4[[#This Row],[رمز شريك الأعمال]],'SAP Customer Data '!$B:$B,0),CELL("col",Table_Customer_Data[[#Headers],[GroupName]]))</f>
        <v>CS03</v>
      </c>
      <c r="B57" s="8" t="s">
        <v>87</v>
      </c>
      <c r="C57" s="18" t="str" cm="1">
        <f t="array" aca="1" ref="C57" ca="1">INDEX('SAP Customer Data '!$A:$AC,MATCH(بيانات_العملاء4[[#This Row],[رمز شريك الأعمال]],'SAP Customer Data '!$B:$B,0),CELL("col",Table_Customer_Data[[#Headers],[CardName]]))</f>
        <v>مؤسسة ركن الشعلة للتجارة</v>
      </c>
      <c r="D57" s="26" t="str">
        <f ca="1">IF(بيانات_العملاء4[[#This Row],[حد الائتمان على SAP]]&gt;0,"آجل","نقدى")</f>
        <v>آجل</v>
      </c>
      <c r="E57" s="6" t="s">
        <v>387</v>
      </c>
      <c r="F57" s="26" t="s">
        <v>385</v>
      </c>
      <c r="G57" s="26" t="s">
        <v>54</v>
      </c>
      <c r="H5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7" s="26" t="s">
        <v>54</v>
      </c>
      <c r="J57" s="9">
        <v>45876</v>
      </c>
      <c r="K57" s="27" t="s">
        <v>55</v>
      </c>
      <c r="L57" s="19" t="str">
        <f ca="1">IF(AND(بيانات_العملاء4[[#This Row],[السجل التجارى]]="موجود",TODAY()+'Other Data'!$B$23&lt;J57,بيانات_العملاء4[[#This Row],[مطابقة اسم العميل بالاسم بالسجل التجارى]]="مطابق"), "سارى", "يجب اعادة طلبه")</f>
        <v>سارى</v>
      </c>
      <c r="M57" s="28" t="s">
        <v>54</v>
      </c>
      <c r="N57" s="13" t="str" cm="1">
        <f t="array" aca="1" ref="N57" ca="1">INDEX('SAP Customer Data '!A:Z,MATCH(بيانات_العملاء4[[#This Row],[رمز شريك الأعمال]],'SAP Customer Data '!B:B,0),CELL("col",Table_Customer_Data[[#Headers],[LicTradNum]]))</f>
        <v>300018142600003</v>
      </c>
      <c r="O5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7" s="26" t="s">
        <v>54</v>
      </c>
      <c r="Q57" s="9">
        <v>45712</v>
      </c>
      <c r="R5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57" s="26" t="s">
        <v>54</v>
      </c>
      <c r="T57" s="10">
        <v>200000</v>
      </c>
      <c r="U57" s="11">
        <v>44562</v>
      </c>
      <c r="V57" s="20">
        <f>IF(بيانات_العملاء4[[#This Row],[تاريخ انشاء سند الامر او الاستثناء]]="","",بيانات_العملاء4[[#This Row],[تاريخ انشاء سند الامر او الاستثناء]]+365*3)</f>
        <v>45657</v>
      </c>
      <c r="W5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57" s="18" cm="1">
        <f t="array" aca="1" ref="X57" ca="1">INDEX('SAP Customer Data '!$A:$AC,MATCH(بيانات_العملاء4[[#This Row],[رمز شريك الأعمال]],'SAP Customer Data '!$B:$B,0),CELL("col",Table_Customer_Data[[#Headers],[CreditLine]]))</f>
        <v>160000</v>
      </c>
      <c r="Y5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57" s="26" t="s">
        <v>55</v>
      </c>
      <c r="AA5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57" s="26" t="s">
        <v>54</v>
      </c>
      <c r="AC57" s="16">
        <v>50856</v>
      </c>
      <c r="AD5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57" s="26" t="s">
        <v>54</v>
      </c>
      <c r="AF57" s="16">
        <v>47120</v>
      </c>
      <c r="AG5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57" s="26" t="s">
        <v>56</v>
      </c>
      <c r="AI57" s="6"/>
      <c r="AJ5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7" s="26"/>
      <c r="AL57" s="9"/>
      <c r="AM5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7" s="26" t="s">
        <v>54</v>
      </c>
      <c r="AO57" s="11">
        <v>44730</v>
      </c>
      <c r="AP5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7" s="26" t="s">
        <v>54</v>
      </c>
      <c r="AR57" s="6">
        <v>44737</v>
      </c>
      <c r="AS5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7" s="22" cm="1">
        <f t="array" aca="1" ref="AT57" ca="1">INDEX('SAP Customer Data '!A:Z,MATCH(بيانات_العملاء4[[#This Row],[رمز شريك الأعمال]],'SAP Customer Data '!B:B,0),CELL("col",Table_Customer_Data[[#Headers],[CreateDate]]))</f>
        <v>44569</v>
      </c>
      <c r="AU57" s="30"/>
      <c r="AV57" s="11" t="s">
        <v>389</v>
      </c>
      <c r="AW57" s="6" t="s">
        <v>846</v>
      </c>
      <c r="AX57" s="6"/>
    </row>
    <row r="58" spans="1:50" x14ac:dyDescent="0.25">
      <c r="A58" s="17" t="str" cm="1">
        <f t="array" aca="1" ref="A58" ca="1">INDEX('SAP Customer Data '!$A:$AC,MATCH(بيانات_العملاء4[[#This Row],[رمز شريك الأعمال]],'SAP Customer Data '!$B:$B,0),CELL("col",Table_Customer_Data[[#Headers],[GroupName]]))</f>
        <v>CS03</v>
      </c>
      <c r="B58" s="8" t="s">
        <v>93</v>
      </c>
      <c r="C58" s="18" t="str" cm="1">
        <f t="array" aca="1" ref="C58" ca="1">INDEX('SAP Customer Data '!$A:$AC,MATCH(بيانات_العملاء4[[#This Row],[رمز شريك الأعمال]],'SAP Customer Data '!$B:$B,0),CELL("col",Table_Customer_Data[[#Headers],[CardName]]))</f>
        <v>مؤسسة راجح سفر العصيمي للتجارة</v>
      </c>
      <c r="D58" s="26" t="str">
        <f ca="1">IF(بيانات_العملاء4[[#This Row],[حد الائتمان على SAP]]&gt;0,"آجل","نقدى")</f>
        <v>آجل</v>
      </c>
      <c r="E58" s="6" t="s">
        <v>388</v>
      </c>
      <c r="F58" s="26" t="s">
        <v>385</v>
      </c>
      <c r="G58" s="26" t="s">
        <v>54</v>
      </c>
      <c r="H5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8" s="26" t="s">
        <v>54</v>
      </c>
      <c r="J58" s="9">
        <v>45771</v>
      </c>
      <c r="K58" s="27" t="s">
        <v>55</v>
      </c>
      <c r="L58" s="19" t="str">
        <f ca="1">IF(AND(بيانات_العملاء4[[#This Row],[السجل التجارى]]="موجود",TODAY()+'Other Data'!$B$23&lt;J58,بيانات_العملاء4[[#This Row],[مطابقة اسم العميل بالاسم بالسجل التجارى]]="مطابق"), "سارى", "يجب اعادة طلبه")</f>
        <v>سارى</v>
      </c>
      <c r="M58" s="28" t="s">
        <v>54</v>
      </c>
      <c r="N58" s="13" t="str" cm="1">
        <f t="array" aca="1" ref="N58" ca="1">INDEX('SAP Customer Data '!A:Z,MATCH(بيانات_العملاء4[[#This Row],[رمز شريك الأعمال]],'SAP Customer Data '!B:B,0),CELL("col",Table_Customer_Data[[#Headers],[LicTradNum]]))</f>
        <v>310103418900003</v>
      </c>
      <c r="O5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8" s="26" t="s">
        <v>54</v>
      </c>
      <c r="Q58" s="9">
        <v>44821</v>
      </c>
      <c r="R5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58" s="26" t="s">
        <v>54</v>
      </c>
      <c r="T58" s="10">
        <v>50000</v>
      </c>
      <c r="U58" s="11">
        <v>44567</v>
      </c>
      <c r="V58" s="20">
        <f>IF(بيانات_العملاء4[[#This Row],[تاريخ انشاء سند الامر او الاستثناء]]="","",بيانات_العملاء4[[#This Row],[تاريخ انشاء سند الامر او الاستثناء]]+365*3)</f>
        <v>45662</v>
      </c>
      <c r="W5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58" s="18" cm="1">
        <f t="array" aca="1" ref="X58" ca="1">INDEX('SAP Customer Data '!$A:$AC,MATCH(بيانات_العملاء4[[#This Row],[رمز شريك الأعمال]],'SAP Customer Data '!$B:$B,0),CELL("col",Table_Customer_Data[[#Headers],[CreditLine]]))</f>
        <v>50000</v>
      </c>
      <c r="Y5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58" s="26" t="s">
        <v>55</v>
      </c>
      <c r="AA5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58" s="26" t="s">
        <v>54</v>
      </c>
      <c r="AC58" s="16">
        <v>44851</v>
      </c>
      <c r="AD5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8" s="26" t="s">
        <v>54</v>
      </c>
      <c r="AF58" s="16">
        <v>44552</v>
      </c>
      <c r="AG5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8" s="26" t="s">
        <v>54</v>
      </c>
      <c r="AI58" s="6">
        <v>46991</v>
      </c>
      <c r="AJ5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58" s="26"/>
      <c r="AL58" s="9"/>
      <c r="AM5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8" s="26" t="s">
        <v>56</v>
      </c>
      <c r="AO58" s="11">
        <v>44731</v>
      </c>
      <c r="AP5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8" s="26" t="s">
        <v>56</v>
      </c>
      <c r="AR58" s="6"/>
      <c r="AS5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8" s="22" cm="1">
        <f t="array" aca="1" ref="AT58" ca="1">INDEX('SAP Customer Data '!A:Z,MATCH(بيانات_العملاء4[[#This Row],[رمز شريك الأعمال]],'SAP Customer Data '!B:B,0),CELL("col",Table_Customer_Data[[#Headers],[CreateDate]]))</f>
        <v>44591</v>
      </c>
      <c r="AU58" s="30"/>
      <c r="AV58" s="11"/>
      <c r="AW58" s="6" t="s">
        <v>846</v>
      </c>
      <c r="AX58" s="6"/>
    </row>
    <row r="59" spans="1:50" x14ac:dyDescent="0.25">
      <c r="A59" s="17" t="str" cm="1">
        <f t="array" aca="1" ref="A59" ca="1">INDEX('SAP Customer Data '!$A:$AC,MATCH(بيانات_العملاء4[[#This Row],[رمز شريك الأعمال]],'SAP Customer Data '!$B:$B,0),CELL("col",Table_Customer_Data[[#Headers],[GroupName]]))</f>
        <v>CS03</v>
      </c>
      <c r="B59" s="8" t="s">
        <v>95</v>
      </c>
      <c r="C59" s="18" t="str" cm="1">
        <f t="array" aca="1" ref="C59" ca="1">INDEX('SAP Customer Data '!$A:$AC,MATCH(بيانات_العملاء4[[#This Row],[رمز شريك الأعمال]],'SAP Customer Data '!$B:$B,0),CELL("col",Table_Customer_Data[[#Headers],[CardName]]))</f>
        <v>شركة ابداع المعاجم للادوات الصحية</v>
      </c>
      <c r="D59" s="26" t="s">
        <v>392</v>
      </c>
      <c r="E59" s="6"/>
      <c r="F59" s="26" t="s">
        <v>309</v>
      </c>
      <c r="G59" s="26" t="s">
        <v>54</v>
      </c>
      <c r="H5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9" s="26" t="s">
        <v>54</v>
      </c>
      <c r="J59" s="9">
        <v>45697</v>
      </c>
      <c r="K59" s="27" t="s">
        <v>55</v>
      </c>
      <c r="L59" s="19" t="str">
        <f ca="1">IF(AND(بيانات_العملاء4[[#This Row],[السجل التجارى]]="موجود",TODAY()+'Other Data'!$B$23&lt;J59,بيانات_العملاء4[[#This Row],[مطابقة اسم العميل بالاسم بالسجل التجارى]]="مطابق"), "سارى", "يجب اعادة طلبه")</f>
        <v>سارى</v>
      </c>
      <c r="M59" s="28" t="s">
        <v>54</v>
      </c>
      <c r="N59" s="13" t="str" cm="1">
        <f t="array" aca="1" ref="N59" ca="1">INDEX('SAP Customer Data '!A:Z,MATCH(بيانات_العملاء4[[#This Row],[رمز شريك الأعمال]],'SAP Customer Data '!B:B,0),CELL("col",Table_Customer_Data[[#Headers],[LicTradNum]]))</f>
        <v>311257882500003</v>
      </c>
      <c r="O5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9" s="26" t="s">
        <v>54</v>
      </c>
      <c r="Q59" s="9">
        <v>45425</v>
      </c>
      <c r="R5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59" s="26" t="s">
        <v>54</v>
      </c>
      <c r="T59" s="10">
        <v>30000</v>
      </c>
      <c r="U59" s="11">
        <v>44996</v>
      </c>
      <c r="V59" s="20">
        <f>IF(بيانات_العملاء4[[#This Row],[تاريخ انشاء سند الامر او الاستثناء]]="","",بيانات_العملاء4[[#This Row],[تاريخ انشاء سند الامر او الاستثناء]]+365*3)</f>
        <v>46091</v>
      </c>
      <c r="W5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59" s="18" cm="1">
        <f t="array" aca="1" ref="X59" ca="1">INDEX('SAP Customer Data '!$A:$AC,MATCH(بيانات_العملاء4[[#This Row],[رمز شريك الأعمال]],'SAP Customer Data '!$B:$B,0),CELL("col",Table_Customer_Data[[#Headers],[CreditLine]]))</f>
        <v>15000</v>
      </c>
      <c r="Y5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9" s="26" t="s">
        <v>55</v>
      </c>
      <c r="AA5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59" s="26" t="s">
        <v>56</v>
      </c>
      <c r="AC59" s="16"/>
      <c r="AD5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9" s="26" t="s">
        <v>56</v>
      </c>
      <c r="AF59" s="16"/>
      <c r="AG5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9" s="26" t="s">
        <v>56</v>
      </c>
      <c r="AI59" s="6"/>
      <c r="AJ5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9" s="26" t="s">
        <v>56</v>
      </c>
      <c r="AL59" s="9"/>
      <c r="AM5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9" s="26" t="s">
        <v>56</v>
      </c>
      <c r="AO59" s="11"/>
      <c r="AP5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9" s="26" t="s">
        <v>56</v>
      </c>
      <c r="AR59" s="6"/>
      <c r="AS5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9" s="22" cm="1">
        <f t="array" aca="1" ref="AT59" ca="1">INDEX('SAP Customer Data '!A:Z,MATCH(بيانات_العملاء4[[#This Row],[رمز شريك الأعمال]],'SAP Customer Data '!B:B,0),CELL("col",Table_Customer_Data[[#Headers],[CreateDate]]))</f>
        <v>44595</v>
      </c>
      <c r="AU59" s="30" t="s">
        <v>919</v>
      </c>
      <c r="AV59" s="11" t="s">
        <v>920</v>
      </c>
      <c r="AW59" s="6" t="s">
        <v>846</v>
      </c>
      <c r="AX59" s="6"/>
    </row>
    <row r="60" spans="1:50" x14ac:dyDescent="0.25">
      <c r="A60" s="17" t="str" cm="1">
        <f t="array" aca="1" ref="A60" ca="1">INDEX('SAP Customer Data '!$A:$AC,MATCH(بيانات_العملاء4[[#This Row],[رمز شريك الأعمال]],'SAP Customer Data '!$B:$B,0),CELL("col",Table_Customer_Data[[#Headers],[GroupName]]))</f>
        <v>CS03</v>
      </c>
      <c r="B60" s="8" t="s">
        <v>118</v>
      </c>
      <c r="C60" s="18" t="str" cm="1">
        <f t="array" aca="1" ref="C60" ca="1">INDEX('SAP Customer Data '!$A:$AC,MATCH(بيانات_العملاء4[[#This Row],[رمز شريك الأعمال]],'SAP Customer Data '!$B:$B,0),CELL("col",Table_Customer_Data[[#Headers],[CardName]]))</f>
        <v>شركة عبدالرحمن محمد العواد التجارية</v>
      </c>
      <c r="D60" s="26" t="str">
        <f ca="1">IF(بيانات_العملاء4[[#This Row],[حد الائتمان على SAP]]&gt;0,"آجل","نقدى")</f>
        <v>آجل</v>
      </c>
      <c r="E60" s="6"/>
      <c r="F60" s="26" t="s">
        <v>370</v>
      </c>
      <c r="G60" s="26" t="s">
        <v>54</v>
      </c>
      <c r="H6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0" s="26" t="s">
        <v>54</v>
      </c>
      <c r="J60" s="9">
        <v>45602</v>
      </c>
      <c r="K60" s="27" t="s">
        <v>55</v>
      </c>
      <c r="L60" s="19" t="str">
        <f ca="1">IF(AND(بيانات_العملاء4[[#This Row],[السجل التجارى]]="موجود",TODAY()+'Other Data'!$B$23&lt;J60,بيانات_العملاء4[[#This Row],[مطابقة اسم العميل بالاسم بالسجل التجارى]]="مطابق"), "سارى", "يجب اعادة طلبه")</f>
        <v>سارى</v>
      </c>
      <c r="M60" s="28" t="s">
        <v>54</v>
      </c>
      <c r="N60" s="13" t="str" cm="1">
        <f t="array" aca="1" ref="N60" ca="1">INDEX('SAP Customer Data '!A:Z,MATCH(بيانات_العملاء4[[#This Row],[رمز شريك الأعمال]],'SAP Customer Data '!B:B,0),CELL("col",Table_Customer_Data[[#Headers],[LicTradNum]]))</f>
        <v>310157833700003</v>
      </c>
      <c r="O6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0" s="26" t="s">
        <v>54</v>
      </c>
      <c r="Q60" s="9">
        <v>45290</v>
      </c>
      <c r="R6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60" s="26" t="s">
        <v>56</v>
      </c>
      <c r="T60" s="10"/>
      <c r="U60" s="11"/>
      <c r="V6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6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60" s="18" cm="1">
        <f t="array" aca="1" ref="X60" ca="1">INDEX('SAP Customer Data '!$A:$AC,MATCH(بيانات_العملاء4[[#This Row],[رمز شريك الأعمال]],'SAP Customer Data '!$B:$B,0),CELL("col",Table_Customer_Data[[#Headers],[CreditLine]]))</f>
        <v>30000</v>
      </c>
      <c r="Y6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60" s="26"/>
      <c r="AA6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60" s="26" t="s">
        <v>56</v>
      </c>
      <c r="AC60" s="16"/>
      <c r="AD6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0" s="26" t="s">
        <v>56</v>
      </c>
      <c r="AF60" s="16"/>
      <c r="AG6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0" s="26" t="s">
        <v>56</v>
      </c>
      <c r="AI60" s="6"/>
      <c r="AJ6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0" s="26"/>
      <c r="AL60" s="9"/>
      <c r="AM6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0" s="26" t="s">
        <v>54</v>
      </c>
      <c r="AO60" s="11">
        <v>44703</v>
      </c>
      <c r="AP6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0" s="26" t="s">
        <v>56</v>
      </c>
      <c r="AR60" s="6"/>
      <c r="AS6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0" s="22" cm="1">
        <f t="array" aca="1" ref="AT60" ca="1">INDEX('SAP Customer Data '!A:Z,MATCH(بيانات_العملاء4[[#This Row],[رمز شريك الأعمال]],'SAP Customer Data '!B:B,0),CELL("col",Table_Customer_Data[[#Headers],[CreateDate]]))</f>
        <v>44626</v>
      </c>
      <c r="AU60" s="30"/>
      <c r="AV60" s="11" t="s">
        <v>371</v>
      </c>
      <c r="AW60" s="6" t="s">
        <v>846</v>
      </c>
      <c r="AX60" s="6"/>
    </row>
    <row r="61" spans="1:50" x14ac:dyDescent="0.25">
      <c r="A61" s="17" t="str" cm="1">
        <f t="array" aca="1" ref="A61" ca="1">INDEX('SAP Customer Data '!$A:$AC,MATCH(بيانات_العملاء4[[#This Row],[رمز شريك الأعمال]],'SAP Customer Data '!$B:$B,0),CELL("col",Table_Customer_Data[[#Headers],[GroupName]]))</f>
        <v>CS09</v>
      </c>
      <c r="B61" s="8" t="s">
        <v>120</v>
      </c>
      <c r="C61" s="18" t="str" cm="1">
        <f t="array" aca="1" ref="C61" ca="1">INDEX('SAP Customer Data '!$A:$AC,MATCH(بيانات_العملاء4[[#This Row],[رمز شريك الأعمال]],'SAP Customer Data '!$B:$B,0),CELL("col",Table_Customer_Data[[#Headers],[CardName]]))</f>
        <v>شركة اضافة البصمة التجارية</v>
      </c>
      <c r="D61" s="26" t="str">
        <f ca="1">IF(بيانات_العملاء4[[#This Row],[حد الائتمان على SAP]]&gt;0,"آجل","نقدى")</f>
        <v>آجل</v>
      </c>
      <c r="E61" s="6"/>
      <c r="F61" s="26" t="s">
        <v>309</v>
      </c>
      <c r="G61" s="26" t="s">
        <v>54</v>
      </c>
      <c r="H6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1" s="26" t="s">
        <v>54</v>
      </c>
      <c r="J61" s="9">
        <v>44933</v>
      </c>
      <c r="K61" s="27" t="s">
        <v>55</v>
      </c>
      <c r="L61" s="19" t="str">
        <f ca="1">IF(AND(بيانات_العملاء4[[#This Row],[السجل التجارى]]="موجود",TODAY()+'Other Data'!$B$23&lt;J61,بيانات_العملاء4[[#This Row],[مطابقة اسم العميل بالاسم بالسجل التجارى]]="مطابق"), "سارى", "يجب اعادة طلبه")</f>
        <v>يجب اعادة طلبه</v>
      </c>
      <c r="M61" s="28" t="s">
        <v>54</v>
      </c>
      <c r="N61" s="13" t="str" cm="1">
        <f t="array" aca="1" ref="N61" ca="1">INDEX('SAP Customer Data '!A:Z,MATCH(بيانات_العملاء4[[#This Row],[رمز شريك الأعمال]],'SAP Customer Data '!B:B,0),CELL("col",Table_Customer_Data[[#Headers],[LicTradNum]]))</f>
        <v>311166433600003</v>
      </c>
      <c r="O6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1" s="26" t="s">
        <v>56</v>
      </c>
      <c r="Q61" s="9"/>
      <c r="R6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1" s="26" t="s">
        <v>54</v>
      </c>
      <c r="T61" s="10">
        <v>500000</v>
      </c>
      <c r="U61" s="11">
        <v>44617</v>
      </c>
      <c r="V61" s="20">
        <f>IF(بيانات_العملاء4[[#This Row],[تاريخ انشاء سند الامر او الاستثناء]]="","",بيانات_العملاء4[[#This Row],[تاريخ انشاء سند الامر او الاستثناء]]+365*3)</f>
        <v>45712</v>
      </c>
      <c r="W6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250000</v>
      </c>
      <c r="X61" s="18" cm="1">
        <f t="array" aca="1" ref="X61" ca="1">INDEX('SAP Customer Data '!$A:$AC,MATCH(بيانات_العملاء4[[#This Row],[رمز شريك الأعمال]],'SAP Customer Data '!$B:$B,0),CELL("col",Table_Customer_Data[[#Headers],[CreditLine]]))</f>
        <v>250000</v>
      </c>
      <c r="Y6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1" s="26"/>
      <c r="AA6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61" s="26" t="s">
        <v>56</v>
      </c>
      <c r="AC61" s="16"/>
      <c r="AD6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1" s="26" t="s">
        <v>54</v>
      </c>
      <c r="AF61" s="16">
        <v>46473</v>
      </c>
      <c r="AG6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1" s="26" t="s">
        <v>54</v>
      </c>
      <c r="AI61" s="6"/>
      <c r="AJ6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1" s="26" t="s">
        <v>54</v>
      </c>
      <c r="AL61" s="9"/>
      <c r="AM6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1" s="26" t="s">
        <v>54</v>
      </c>
      <c r="AO61" s="11"/>
      <c r="AP6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1" s="26" t="s">
        <v>56</v>
      </c>
      <c r="AR61" s="6"/>
      <c r="AS6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1" s="22" cm="1">
        <f t="array" aca="1" ref="AT61" ca="1">INDEX('SAP Customer Data '!A:Z,MATCH(بيانات_العملاء4[[#This Row],[رمز شريك الأعمال]],'SAP Customer Data '!B:B,0),CELL("col",Table_Customer_Data[[#Headers],[CreateDate]]))</f>
        <v>44626</v>
      </c>
      <c r="AU61" s="30"/>
      <c r="AV61" s="11" t="s">
        <v>917</v>
      </c>
      <c r="AW61" s="6" t="s">
        <v>846</v>
      </c>
      <c r="AX61" s="6"/>
    </row>
    <row r="62" spans="1:50" x14ac:dyDescent="0.25">
      <c r="A62" s="17" t="str" cm="1">
        <f t="array" aca="1" ref="A62" ca="1">INDEX('SAP Customer Data '!$A:$AC,MATCH(بيانات_العملاء4[[#This Row],[رمز شريك الأعمال]],'SAP Customer Data '!$B:$B,0),CELL("col",Table_Customer_Data[[#Headers],[GroupName]]))</f>
        <v>CS09</v>
      </c>
      <c r="B62" s="8" t="s">
        <v>121</v>
      </c>
      <c r="C62" s="18" t="str" cm="1">
        <f t="array" aca="1" ref="C62" ca="1">INDEX('SAP Customer Data '!$A:$AC,MATCH(بيانات_العملاء4[[#This Row],[رمز شريك الأعمال]],'SAP Customer Data '!$B:$B,0),CELL("col",Table_Customer_Data[[#Headers],[CardName]]))</f>
        <v>مؤسسة اول اعمار للتجارة</v>
      </c>
      <c r="D62" s="26" t="str">
        <f ca="1">IF(بيانات_العملاء4[[#This Row],[حد الائتمان على SAP]]&gt;0,"آجل","نقدى")</f>
        <v>آجل</v>
      </c>
      <c r="E62" s="6" t="s">
        <v>372</v>
      </c>
      <c r="F62" s="26" t="s">
        <v>385</v>
      </c>
      <c r="G62" s="26" t="s">
        <v>54</v>
      </c>
      <c r="H6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2" s="26" t="s">
        <v>54</v>
      </c>
      <c r="J62" s="9">
        <v>45188</v>
      </c>
      <c r="K62" s="27" t="s">
        <v>55</v>
      </c>
      <c r="L62" s="19" t="str">
        <f ca="1">IF(AND(بيانات_العملاء4[[#This Row],[السجل التجارى]]="موجود",TODAY()+'Other Data'!$B$23&lt;J62,بيانات_العملاء4[[#This Row],[مطابقة اسم العميل بالاسم بالسجل التجارى]]="مطابق"), "سارى", "يجب اعادة طلبه")</f>
        <v>سارى</v>
      </c>
      <c r="M62" s="28" t="s">
        <v>54</v>
      </c>
      <c r="N62" s="13" t="str" cm="1">
        <f t="array" aca="1" ref="N62" ca="1">INDEX('SAP Customer Data '!A:Z,MATCH(بيانات_العملاء4[[#This Row],[رمز شريك الأعمال]],'SAP Customer Data '!B:B,0),CELL("col",Table_Customer_Data[[#Headers],[LicTradNum]]))</f>
        <v>300031767700003</v>
      </c>
      <c r="O6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2" s="26" t="s">
        <v>54</v>
      </c>
      <c r="Q62" s="9">
        <v>45470</v>
      </c>
      <c r="R6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62" s="26" t="s">
        <v>56</v>
      </c>
      <c r="T62" s="10"/>
      <c r="U62" s="11"/>
      <c r="V6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6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62" s="18" cm="1">
        <f t="array" aca="1" ref="X62" ca="1">INDEX('SAP Customer Data '!$A:$AC,MATCH(بيانات_العملاء4[[#This Row],[رمز شريك الأعمال]],'SAP Customer Data '!$B:$B,0),CELL("col",Table_Customer_Data[[#Headers],[CreditLine]]))</f>
        <v>35000</v>
      </c>
      <c r="Y6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62" s="26"/>
      <c r="AA6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62" s="26" t="s">
        <v>54</v>
      </c>
      <c r="AC62" s="16">
        <v>46671</v>
      </c>
      <c r="AD6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2" s="26" t="s">
        <v>56</v>
      </c>
      <c r="AF62" s="16"/>
      <c r="AG6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2" s="26" t="s">
        <v>56</v>
      </c>
      <c r="AI62" s="6"/>
      <c r="AJ6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2" s="26"/>
      <c r="AL62" s="9"/>
      <c r="AM6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2" s="26" t="s">
        <v>54</v>
      </c>
      <c r="AO62" s="11">
        <v>44695</v>
      </c>
      <c r="AP6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2" s="26" t="s">
        <v>56</v>
      </c>
      <c r="AR62" s="6"/>
      <c r="AS6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2" s="22" cm="1">
        <f t="array" aca="1" ref="AT62" ca="1">INDEX('SAP Customer Data '!A:Z,MATCH(بيانات_العملاء4[[#This Row],[رمز شريك الأعمال]],'SAP Customer Data '!B:B,0),CELL("col",Table_Customer_Data[[#Headers],[CreateDate]]))</f>
        <v>44633</v>
      </c>
      <c r="AU62" s="30"/>
      <c r="AV62" s="11" t="s">
        <v>918</v>
      </c>
      <c r="AW62" s="6" t="s">
        <v>846</v>
      </c>
      <c r="AX62" s="6"/>
    </row>
    <row r="63" spans="1:50" x14ac:dyDescent="0.25">
      <c r="A63" s="17" t="str" cm="1">
        <f t="array" aca="1" ref="A63" ca="1">INDEX('SAP Customer Data '!$A:$AC,MATCH(بيانات_العملاء4[[#This Row],[رمز شريك الأعمال]],'SAP Customer Data '!$B:$B,0),CELL("col",Table_Customer_Data[[#Headers],[GroupName]]))</f>
        <v>CS03</v>
      </c>
      <c r="B63" s="8" t="s">
        <v>123</v>
      </c>
      <c r="C63" s="18" t="str" cm="1">
        <f t="array" aca="1" ref="C63" ca="1">INDEX('SAP Customer Data '!$A:$AC,MATCH(بيانات_العملاء4[[#This Row],[رمز شريك الأعمال]],'SAP Customer Data '!$B:$B,0),CELL("col",Table_Customer_Data[[#Headers],[CardName]]))</f>
        <v>مؤسسة قلعة النجوم للتجارة</v>
      </c>
      <c r="D63" s="26" t="str">
        <f ca="1">IF(بيانات_العملاء4[[#This Row],[حد الائتمان على SAP]]&gt;0,"آجل","نقدى")</f>
        <v>آجل</v>
      </c>
      <c r="E63" s="6" t="s">
        <v>848</v>
      </c>
      <c r="F63" s="26" t="s">
        <v>385</v>
      </c>
      <c r="G63" s="26" t="s">
        <v>54</v>
      </c>
      <c r="H6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3" s="26" t="s">
        <v>54</v>
      </c>
      <c r="J63" s="9">
        <v>44860</v>
      </c>
      <c r="K63" s="27" t="s">
        <v>55</v>
      </c>
      <c r="L63" s="19" t="str">
        <f ca="1">IF(AND(بيانات_العملاء4[[#This Row],[السجل التجارى]]="موجود",TODAY()+'Other Data'!$B$23&lt;J63,بيانات_العملاء4[[#This Row],[مطابقة اسم العميل بالاسم بالسجل التجارى]]="مطابق"), "سارى", "يجب اعادة طلبه")</f>
        <v>يجب اعادة طلبه</v>
      </c>
      <c r="M63" s="28" t="s">
        <v>54</v>
      </c>
      <c r="N63" s="13" t="str" cm="1">
        <f t="array" aca="1" ref="N63" ca="1">INDEX('SAP Customer Data '!A:Z,MATCH(بيانات_العملاء4[[#This Row],[رمز شريك الأعمال]],'SAP Customer Data '!B:B,0),CELL("col",Table_Customer_Data[[#Headers],[LicTradNum]]))</f>
        <v>300028437300003</v>
      </c>
      <c r="O6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3" s="26" t="s">
        <v>56</v>
      </c>
      <c r="Q63" s="9"/>
      <c r="R6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3" s="26" t="s">
        <v>54</v>
      </c>
      <c r="T63" s="10">
        <v>200000</v>
      </c>
      <c r="U63" s="11">
        <v>44621</v>
      </c>
      <c r="V63" s="20">
        <f>IF(بيانات_العملاء4[[#This Row],[تاريخ انشاء سند الامر او الاستثناء]]="","",بيانات_العملاء4[[#This Row],[تاريخ انشاء سند الامر او الاستثناء]]+365*3)</f>
        <v>45716</v>
      </c>
      <c r="W6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3" s="18" cm="1">
        <f t="array" aca="1" ref="X63" ca="1">INDEX('SAP Customer Data '!$A:$AC,MATCH(بيانات_العملاء4[[#This Row],[رمز شريك الأعمال]],'SAP Customer Data '!$B:$B,0),CELL("col",Table_Customer_Data[[#Headers],[CreditLine]]))</f>
        <v>100000</v>
      </c>
      <c r="Y6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3" s="26" t="s">
        <v>55</v>
      </c>
      <c r="AA6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63" s="26" t="s">
        <v>54</v>
      </c>
      <c r="AC63" s="16">
        <v>50594</v>
      </c>
      <c r="AD6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3" s="26" t="s">
        <v>54</v>
      </c>
      <c r="AF63" s="16">
        <v>50594</v>
      </c>
      <c r="AG6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3" s="26" t="s">
        <v>54</v>
      </c>
      <c r="AI63" s="6"/>
      <c r="AJ6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3" s="26" t="s">
        <v>54</v>
      </c>
      <c r="AL63" s="9"/>
      <c r="AM6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3" s="26" t="s">
        <v>56</v>
      </c>
      <c r="AO63" s="11"/>
      <c r="AP6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3" s="26" t="s">
        <v>56</v>
      </c>
      <c r="AR63" s="6"/>
      <c r="AS6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3" s="22" cm="1">
        <f t="array" aca="1" ref="AT63" ca="1">INDEX('SAP Customer Data '!A:Z,MATCH(بيانات_العملاء4[[#This Row],[رمز شريك الأعمال]],'SAP Customer Data '!B:B,0),CELL("col",Table_Customer_Data[[#Headers],[CreateDate]]))</f>
        <v>44636</v>
      </c>
      <c r="AU63" s="30"/>
      <c r="AV63" s="11"/>
      <c r="AW63" s="6" t="s">
        <v>846</v>
      </c>
      <c r="AX63" s="6"/>
    </row>
    <row r="64" spans="1:50" x14ac:dyDescent="0.25">
      <c r="A64" s="17" t="str" cm="1">
        <f t="array" aca="1" ref="A64" ca="1">INDEX('SAP Customer Data '!$A:$AC,MATCH(بيانات_العملاء4[[#This Row],[رمز شريك الأعمال]],'SAP Customer Data '!$B:$B,0),CELL("col",Table_Customer_Data[[#Headers],[GroupName]]))</f>
        <v>CS01</v>
      </c>
      <c r="B64" s="8" t="s">
        <v>129</v>
      </c>
      <c r="C64" s="18" t="str" cm="1">
        <f t="array" aca="1" ref="C64" ca="1">INDEX('SAP Customer Data '!$A:$AC,MATCH(بيانات_العملاء4[[#This Row],[رمز شريك الأعمال]],'SAP Customer Data '!$B:$B,0),CELL("col",Table_Customer_Data[[#Headers],[CardName]]))</f>
        <v>شركة ركيزة النماء الدائم المحدودة</v>
      </c>
      <c r="D64" s="26" t="str">
        <f ca="1">IF(بيانات_العملاء4[[#This Row],[حد الائتمان على SAP]]&gt;0,"آجل","نقدى")</f>
        <v>آجل</v>
      </c>
      <c r="E64" s="6"/>
      <c r="F64" s="26" t="s">
        <v>370</v>
      </c>
      <c r="G64" s="26" t="s">
        <v>54</v>
      </c>
      <c r="H64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4" s="26" t="s">
        <v>54</v>
      </c>
      <c r="J64" s="9">
        <v>45837</v>
      </c>
      <c r="K64" s="27" t="s">
        <v>55</v>
      </c>
      <c r="L64" s="19" t="str">
        <f ca="1">IF(AND(بيانات_العملاء4[[#This Row],[السجل التجارى]]="موجود",TODAY()+'Other Data'!$B$23&lt;J64,بيانات_العملاء4[[#This Row],[مطابقة اسم العميل بالاسم بالسجل التجارى]]="مطابق"), "سارى", "يجب اعادة طلبه")</f>
        <v>سارى</v>
      </c>
      <c r="M64" s="28" t="s">
        <v>54</v>
      </c>
      <c r="N64" s="13" t="str" cm="1">
        <f t="array" aca="1" ref="N64" ca="1">INDEX('SAP Customer Data '!A:Z,MATCH(بيانات_العملاء4[[#This Row],[رمز شريك الأعمال]],'SAP Customer Data '!B:B,0),CELL("col",Table_Customer_Data[[#Headers],[LicTradNum]]))</f>
        <v>310069573600003</v>
      </c>
      <c r="O6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4" s="26" t="s">
        <v>54</v>
      </c>
      <c r="Q64" s="9">
        <v>45510</v>
      </c>
      <c r="R6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64" s="26" t="s">
        <v>54</v>
      </c>
      <c r="T64" s="10">
        <v>200000</v>
      </c>
      <c r="U64" s="11">
        <v>44637</v>
      </c>
      <c r="V64" s="20">
        <f>IF(بيانات_العملاء4[[#This Row],[تاريخ انشاء سند الامر او الاستثناء]]="","",بيانات_العملاء4[[#This Row],[تاريخ انشاء سند الامر او الاستثناء]]+365*3)</f>
        <v>45732</v>
      </c>
      <c r="W6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4" s="18" cm="1">
        <f t="array" aca="1" ref="X64" ca="1">INDEX('SAP Customer Data '!$A:$AC,MATCH(بيانات_العملاء4[[#This Row],[رمز شريك الأعمال]],'SAP Customer Data '!$B:$B,0),CELL("col",Table_Customer_Data[[#Headers],[CreditLine]]))</f>
        <v>100000</v>
      </c>
      <c r="Y6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4" s="26" t="s">
        <v>55</v>
      </c>
      <c r="AA6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64" s="26" t="s">
        <v>56</v>
      </c>
      <c r="AC64" s="16"/>
      <c r="AD6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4" s="26" t="s">
        <v>54</v>
      </c>
      <c r="AF64" s="16">
        <v>44823</v>
      </c>
      <c r="AG6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4" s="26" t="s">
        <v>54</v>
      </c>
      <c r="AI64" s="6"/>
      <c r="AJ6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4" s="26" t="s">
        <v>54</v>
      </c>
      <c r="AL64" s="9"/>
      <c r="AM6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4" s="26" t="s">
        <v>54</v>
      </c>
      <c r="AO64" s="11"/>
      <c r="AP6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4" s="26" t="s">
        <v>54</v>
      </c>
      <c r="AR64" s="6"/>
      <c r="AS6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4" s="22" cm="1">
        <f t="array" aca="1" ref="AT64" ca="1">INDEX('SAP Customer Data '!A:Z,MATCH(بيانات_العملاء4[[#This Row],[رمز شريك الأعمال]],'SAP Customer Data '!B:B,0),CELL("col",Table_Customer_Data[[#Headers],[CreateDate]]))</f>
        <v>44642</v>
      </c>
      <c r="AU64" s="30"/>
      <c r="AV64" s="11"/>
      <c r="AW64" s="6" t="s">
        <v>846</v>
      </c>
      <c r="AX64" s="6"/>
    </row>
    <row r="65" spans="1:50" x14ac:dyDescent="0.25">
      <c r="A65" s="17" t="str" cm="1">
        <f t="array" aca="1" ref="A65" ca="1">INDEX('SAP Customer Data '!$A:$AC,MATCH(بيانات_العملاء4[[#This Row],[رمز شريك الأعمال]],'SAP Customer Data '!$B:$B,0),CELL("col",Table_Customer_Data[[#Headers],[GroupName]]))</f>
        <v>CS03</v>
      </c>
      <c r="B65" s="8" t="s">
        <v>144</v>
      </c>
      <c r="C65" s="18" t="str" cm="1">
        <f t="array" aca="1" ref="C65" ca="1">INDEX('SAP Customer Data '!$A:$AC,MATCH(بيانات_العملاء4[[#This Row],[رمز شريك الأعمال]],'SAP Customer Data '!$B:$B,0),CELL("col",Table_Customer_Data[[#Headers],[CardName]]))</f>
        <v>مؤسسة الكهرباء المشعة للتجارة</v>
      </c>
      <c r="D65" s="26" t="str">
        <f ca="1">IF(بيانات_العملاء4[[#This Row],[حد الائتمان على SAP]]&gt;0,"آجل","نقدى")</f>
        <v>آجل</v>
      </c>
      <c r="E65" s="6" t="s">
        <v>849</v>
      </c>
      <c r="F65" s="26" t="s">
        <v>385</v>
      </c>
      <c r="G65" s="26" t="s">
        <v>54</v>
      </c>
      <c r="H6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5" s="26" t="s">
        <v>54</v>
      </c>
      <c r="J65" s="9">
        <v>45231</v>
      </c>
      <c r="K65" s="27" t="s">
        <v>55</v>
      </c>
      <c r="L65" s="19" t="str">
        <f ca="1">IF(AND(بيانات_العملاء4[[#This Row],[السجل التجارى]]="موجود",TODAY()+'Other Data'!$B$23&lt;J65,بيانات_العملاء4[[#This Row],[مطابقة اسم العميل بالاسم بالسجل التجارى]]="مطابق"), "سارى", "يجب اعادة طلبه")</f>
        <v>سارى</v>
      </c>
      <c r="M65" s="28" t="s">
        <v>54</v>
      </c>
      <c r="N65" s="13" t="str" cm="1">
        <f t="array" aca="1" ref="N65" ca="1">INDEX('SAP Customer Data '!A:Z,MATCH(بيانات_العملاء4[[#This Row],[رمز شريك الأعمال]],'SAP Customer Data '!B:B,0),CELL("col",Table_Customer_Data[[#Headers],[LicTradNum]]))</f>
        <v>310965865600003</v>
      </c>
      <c r="O6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5" s="26" t="s">
        <v>54</v>
      </c>
      <c r="Q65" s="9">
        <v>45015</v>
      </c>
      <c r="R6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5" s="26" t="s">
        <v>54</v>
      </c>
      <c r="T65" s="10">
        <v>200000</v>
      </c>
      <c r="U65" s="11">
        <v>44571</v>
      </c>
      <c r="V65" s="20">
        <f>IF(بيانات_العملاء4[[#This Row],[تاريخ انشاء سند الامر او الاستثناء]]="","",بيانات_العملاء4[[#This Row],[تاريخ انشاء سند الامر او الاستثناء]]+365*3)</f>
        <v>45666</v>
      </c>
      <c r="W6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5" s="18" cm="1">
        <f t="array" aca="1" ref="X65" ca="1">INDEX('SAP Customer Data '!$A:$AC,MATCH(بيانات_العملاء4[[#This Row],[رمز شريك الأعمال]],'SAP Customer Data '!$B:$B,0),CELL("col",Table_Customer_Data[[#Headers],[CreditLine]]))</f>
        <v>100000</v>
      </c>
      <c r="Y6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5" s="26" t="s">
        <v>55</v>
      </c>
      <c r="AA6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65" s="26" t="s">
        <v>54</v>
      </c>
      <c r="AC65" s="16">
        <v>47823</v>
      </c>
      <c r="AD6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5" s="26" t="s">
        <v>54</v>
      </c>
      <c r="AF65" s="16">
        <v>47823</v>
      </c>
      <c r="AG6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5" s="26" t="s">
        <v>54</v>
      </c>
      <c r="AI65" s="6"/>
      <c r="AJ6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5" s="26" t="s">
        <v>54</v>
      </c>
      <c r="AL65" s="9"/>
      <c r="AM6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5" s="26" t="s">
        <v>54</v>
      </c>
      <c r="AO65" s="11">
        <v>44688</v>
      </c>
      <c r="AP6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5" s="26" t="s">
        <v>56</v>
      </c>
      <c r="AR65" s="6"/>
      <c r="AS6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5" s="22" cm="1">
        <f t="array" aca="1" ref="AT65" ca="1">INDEX('SAP Customer Data '!A:Z,MATCH(بيانات_العملاء4[[#This Row],[رمز شريك الأعمال]],'SAP Customer Data '!B:B,0),CELL("col",Table_Customer_Data[[#Headers],[CreateDate]]))</f>
        <v>44651</v>
      </c>
      <c r="AU65" s="30"/>
      <c r="AV65" s="11"/>
      <c r="AW65" s="6" t="s">
        <v>846</v>
      </c>
      <c r="AX65" s="6"/>
    </row>
    <row r="66" spans="1:50" x14ac:dyDescent="0.25">
      <c r="A66" s="17" t="str" cm="1">
        <f t="array" aca="1" ref="A66" ca="1">INDEX('SAP Customer Data '!$A:$AC,MATCH(بيانات_العملاء4[[#This Row],[رمز شريك الأعمال]],'SAP Customer Data '!$B:$B,0),CELL("col",Table_Customer_Data[[#Headers],[GroupName]]))</f>
        <v>CS03</v>
      </c>
      <c r="B66" s="8" t="s">
        <v>146</v>
      </c>
      <c r="C66" s="18" t="str" cm="1">
        <f t="array" aca="1" ref="C66" ca="1">INDEX('SAP Customer Data '!$A:$AC,MATCH(بيانات_العملاء4[[#This Row],[رمز شريك الأعمال]],'SAP Customer Data '!$B:$B,0),CELL("col",Table_Customer_Data[[#Headers],[CardName]]))</f>
        <v>شركة النظم الثلاثية للتجارة</v>
      </c>
      <c r="D66" s="26" t="str">
        <f ca="1">IF(بيانات_العملاء4[[#This Row],[حد الائتمان على SAP]]&gt;0,"آجل","نقدى")</f>
        <v>آجل</v>
      </c>
      <c r="E66" s="6"/>
      <c r="F66" s="26" t="s">
        <v>309</v>
      </c>
      <c r="G66" s="26" t="s">
        <v>54</v>
      </c>
      <c r="H6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6" s="26" t="s">
        <v>54</v>
      </c>
      <c r="J66" s="9">
        <v>44995</v>
      </c>
      <c r="K66" s="27" t="s">
        <v>55</v>
      </c>
      <c r="L66" s="19" t="str">
        <f ca="1">IF(AND(بيانات_العملاء4[[#This Row],[السجل التجارى]]="موجود",TODAY()+'Other Data'!$B$23&lt;J66,بيانات_العملاء4[[#This Row],[مطابقة اسم العميل بالاسم بالسجل التجارى]]="مطابق"), "سارى", "يجب اعادة طلبه")</f>
        <v>يجب اعادة طلبه</v>
      </c>
      <c r="M66" s="28" t="s">
        <v>54</v>
      </c>
      <c r="N66" s="13" t="str" cm="1">
        <f t="array" aca="1" ref="N66" ca="1">INDEX('SAP Customer Data '!A:Z,MATCH(بيانات_العملاء4[[#This Row],[رمز شريك الأعمال]],'SAP Customer Data '!B:B,0),CELL("col",Table_Customer_Data[[#Headers],[LicTradNum]]))</f>
        <v>311302319900003</v>
      </c>
      <c r="O6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6" s="26" t="s">
        <v>54</v>
      </c>
      <c r="Q66" s="9">
        <v>44693</v>
      </c>
      <c r="R6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6" s="26" t="s">
        <v>54</v>
      </c>
      <c r="T66" s="10">
        <v>100000</v>
      </c>
      <c r="U66" s="11">
        <v>44766</v>
      </c>
      <c r="V66" s="20">
        <f>IF(بيانات_العملاء4[[#This Row],[تاريخ انشاء سند الامر او الاستثناء]]="","",بيانات_العملاء4[[#This Row],[تاريخ انشاء سند الامر او الاستثناء]]+365*3)</f>
        <v>45861</v>
      </c>
      <c r="W6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66" s="18" cm="1">
        <f t="array" aca="1" ref="X66" ca="1">INDEX('SAP Customer Data '!$A:$AC,MATCH(بيانات_العملاء4[[#This Row],[رمز شريك الأعمال]],'SAP Customer Data '!$B:$B,0),CELL("col",Table_Customer_Data[[#Headers],[CreditLine]]))</f>
        <v>50000</v>
      </c>
      <c r="Y6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6" s="26" t="s">
        <v>55</v>
      </c>
      <c r="AA6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66" s="26" t="s">
        <v>56</v>
      </c>
      <c r="AC66" s="16"/>
      <c r="AD6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6" s="26" t="s">
        <v>54</v>
      </c>
      <c r="AF66" s="16"/>
      <c r="AG6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6" s="26" t="s">
        <v>54</v>
      </c>
      <c r="AI66" s="6"/>
      <c r="AJ6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6" s="26" t="s">
        <v>54</v>
      </c>
      <c r="AL66" s="9"/>
      <c r="AM6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6" s="26" t="s">
        <v>54</v>
      </c>
      <c r="AO66" s="11">
        <v>44722</v>
      </c>
      <c r="AP6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6" s="26" t="s">
        <v>56</v>
      </c>
      <c r="AR66" s="6"/>
      <c r="AS6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6" s="22" cm="1">
        <f t="array" aca="1" ref="AT66" ca="1">INDEX('SAP Customer Data '!A:Z,MATCH(بيانات_العملاء4[[#This Row],[رمز شريك الأعمال]],'SAP Customer Data '!B:B,0),CELL("col",Table_Customer_Data[[#Headers],[CreateDate]]))</f>
        <v>44772</v>
      </c>
      <c r="AU66" s="30"/>
      <c r="AV66" s="11"/>
      <c r="AW66" s="6" t="s">
        <v>846</v>
      </c>
      <c r="AX66" s="6"/>
    </row>
    <row r="67" spans="1:50" x14ac:dyDescent="0.25">
      <c r="A67" s="17" t="str" cm="1">
        <f t="array" aca="1" ref="A67" ca="1">INDEX('SAP Customer Data '!$A:$AC,MATCH(بيانات_العملاء4[[#This Row],[رمز شريك الأعمال]],'SAP Customer Data '!$B:$B,0),CELL("col",Table_Customer_Data[[#Headers],[GroupName]]))</f>
        <v>CS09</v>
      </c>
      <c r="B67" s="8" t="s">
        <v>147</v>
      </c>
      <c r="C67" s="18" t="str" cm="1">
        <f t="array" aca="1" ref="C67" ca="1">INDEX('SAP Customer Data '!$A:$AC,MATCH(بيانات_العملاء4[[#This Row],[رمز شريك الأعمال]],'SAP Customer Data '!$B:$B,0),CELL("col",Table_Customer_Data[[#Headers],[CardName]]))</f>
        <v>مؤسسة الثريا الافلاج للادوات الكهربائية</v>
      </c>
      <c r="D67" s="26" t="str">
        <f ca="1">IF(بيانات_العملاء4[[#This Row],[حد الائتمان على SAP]]&gt;0,"آجل","نقدى")</f>
        <v>آجل</v>
      </c>
      <c r="E67" s="6" t="s">
        <v>850</v>
      </c>
      <c r="F67" s="26" t="s">
        <v>385</v>
      </c>
      <c r="G67" s="26" t="s">
        <v>54</v>
      </c>
      <c r="H6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7" s="26" t="s">
        <v>54</v>
      </c>
      <c r="J67" s="9">
        <v>45759</v>
      </c>
      <c r="K67" s="27" t="s">
        <v>55</v>
      </c>
      <c r="L67" s="19" t="str">
        <f ca="1">IF(AND(بيانات_العملاء4[[#This Row],[السجل التجارى]]="موجود",TODAY()+'Other Data'!$B$23&lt;J67,بيانات_العملاء4[[#This Row],[مطابقة اسم العميل بالاسم بالسجل التجارى]]="مطابق"), "سارى", "يجب اعادة طلبه")</f>
        <v>سارى</v>
      </c>
      <c r="M67" s="28" t="s">
        <v>54</v>
      </c>
      <c r="N67" s="13" t="str" cm="1">
        <f t="array" aca="1" ref="N67" ca="1">INDEX('SAP Customer Data '!A:Z,MATCH(بيانات_العملاء4[[#This Row],[رمز شريك الأعمال]],'SAP Customer Data '!B:B,0),CELL("col",Table_Customer_Data[[#Headers],[LicTradNum]]))</f>
        <v>301284957200003</v>
      </c>
      <c r="O6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7" s="26" t="s">
        <v>54</v>
      </c>
      <c r="Q67" s="9">
        <v>44707</v>
      </c>
      <c r="R6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7" s="26" t="s">
        <v>54</v>
      </c>
      <c r="T67" s="10">
        <v>500000</v>
      </c>
      <c r="U67" s="11">
        <v>44696</v>
      </c>
      <c r="V67" s="20">
        <f>IF(بيانات_العملاء4[[#This Row],[تاريخ انشاء سند الامر او الاستثناء]]="","",بيانات_العملاء4[[#This Row],[تاريخ انشاء سند الامر او الاستثناء]]+365*3)</f>
        <v>45791</v>
      </c>
      <c r="W6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250000</v>
      </c>
      <c r="X67" s="18" cm="1">
        <f t="array" aca="1" ref="X67" ca="1">INDEX('SAP Customer Data '!$A:$AC,MATCH(بيانات_العملاء4[[#This Row],[رمز شريك الأعمال]],'SAP Customer Data '!$B:$B,0),CELL("col",Table_Customer_Data[[#Headers],[CreditLine]]))</f>
        <v>250000</v>
      </c>
      <c r="Y6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7" s="26" t="s">
        <v>55</v>
      </c>
      <c r="AA6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67" s="26" t="s">
        <v>54</v>
      </c>
      <c r="AC67" s="16">
        <v>49329</v>
      </c>
      <c r="AD6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7" s="26" t="s">
        <v>54</v>
      </c>
      <c r="AF67" s="16">
        <v>46870</v>
      </c>
      <c r="AG6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7" s="26" t="s">
        <v>54</v>
      </c>
      <c r="AI67" s="6"/>
      <c r="AJ6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7" s="26" t="s">
        <v>54</v>
      </c>
      <c r="AL67" s="9"/>
      <c r="AM6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7" s="26" t="s">
        <v>54</v>
      </c>
      <c r="AO67" s="11"/>
      <c r="AP6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7" s="26" t="s">
        <v>56</v>
      </c>
      <c r="AR67" s="6"/>
      <c r="AS6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7" s="22" cm="1">
        <f t="array" aca="1" ref="AT67" ca="1">INDEX('SAP Customer Data '!A:Z,MATCH(بيانات_العملاء4[[#This Row],[رمز شريك الأعمال]],'SAP Customer Data '!B:B,0),CELL("col",Table_Customer_Data[[#Headers],[CreateDate]]))</f>
        <v>44717</v>
      </c>
      <c r="AU67" s="30"/>
      <c r="AV67" s="11"/>
      <c r="AW67" s="6" t="s">
        <v>846</v>
      </c>
      <c r="AX67" s="6"/>
    </row>
    <row r="68" spans="1:50" x14ac:dyDescent="0.25">
      <c r="A68" s="17" t="str" cm="1">
        <f t="array" aca="1" ref="A68" ca="1">INDEX('SAP Customer Data '!$A:$AC,MATCH(بيانات_العملاء4[[#This Row],[رمز شريك الأعمال]],'SAP Customer Data '!$B:$B,0),CELL("col",Table_Customer_Data[[#Headers],[GroupName]]))</f>
        <v>CS09</v>
      </c>
      <c r="B68" s="8" t="s">
        <v>149</v>
      </c>
      <c r="C68" s="18" t="str" cm="1">
        <f t="array" aca="1" ref="C68" ca="1">INDEX('SAP Customer Data '!$A:$AC,MATCH(بيانات_العملاء4[[#This Row],[رمز شريك الأعمال]],'SAP Customer Data '!$B:$B,0),CELL("col",Table_Customer_Data[[#Headers],[CardName]]))</f>
        <v>شركة ركن الدائرة للتجارة</v>
      </c>
      <c r="D68" s="26" t="str">
        <f ca="1">IF(بيانات_العملاء4[[#This Row],[حد الائتمان على SAP]]&gt;0,"آجل","نقدى")</f>
        <v>آجل</v>
      </c>
      <c r="E68" s="6"/>
      <c r="F68" s="26" t="s">
        <v>330</v>
      </c>
      <c r="G68" s="26" t="s">
        <v>54</v>
      </c>
      <c r="H6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8" s="26" t="s">
        <v>54</v>
      </c>
      <c r="J68" s="9">
        <v>45058</v>
      </c>
      <c r="K68" s="27" t="s">
        <v>55</v>
      </c>
      <c r="L68" s="19" t="str">
        <f ca="1">IF(AND(بيانات_العملاء4[[#This Row],[السجل التجارى]]="موجود",TODAY()+'Other Data'!$B$23&lt;J68,بيانات_العملاء4[[#This Row],[مطابقة اسم العميل بالاسم بالسجل التجارى]]="مطابق"), "سارى", "يجب اعادة طلبه")</f>
        <v>يجب اعادة طلبه</v>
      </c>
      <c r="M68" s="28" t="s">
        <v>54</v>
      </c>
      <c r="N68" s="13" t="str" cm="1">
        <f t="array" aca="1" ref="N68" ca="1">INDEX('SAP Customer Data '!A:Z,MATCH(بيانات_العملاء4[[#This Row],[رمز شريك الأعمال]],'SAP Customer Data '!B:B,0),CELL("col",Table_Customer_Data[[#Headers],[LicTradNum]]))</f>
        <v>311589708100003</v>
      </c>
      <c r="O6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8" s="26" t="s">
        <v>56</v>
      </c>
      <c r="Q68" s="9"/>
      <c r="R6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8" s="26" t="s">
        <v>369</v>
      </c>
      <c r="T68" s="10">
        <v>100000</v>
      </c>
      <c r="U68" s="11"/>
      <c r="V6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6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8" s="18" cm="1">
        <f t="array" aca="1" ref="X68" ca="1">INDEX('SAP Customer Data '!$A:$AC,MATCH(بيانات_العملاء4[[#This Row],[رمز شريك الأعمال]],'SAP Customer Data '!$B:$B,0),CELL("col",Table_Customer_Data[[#Headers],[CreditLine]]))</f>
        <v>35000</v>
      </c>
      <c r="Y6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68" s="26"/>
      <c r="AA6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68" s="26" t="s">
        <v>56</v>
      </c>
      <c r="AC68" s="16"/>
      <c r="AD6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8" s="26" t="s">
        <v>56</v>
      </c>
      <c r="AF68" s="16"/>
      <c r="AG6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8" s="26" t="s">
        <v>56</v>
      </c>
      <c r="AI68" s="6"/>
      <c r="AJ6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8" s="26" t="s">
        <v>56</v>
      </c>
      <c r="AL68" s="9"/>
      <c r="AM6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8" s="26" t="s">
        <v>56</v>
      </c>
      <c r="AO68" s="11"/>
      <c r="AP6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8" s="26" t="s">
        <v>56</v>
      </c>
      <c r="AR68" s="6"/>
      <c r="AS6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8" s="22" cm="1">
        <f t="array" aca="1" ref="AT68" ca="1">INDEX('SAP Customer Data '!A:Z,MATCH(بيانات_العملاء4[[#This Row],[رمز شريك الأعمال]],'SAP Customer Data '!B:B,0),CELL("col",Table_Customer_Data[[#Headers],[CreateDate]]))</f>
        <v>44721</v>
      </c>
      <c r="AU68" s="30"/>
      <c r="AV68" s="11"/>
      <c r="AW68" s="6" t="s">
        <v>846</v>
      </c>
      <c r="AX68" s="6"/>
    </row>
    <row r="69" spans="1:50" x14ac:dyDescent="0.25">
      <c r="A69" s="17" t="str" cm="1">
        <f t="array" aca="1" ref="A69" ca="1">INDEX('SAP Customer Data '!$A:$AC,MATCH(بيانات_العملاء4[[#This Row],[رمز شريك الأعمال]],'SAP Customer Data '!$B:$B,0),CELL("col",Table_Customer_Data[[#Headers],[GroupName]]))</f>
        <v>LB08</v>
      </c>
      <c r="B69" s="8" t="s">
        <v>151</v>
      </c>
      <c r="C69" s="18" t="str" cm="1">
        <f t="array" aca="1" ref="C69" ca="1">INDEX('SAP Customer Data '!$A:$AC,MATCH(بيانات_العملاء4[[#This Row],[رمز شريك الأعمال]],'SAP Customer Data '!$B:$B,0),CELL("col",Table_Customer_Data[[#Headers],[CardName]]))</f>
        <v>مؤسسة تسهيلات الطائف التجارية</v>
      </c>
      <c r="D69" s="26" t="str">
        <f ca="1">IF(بيانات_العملاء4[[#This Row],[حد الائتمان على SAP]]&gt;0,"آجل","نقدى")</f>
        <v>آجل</v>
      </c>
      <c r="E69" s="6" t="s">
        <v>419</v>
      </c>
      <c r="F69" s="26" t="s">
        <v>385</v>
      </c>
      <c r="G69" s="26" t="s">
        <v>54</v>
      </c>
      <c r="H6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9" s="26" t="s">
        <v>54</v>
      </c>
      <c r="J69" s="9">
        <v>46202</v>
      </c>
      <c r="K69" s="27" t="s">
        <v>55</v>
      </c>
      <c r="L69" s="19" t="str">
        <f ca="1">IF(AND(بيانات_العملاء4[[#This Row],[السجل التجارى]]="موجود",TODAY()+'Other Data'!$B$23&lt;J69,بيانات_العملاء4[[#This Row],[مطابقة اسم العميل بالاسم بالسجل التجارى]]="مطابق"), "سارى", "يجب اعادة طلبه")</f>
        <v>سارى</v>
      </c>
      <c r="M69" s="28" t="s">
        <v>54</v>
      </c>
      <c r="N69" s="13" t="str" cm="1">
        <f t="array" aca="1" ref="N69" ca="1">INDEX('SAP Customer Data '!A:Z,MATCH(بيانات_العملاء4[[#This Row],[رمز شريك الأعمال]],'SAP Customer Data '!B:B,0),CELL("col",Table_Customer_Data[[#Headers],[LicTradNum]]))</f>
        <v>310576287700003</v>
      </c>
      <c r="O6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9" s="26" t="s">
        <v>54</v>
      </c>
      <c r="Q69" s="9">
        <v>45872</v>
      </c>
      <c r="R6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69" s="26" t="s">
        <v>54</v>
      </c>
      <c r="T69" s="10">
        <v>200000</v>
      </c>
      <c r="U69" s="11">
        <v>44618</v>
      </c>
      <c r="V69" s="20">
        <f>IF(بيانات_العملاء4[[#This Row],[تاريخ انشاء سند الامر او الاستثناء]]="","",بيانات_العملاء4[[#This Row],[تاريخ انشاء سند الامر او الاستثناء]]+365*3)</f>
        <v>45713</v>
      </c>
      <c r="W6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9" s="18" cm="1">
        <f t="array" aca="1" ref="X69" ca="1">INDEX('SAP Customer Data '!$A:$AC,MATCH(بيانات_العملاء4[[#This Row],[رمز شريك الأعمال]],'SAP Customer Data '!$B:$B,0),CELL("col",Table_Customer_Data[[#Headers],[CreditLine]]))</f>
        <v>100000</v>
      </c>
      <c r="Y6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9" s="26" t="s">
        <v>55</v>
      </c>
      <c r="AA6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69" s="26" t="s">
        <v>54</v>
      </c>
      <c r="AC69" s="16">
        <v>47395</v>
      </c>
      <c r="AD6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9" s="26" t="s">
        <v>54</v>
      </c>
      <c r="AF69" s="16">
        <v>47395</v>
      </c>
      <c r="AG6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9" s="26" t="s">
        <v>56</v>
      </c>
      <c r="AI69" s="6"/>
      <c r="AJ6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9" s="26" t="s">
        <v>56</v>
      </c>
      <c r="AL69" s="9"/>
      <c r="AM6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9" s="26" t="s">
        <v>54</v>
      </c>
      <c r="AO69" s="11">
        <v>46174</v>
      </c>
      <c r="AP6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سارى</v>
      </c>
      <c r="AQ69" s="26" t="s">
        <v>56</v>
      </c>
      <c r="AR69" s="6"/>
      <c r="AS6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9" s="22" cm="1">
        <f t="array" aca="1" ref="AT69" ca="1">INDEX('SAP Customer Data '!A:Z,MATCH(بيانات_العملاء4[[#This Row],[رمز شريك الأعمال]],'SAP Customer Data '!B:B,0),CELL("col",Table_Customer_Data[[#Headers],[CreateDate]]))</f>
        <v>44626</v>
      </c>
      <c r="AU69" s="30"/>
      <c r="AV69" s="11"/>
      <c r="AW69" s="6" t="s">
        <v>846</v>
      </c>
      <c r="AX69" s="6"/>
    </row>
    <row r="70" spans="1:50" x14ac:dyDescent="0.25">
      <c r="A70" s="17" t="str" cm="1">
        <f t="array" aca="1" ref="A70" ca="1">INDEX('SAP Customer Data '!$A:$AC,MATCH(بيانات_العملاء4[[#This Row],[رمز شريك الأعمال]],'SAP Customer Data '!$B:$B,0),CELL("col",Table_Customer_Data[[#Headers],[GroupName]]))</f>
        <v>LB08</v>
      </c>
      <c r="B70" s="8" t="s">
        <v>154</v>
      </c>
      <c r="C70" s="18" t="str" cm="1">
        <f t="array" aca="1" ref="C70" ca="1">INDEX('SAP Customer Data '!$A:$AC,MATCH(بيانات_العملاء4[[#This Row],[رمز شريك الأعمال]],'SAP Customer Data '!$B:$B,0),CELL("col",Table_Customer_Data[[#Headers],[CardName]]))</f>
        <v>شركة الكيان المتجدد التجارية</v>
      </c>
      <c r="D70" s="26" t="str">
        <f ca="1">IF(بيانات_العملاء4[[#This Row],[حد الائتمان على SAP]]&gt;0,"آجل","نقدى")</f>
        <v>آجل</v>
      </c>
      <c r="E70" s="6"/>
      <c r="F70" s="26" t="s">
        <v>370</v>
      </c>
      <c r="G70" s="26" t="s">
        <v>54</v>
      </c>
      <c r="H7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0" s="26" t="s">
        <v>54</v>
      </c>
      <c r="J70" s="9">
        <v>46265</v>
      </c>
      <c r="K70" s="27" t="s">
        <v>55</v>
      </c>
      <c r="L70" s="19" t="str">
        <f ca="1">IF(AND(بيانات_العملاء4[[#This Row],[السجل التجارى]]="موجود",TODAY()+'Other Data'!$B$23&lt;J70,بيانات_العملاء4[[#This Row],[مطابقة اسم العميل بالاسم بالسجل التجارى]]="مطابق"), "سارى", "يجب اعادة طلبه")</f>
        <v>سارى</v>
      </c>
      <c r="M70" s="28" t="s">
        <v>54</v>
      </c>
      <c r="N70" s="13" t="str" cm="1">
        <f t="array" aca="1" ref="N70" ca="1">INDEX('SAP Customer Data '!A:Z,MATCH(بيانات_العملاء4[[#This Row],[رمز شريك الأعمال]],'SAP Customer Data '!B:B,0),CELL("col",Table_Customer_Data[[#Headers],[LicTradNum]]))</f>
        <v>311068651500003</v>
      </c>
      <c r="O7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0" s="26" t="s">
        <v>56</v>
      </c>
      <c r="Q70" s="9"/>
      <c r="R7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0" s="26" t="s">
        <v>54</v>
      </c>
      <c r="T70" s="10">
        <v>100000</v>
      </c>
      <c r="U70" s="11">
        <v>44628</v>
      </c>
      <c r="V70" s="20">
        <f>IF(بيانات_العملاء4[[#This Row],[تاريخ انشاء سند الامر او الاستثناء]]="","",بيانات_العملاء4[[#This Row],[تاريخ انشاء سند الامر او الاستثناء]]+365*3)</f>
        <v>45723</v>
      </c>
      <c r="W7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70" s="18" cm="1">
        <f t="array" aca="1" ref="X70" ca="1">INDEX('SAP Customer Data '!$A:$AC,MATCH(بيانات_العملاء4[[#This Row],[رمز شريك الأعمال]],'SAP Customer Data '!$B:$B,0),CELL("col",Table_Customer_Data[[#Headers],[CreditLine]]))</f>
        <v>50000</v>
      </c>
      <c r="Y7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0" s="26" t="s">
        <v>57</v>
      </c>
      <c r="AA7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70" s="26" t="s">
        <v>56</v>
      </c>
      <c r="AC70" s="16"/>
      <c r="AD7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0" s="26" t="s">
        <v>54</v>
      </c>
      <c r="AF70" s="16">
        <v>46217</v>
      </c>
      <c r="AG7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70" s="26" t="s">
        <v>56</v>
      </c>
      <c r="AI70" s="6"/>
      <c r="AJ7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0" s="26" t="s">
        <v>54</v>
      </c>
      <c r="AL70" s="9">
        <v>36714</v>
      </c>
      <c r="AM7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0" s="26" t="s">
        <v>54</v>
      </c>
      <c r="AO70" s="11">
        <v>44870</v>
      </c>
      <c r="AP7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0" s="26" t="s">
        <v>56</v>
      </c>
      <c r="AR70" s="6"/>
      <c r="AS7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0" s="22" cm="1">
        <f t="array" aca="1" ref="AT70" ca="1">INDEX('SAP Customer Data '!A:Z,MATCH(بيانات_العملاء4[[#This Row],[رمز شريك الأعمال]],'SAP Customer Data '!B:B,0),CELL("col",Table_Customer_Data[[#Headers],[CreateDate]]))</f>
        <v>44632</v>
      </c>
      <c r="AU70" s="30"/>
      <c r="AV70" s="11" t="s">
        <v>420</v>
      </c>
      <c r="AW70" s="6" t="s">
        <v>846</v>
      </c>
      <c r="AX70" s="6"/>
    </row>
    <row r="71" spans="1:50" x14ac:dyDescent="0.25">
      <c r="A71" s="17" t="str" cm="1">
        <f t="array" aca="1" ref="A71" ca="1">INDEX('SAP Customer Data '!$A:$AC,MATCH(بيانات_العملاء4[[#This Row],[رمز شريك الأعمال]],'SAP Customer Data '!$B:$B,0),CELL("col",Table_Customer_Data[[#Headers],[GroupName]]))</f>
        <v>LB08</v>
      </c>
      <c r="B71" s="8" t="s">
        <v>156</v>
      </c>
      <c r="C71" s="18" t="str" cm="1">
        <f t="array" aca="1" ref="C71" ca="1">INDEX('SAP Customer Data '!$A:$AC,MATCH(بيانات_العملاء4[[#This Row],[رمز شريك الأعمال]],'SAP Customer Data '!$B:$B,0),CELL("col",Table_Customer_Data[[#Headers],[CardName]]))</f>
        <v>مؤسسة ابداع الغربية للتجارة</v>
      </c>
      <c r="D71" s="26" t="str">
        <f ca="1">IF(بيانات_العملاء4[[#This Row],[حد الائتمان على SAP]]&gt;0,"آجل","نقدى")</f>
        <v>آجل</v>
      </c>
      <c r="E71" s="6" t="s">
        <v>421</v>
      </c>
      <c r="F71" s="26" t="s">
        <v>385</v>
      </c>
      <c r="G71" s="26" t="s">
        <v>54</v>
      </c>
      <c r="H7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1" s="26" t="s">
        <v>54</v>
      </c>
      <c r="J71" s="9">
        <v>45206</v>
      </c>
      <c r="K71" s="27" t="s">
        <v>55</v>
      </c>
      <c r="L71" s="19" t="str">
        <f ca="1">IF(AND(بيانات_العملاء4[[#This Row],[السجل التجارى]]="موجود",TODAY()+'Other Data'!$B$23&lt;J71,بيانات_العملاء4[[#This Row],[مطابقة اسم العميل بالاسم بالسجل التجارى]]="مطابق"), "سارى", "يجب اعادة طلبه")</f>
        <v>سارى</v>
      </c>
      <c r="M71" s="28" t="s">
        <v>54</v>
      </c>
      <c r="N71" s="13" t="str" cm="1">
        <f t="array" aca="1" ref="N71" ca="1">INDEX('SAP Customer Data '!A:Z,MATCH(بيانات_العملاء4[[#This Row],[رمز شريك الأعمال]],'SAP Customer Data '!B:B,0),CELL("col",Table_Customer_Data[[#Headers],[LicTradNum]]))</f>
        <v>310461815600003</v>
      </c>
      <c r="O7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1" s="26" t="s">
        <v>54</v>
      </c>
      <c r="Q71" s="9">
        <v>44102</v>
      </c>
      <c r="R7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1" s="26" t="s">
        <v>54</v>
      </c>
      <c r="T71" s="10">
        <v>100000</v>
      </c>
      <c r="U71" s="11">
        <v>44648</v>
      </c>
      <c r="V71" s="20">
        <f>IF(بيانات_العملاء4[[#This Row],[تاريخ انشاء سند الامر او الاستثناء]]="","",بيانات_العملاء4[[#This Row],[تاريخ انشاء سند الامر او الاستثناء]]+365*3)</f>
        <v>45743</v>
      </c>
      <c r="W7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71" s="18" cm="1">
        <f t="array" aca="1" ref="X71" ca="1">INDEX('SAP Customer Data '!$A:$AC,MATCH(بيانات_العملاء4[[#This Row],[رمز شريك الأعمال]],'SAP Customer Data '!$B:$B,0),CELL("col",Table_Customer_Data[[#Headers],[CreditLine]]))</f>
        <v>50000</v>
      </c>
      <c r="Y7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1" s="26" t="s">
        <v>55</v>
      </c>
      <c r="AA7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71" s="26" t="s">
        <v>54</v>
      </c>
      <c r="AC71" s="16">
        <v>44224</v>
      </c>
      <c r="AD7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1" s="26" t="s">
        <v>54</v>
      </c>
      <c r="AF71" s="16">
        <v>44224</v>
      </c>
      <c r="AG7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1" s="26" t="s">
        <v>54</v>
      </c>
      <c r="AI71" s="6">
        <v>44202</v>
      </c>
      <c r="AJ7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1" s="26" t="s">
        <v>54</v>
      </c>
      <c r="AL71" s="9"/>
      <c r="AM7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1" s="26" t="s">
        <v>54</v>
      </c>
      <c r="AO71" s="11">
        <v>44788</v>
      </c>
      <c r="AP7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1" s="26" t="s">
        <v>56</v>
      </c>
      <c r="AR71" s="6"/>
      <c r="AS7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1" s="22" cm="1">
        <f t="array" aca="1" ref="AT71" ca="1">INDEX('SAP Customer Data '!A:Z,MATCH(بيانات_العملاء4[[#This Row],[رمز شريك الأعمال]],'SAP Customer Data '!B:B,0),CELL("col",Table_Customer_Data[[#Headers],[CreateDate]]))</f>
        <v>44649</v>
      </c>
      <c r="AU71" s="30"/>
      <c r="AV71" s="11"/>
      <c r="AW71" s="6" t="s">
        <v>846</v>
      </c>
      <c r="AX71" s="6"/>
    </row>
    <row r="72" spans="1:50" x14ac:dyDescent="0.25">
      <c r="A72" s="17" t="str" cm="1">
        <f t="array" aca="1" ref="A72" ca="1">INDEX('SAP Customer Data '!$A:$AC,MATCH(بيانات_العملاء4[[#This Row],[رمز شريك الأعمال]],'SAP Customer Data '!$B:$B,0),CELL("col",Table_Customer_Data[[#Headers],[GroupName]]))</f>
        <v>LB07</v>
      </c>
      <c r="B72" s="8" t="s">
        <v>158</v>
      </c>
      <c r="C72" s="18" t="str" cm="1">
        <f t="array" aca="1" ref="C72" ca="1">INDEX('SAP Customer Data '!$A:$AC,MATCH(بيانات_العملاء4[[#This Row],[رمز شريك الأعمال]],'SAP Customer Data '!$B:$B,0),CELL("col",Table_Customer_Data[[#Headers],[CardName]]))</f>
        <v>مؤسسة هناء زين محمد علي التجارية</v>
      </c>
      <c r="D72" s="26" t="str">
        <f ca="1">IF(بيانات_العملاء4[[#This Row],[حد الائتمان على SAP]]&gt;0,"آجل","نقدى")</f>
        <v>آجل</v>
      </c>
      <c r="E72" s="6" t="s">
        <v>422</v>
      </c>
      <c r="F72" s="26" t="s">
        <v>385</v>
      </c>
      <c r="G72" s="26" t="s">
        <v>54</v>
      </c>
      <c r="H7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2" s="26" t="s">
        <v>54</v>
      </c>
      <c r="J72" s="9">
        <v>44954</v>
      </c>
      <c r="K72" s="27" t="s">
        <v>55</v>
      </c>
      <c r="L72" s="19" t="str">
        <f ca="1">IF(AND(بيانات_العملاء4[[#This Row],[السجل التجارى]]="موجود",TODAY()+'Other Data'!$B$23&lt;J72,بيانات_العملاء4[[#This Row],[مطابقة اسم العميل بالاسم بالسجل التجارى]]="مطابق"), "سارى", "يجب اعادة طلبه")</f>
        <v>يجب اعادة طلبه</v>
      </c>
      <c r="M72" s="28" t="s">
        <v>54</v>
      </c>
      <c r="N72" s="13" t="str" cm="1">
        <f t="array" aca="1" ref="N72" ca="1">INDEX('SAP Customer Data '!A:Z,MATCH(بيانات_العملاء4[[#This Row],[رمز شريك الأعمال]],'SAP Customer Data '!B:B,0),CELL("col",Table_Customer_Data[[#Headers],[LicTradNum]]))</f>
        <v>311179583600003</v>
      </c>
      <c r="O7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2" s="26" t="s">
        <v>54</v>
      </c>
      <c r="Q72" s="9">
        <v>44591</v>
      </c>
      <c r="R7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2" s="26" t="s">
        <v>54</v>
      </c>
      <c r="T72" s="10">
        <v>200000</v>
      </c>
      <c r="U72" s="11">
        <v>44718</v>
      </c>
      <c r="V72" s="20">
        <f>IF(بيانات_العملاء4[[#This Row],[تاريخ انشاء سند الامر او الاستثناء]]="","",بيانات_العملاء4[[#This Row],[تاريخ انشاء سند الامر او الاستثناء]]+365*3)</f>
        <v>45813</v>
      </c>
      <c r="W7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72" s="18" cm="1">
        <f t="array" aca="1" ref="X72" ca="1">INDEX('SAP Customer Data '!$A:$AC,MATCH(بيانات_العملاء4[[#This Row],[رمز شريك الأعمال]],'SAP Customer Data '!$B:$B,0),CELL("col",Table_Customer_Data[[#Headers],[CreditLine]]))</f>
        <v>100000</v>
      </c>
      <c r="Y7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2" s="26" t="s">
        <v>55</v>
      </c>
      <c r="AA7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72" s="26" t="s">
        <v>54</v>
      </c>
      <c r="AC72" s="16">
        <v>46832</v>
      </c>
      <c r="AD7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2" s="26" t="s">
        <v>54</v>
      </c>
      <c r="AF72" s="16">
        <v>44246</v>
      </c>
      <c r="AG7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2" s="26" t="s">
        <v>54</v>
      </c>
      <c r="AI72" s="6"/>
      <c r="AJ7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2" s="26" t="s">
        <v>54</v>
      </c>
      <c r="AL72" s="9">
        <v>36862</v>
      </c>
      <c r="AM7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2" s="26" t="s">
        <v>54</v>
      </c>
      <c r="AO72" s="11">
        <v>44791</v>
      </c>
      <c r="AP7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2" s="26" t="s">
        <v>56</v>
      </c>
      <c r="AR72" s="6"/>
      <c r="AS7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2" s="22" cm="1">
        <f t="array" aca="1" ref="AT72" ca="1">INDEX('SAP Customer Data '!A:Z,MATCH(بيانات_العملاء4[[#This Row],[رمز شريك الأعمال]],'SAP Customer Data '!B:B,0),CELL("col",Table_Customer_Data[[#Headers],[CreateDate]]))</f>
        <v>44731</v>
      </c>
      <c r="AU72" s="30"/>
      <c r="AV72" s="11"/>
      <c r="AW72" s="6" t="s">
        <v>846</v>
      </c>
      <c r="AX72" s="6"/>
    </row>
    <row r="73" spans="1:50" x14ac:dyDescent="0.25">
      <c r="A73" s="17" t="str" cm="1">
        <f t="array" aca="1" ref="A73" ca="1">INDEX('SAP Customer Data '!$A:$AC,MATCH(بيانات_العملاء4[[#This Row],[رمز شريك الأعمال]],'SAP Customer Data '!$B:$B,0),CELL("col",Table_Customer_Data[[#Headers],[GroupName]]))</f>
        <v>CS02</v>
      </c>
      <c r="B73" s="8" t="s">
        <v>159</v>
      </c>
      <c r="C73" s="18" t="str" cm="1">
        <f t="array" aca="1" ref="C73" ca="1">INDEX('SAP Customer Data '!$A:$AC,MATCH(بيانات_العملاء4[[#This Row],[رمز شريك الأعمال]],'SAP Customer Data '!$B:$B,0),CELL("col",Table_Customer_Data[[#Headers],[CardName]]))</f>
        <v>مؤسسة ركيزة الإعمار للتجارة</v>
      </c>
      <c r="D73" s="26" t="str">
        <f ca="1">IF(بيانات_العملاء4[[#This Row],[حد الائتمان على SAP]]&gt;0,"آجل","نقدى")</f>
        <v>آجل</v>
      </c>
      <c r="E73" s="6" t="s">
        <v>824</v>
      </c>
      <c r="F73" s="26" t="s">
        <v>385</v>
      </c>
      <c r="G73" s="26" t="s">
        <v>54</v>
      </c>
      <c r="H7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3" s="26" t="s">
        <v>54</v>
      </c>
      <c r="J73" s="9">
        <v>44921</v>
      </c>
      <c r="K73" s="27" t="s">
        <v>55</v>
      </c>
      <c r="L73" s="19" t="str">
        <f ca="1">IF(AND(بيانات_العملاء4[[#This Row],[السجل التجارى]]="موجود",TODAY()+'Other Data'!$B$23&lt;J73,بيانات_العملاء4[[#This Row],[مطابقة اسم العميل بالاسم بالسجل التجارى]]="مطابق"), "سارى", "يجب اعادة طلبه")</f>
        <v>يجب اعادة طلبه</v>
      </c>
      <c r="M73" s="28" t="s">
        <v>54</v>
      </c>
      <c r="N73" s="13" t="str" cm="1">
        <f t="array" aca="1" ref="N73" ca="1">INDEX('SAP Customer Data '!A:Z,MATCH(بيانات_العملاء4[[#This Row],[رمز شريك الأعمال]],'SAP Customer Data '!B:B,0),CELL("col",Table_Customer_Data[[#Headers],[LicTradNum]]))</f>
        <v>305001131200003</v>
      </c>
      <c r="O7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3" s="26" t="s">
        <v>54</v>
      </c>
      <c r="Q73" s="9">
        <v>45253</v>
      </c>
      <c r="R7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73" s="26" t="s">
        <v>54</v>
      </c>
      <c r="T73" s="10">
        <v>150000</v>
      </c>
      <c r="U73" s="11">
        <v>44942</v>
      </c>
      <c r="V73" s="20">
        <f>IF(بيانات_العملاء4[[#This Row],[تاريخ انشاء سند الامر او الاستثناء]]="","",بيانات_العملاء4[[#This Row],[تاريخ انشاء سند الامر او الاستثناء]]+365*3)</f>
        <v>46037</v>
      </c>
      <c r="W7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75000</v>
      </c>
      <c r="X73" s="18" cm="1">
        <f t="array" aca="1" ref="X73" ca="1">INDEX('SAP Customer Data '!$A:$AC,MATCH(بيانات_العملاء4[[#This Row],[رمز شريك الأعمال]],'SAP Customer Data '!$B:$B,0),CELL("col",Table_Customer_Data[[#Headers],[CreditLine]]))</f>
        <v>75000</v>
      </c>
      <c r="Y7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3" s="26" t="s">
        <v>55</v>
      </c>
      <c r="AA7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73" s="26" t="s">
        <v>54</v>
      </c>
      <c r="AC73" s="16">
        <v>50567</v>
      </c>
      <c r="AD7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3" s="26" t="s">
        <v>54</v>
      </c>
      <c r="AF73" s="16">
        <v>50567</v>
      </c>
      <c r="AG7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73" s="26" t="s">
        <v>54</v>
      </c>
      <c r="AI73" s="6">
        <v>45268</v>
      </c>
      <c r="AJ7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73" s="26" t="s">
        <v>56</v>
      </c>
      <c r="AL73" s="9"/>
      <c r="AM7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3" s="26" t="s">
        <v>54</v>
      </c>
      <c r="AO73" s="11">
        <v>44998</v>
      </c>
      <c r="AP7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3" s="26" t="s">
        <v>56</v>
      </c>
      <c r="AR73" s="6"/>
      <c r="AS7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3" s="22" cm="1">
        <f t="array" aca="1" ref="AT73" ca="1">INDEX('SAP Customer Data '!A:Z,MATCH(بيانات_العملاء4[[#This Row],[رمز شريك الأعمال]],'SAP Customer Data '!B:B,0),CELL("col",Table_Customer_Data[[#Headers],[CreateDate]]))</f>
        <v>44839</v>
      </c>
      <c r="AU73" s="30"/>
      <c r="AV73" s="11" t="s">
        <v>825</v>
      </c>
      <c r="AW73" s="6" t="s">
        <v>846</v>
      </c>
      <c r="AX73" s="6"/>
    </row>
    <row r="74" spans="1:50" x14ac:dyDescent="0.25">
      <c r="A74" s="17" t="str" cm="1">
        <f t="array" aca="1" ref="A74" ca="1">INDEX('SAP Customer Data '!$A:$AC,MATCH(بيانات_العملاء4[[#This Row],[رمز شريك الأعمال]],'SAP Customer Data '!$B:$B,0),CELL("col",Table_Customer_Data[[#Headers],[GroupName]]))</f>
        <v>LB08</v>
      </c>
      <c r="B74" s="8" t="s">
        <v>162</v>
      </c>
      <c r="C74" s="18" t="str" cm="1">
        <f t="array" aca="1" ref="C74" ca="1">INDEX('SAP Customer Data '!$A:$AC,MATCH(بيانات_العملاء4[[#This Row],[رمز شريك الأعمال]],'SAP Customer Data '!$B:$B,0),CELL("col",Table_Customer_Data[[#Headers],[CardName]]))</f>
        <v>مؤسسة عبدالاله حمزة حمدي القرشي للتجارة- نقدي</v>
      </c>
      <c r="D74" s="26" t="str">
        <f ca="1">IF(بيانات_العملاء4[[#This Row],[حد الائتمان على SAP]]&gt;0,"آجل","نقدى")</f>
        <v>نقدى</v>
      </c>
      <c r="E74" s="6" t="s">
        <v>423</v>
      </c>
      <c r="F74" s="26" t="s">
        <v>385</v>
      </c>
      <c r="G74" s="26" t="s">
        <v>62</v>
      </c>
      <c r="H7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74" s="26" t="s">
        <v>54</v>
      </c>
      <c r="J74" s="9">
        <v>45142</v>
      </c>
      <c r="K74" s="27" t="s">
        <v>55</v>
      </c>
      <c r="L74" s="19" t="str">
        <f ca="1">IF(AND(بيانات_العملاء4[[#This Row],[السجل التجارى]]="موجود",TODAY()+'Other Data'!$B$23&lt;J74,بيانات_العملاء4[[#This Row],[مطابقة اسم العميل بالاسم بالسجل التجارى]]="مطابق"), "سارى", "يجب اعادة طلبه")</f>
        <v>سارى</v>
      </c>
      <c r="M74" s="28" t="s">
        <v>54</v>
      </c>
      <c r="N74" s="13" t="str" cm="1">
        <f t="array" aca="1" ref="N74" ca="1">INDEX('SAP Customer Data '!A:Z,MATCH(بيانات_العملاء4[[#This Row],[رمز شريك الأعمال]],'SAP Customer Data '!B:B,0),CELL("col",Table_Customer_Data[[#Headers],[LicTradNum]]))</f>
        <v>311377497900003</v>
      </c>
      <c r="O7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4" s="26" t="s">
        <v>56</v>
      </c>
      <c r="Q74" s="9"/>
      <c r="R7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4" s="26" t="s">
        <v>56</v>
      </c>
      <c r="T74" s="10"/>
      <c r="U74" s="11"/>
      <c r="V7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7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74" s="18" cm="1">
        <f t="array" aca="1" ref="X74" ca="1">INDEX('SAP Customer Data '!$A:$AC,MATCH(بيانات_العملاء4[[#This Row],[رمز شريك الأعمال]],'SAP Customer Data '!$B:$B,0),CELL("col",Table_Customer_Data[[#Headers],[CreditLine]]))</f>
        <v>0</v>
      </c>
      <c r="Y7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4" s="26"/>
      <c r="AA7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74" s="26" t="s">
        <v>56</v>
      </c>
      <c r="AC74" s="16"/>
      <c r="AD7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4" s="26" t="s">
        <v>56</v>
      </c>
      <c r="AF74" s="16"/>
      <c r="AG7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4" s="26" t="s">
        <v>56</v>
      </c>
      <c r="AI74" s="6"/>
      <c r="AJ7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4" s="26" t="s">
        <v>56</v>
      </c>
      <c r="AL74" s="9"/>
      <c r="AM7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4" s="26" t="s">
        <v>56</v>
      </c>
      <c r="AO74" s="11"/>
      <c r="AP7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4" s="26" t="s">
        <v>56</v>
      </c>
      <c r="AR74" s="6"/>
      <c r="AS7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4" s="22" cm="1">
        <f t="array" aca="1" ref="AT74" ca="1">INDEX('SAP Customer Data '!A:Z,MATCH(بيانات_العملاء4[[#This Row],[رمز شريك الأعمال]],'SAP Customer Data '!B:B,0),CELL("col",Table_Customer_Data[[#Headers],[CreateDate]]))</f>
        <v>44860</v>
      </c>
      <c r="AU74" s="30"/>
      <c r="AV74" s="11"/>
      <c r="AW74" s="6" t="s">
        <v>846</v>
      </c>
      <c r="AX74" s="6"/>
    </row>
    <row r="75" spans="1:50" x14ac:dyDescent="0.25">
      <c r="A75" s="17" t="str" cm="1">
        <f t="array" aca="1" ref="A75" ca="1">INDEX('SAP Customer Data '!$A:$AC,MATCH(بيانات_العملاء4[[#This Row],[رمز شريك الأعمال]],'SAP Customer Data '!$B:$B,0),CELL("col",Table_Customer_Data[[#Headers],[GroupName]]))</f>
        <v>LB09</v>
      </c>
      <c r="B75" s="8" t="s">
        <v>164</v>
      </c>
      <c r="C75" s="18" t="str" cm="1">
        <f t="array" aca="1" ref="C75" ca="1">INDEX('SAP Customer Data '!$A:$AC,MATCH(بيانات_العملاء4[[#This Row],[رمز شريك الأعمال]],'SAP Customer Data '!$B:$B,0),CELL("col",Table_Customer_Data[[#Headers],[CardName]]))</f>
        <v>مؤسسة بروج القمة التجارية</v>
      </c>
      <c r="D75" s="26" t="str">
        <f ca="1">IF(بيانات_العملاء4[[#This Row],[حد الائتمان على SAP]]&gt;0,"آجل","نقدى")</f>
        <v>آجل</v>
      </c>
      <c r="E75" s="6" t="s">
        <v>336</v>
      </c>
      <c r="F75" s="26" t="s">
        <v>385</v>
      </c>
      <c r="G75" s="26" t="s">
        <v>54</v>
      </c>
      <c r="H7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5" s="26" t="s">
        <v>54</v>
      </c>
      <c r="J75" s="9">
        <v>45165</v>
      </c>
      <c r="K75" s="27" t="s">
        <v>55</v>
      </c>
      <c r="L75" s="19" t="str">
        <f ca="1">IF(AND(بيانات_العملاء4[[#This Row],[السجل التجارى]]="موجود",TODAY()+'Other Data'!$B$23&lt;J75,بيانات_العملاء4[[#This Row],[مطابقة اسم العميل بالاسم بالسجل التجارى]]="مطابق"), "سارى", "يجب اعادة طلبه")</f>
        <v>سارى</v>
      </c>
      <c r="M75" s="28" t="s">
        <v>54</v>
      </c>
      <c r="N75" s="13" t="str" cm="1">
        <f t="array" aca="1" ref="N75" ca="1">INDEX('SAP Customer Data '!A:Z,MATCH(بيانات_العملاء4[[#This Row],[رمز شريك الأعمال]],'SAP Customer Data '!B:B,0),CELL("col",Table_Customer_Data[[#Headers],[LicTradNum]]))</f>
        <v>302183391400003</v>
      </c>
      <c r="O7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5" s="26" t="s">
        <v>54</v>
      </c>
      <c r="Q75" s="9"/>
      <c r="R7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5" s="26" t="s">
        <v>54</v>
      </c>
      <c r="T75" s="10">
        <v>100000</v>
      </c>
      <c r="U75" s="11">
        <v>44875</v>
      </c>
      <c r="V75" s="20">
        <f>IF(بيانات_العملاء4[[#This Row],[تاريخ انشاء سند الامر او الاستثناء]]="","",بيانات_العملاء4[[#This Row],[تاريخ انشاء سند الامر او الاستثناء]]+365*3)</f>
        <v>45970</v>
      </c>
      <c r="W7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75" s="18" cm="1">
        <f t="array" aca="1" ref="X75" ca="1">INDEX('SAP Customer Data '!$A:$AC,MATCH(بيانات_العملاء4[[#This Row],[رمز شريك الأعمال]],'SAP Customer Data '!$B:$B,0),CELL("col",Table_Customer_Data[[#Headers],[CreditLine]]))</f>
        <v>50000</v>
      </c>
      <c r="Y7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5" s="26" t="s">
        <v>55</v>
      </c>
      <c r="AA7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75" s="26" t="s">
        <v>54</v>
      </c>
      <c r="AC75" s="16">
        <v>45901</v>
      </c>
      <c r="AD7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5" s="26" t="s">
        <v>54</v>
      </c>
      <c r="AF75" s="16">
        <v>45901</v>
      </c>
      <c r="AG7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75" s="26" t="s">
        <v>56</v>
      </c>
      <c r="AI75" s="6"/>
      <c r="AJ7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5" s="26"/>
      <c r="AL75" s="9"/>
      <c r="AM7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5" s="26" t="s">
        <v>54</v>
      </c>
      <c r="AO75" s="11"/>
      <c r="AP7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5" s="26" t="s">
        <v>56</v>
      </c>
      <c r="AR75" s="6"/>
      <c r="AS7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5" s="22" cm="1">
        <f t="array" aca="1" ref="AT75" ca="1">INDEX('SAP Customer Data '!A:Z,MATCH(بيانات_العملاء4[[#This Row],[رمز شريك الأعمال]],'SAP Customer Data '!B:B,0),CELL("col",Table_Customer_Data[[#Headers],[CreateDate]]))</f>
        <v>44940</v>
      </c>
      <c r="AU75" s="30"/>
      <c r="AV75" s="11"/>
      <c r="AW75" s="6" t="s">
        <v>846</v>
      </c>
      <c r="AX75" s="6"/>
    </row>
    <row r="76" spans="1:50" x14ac:dyDescent="0.25">
      <c r="A76" s="17" t="str" cm="1">
        <f t="array" aca="1" ref="A76" ca="1">INDEX('SAP Customer Data '!$A:$AC,MATCH(بيانات_العملاء4[[#This Row],[رمز شريك الأعمال]],'SAP Customer Data '!$B:$B,0),CELL("col",Table_Customer_Data[[#Headers],[GroupName]]))</f>
        <v>LB07</v>
      </c>
      <c r="B76" s="8" t="s">
        <v>166</v>
      </c>
      <c r="C76" s="18" t="str" cm="1">
        <f t="array" aca="1" ref="C76" ca="1">INDEX('SAP Customer Data '!$A:$AC,MATCH(بيانات_العملاء4[[#This Row],[رمز شريك الأعمال]],'SAP Customer Data '!$B:$B,0),CELL("col",Table_Customer_Data[[#Headers],[CardName]]))</f>
        <v>شركة أركان الأمجاد للتجارة</v>
      </c>
      <c r="D76" s="26" t="str">
        <f ca="1">IF(بيانات_العملاء4[[#This Row],[حد الائتمان على SAP]]&gt;0,"آجل","نقدى")</f>
        <v>آجل</v>
      </c>
      <c r="E76" s="6"/>
      <c r="F76" s="26" t="s">
        <v>309</v>
      </c>
      <c r="G76" s="26" t="s">
        <v>54</v>
      </c>
      <c r="H7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6" s="26" t="s">
        <v>54</v>
      </c>
      <c r="J76" s="9">
        <v>45288</v>
      </c>
      <c r="K76" s="27" t="s">
        <v>55</v>
      </c>
      <c r="L76" s="19" t="str">
        <f ca="1">IF(AND(بيانات_العملاء4[[#This Row],[السجل التجارى]]="موجود",TODAY()+'Other Data'!$B$23&lt;J76,بيانات_العملاء4[[#This Row],[مطابقة اسم العميل بالاسم بالسجل التجارى]]="مطابق"), "سارى", "يجب اعادة طلبه")</f>
        <v>سارى</v>
      </c>
      <c r="M76" s="28" t="s">
        <v>54</v>
      </c>
      <c r="N76" s="13" t="str" cm="1">
        <f t="array" aca="1" ref="N76" ca="1">INDEX('SAP Customer Data '!A:Z,MATCH(بيانات_العملاء4[[#This Row],[رمز شريك الأعمال]],'SAP Customer Data '!B:B,0),CELL("col",Table_Customer_Data[[#Headers],[LicTradNum]]))</f>
        <v>311165719400003</v>
      </c>
      <c r="O7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6" s="26" t="s">
        <v>54</v>
      </c>
      <c r="Q76" s="9">
        <v>45327</v>
      </c>
      <c r="R7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76" s="26" t="s">
        <v>54</v>
      </c>
      <c r="T76" s="10">
        <v>20000</v>
      </c>
      <c r="U76" s="11">
        <v>45055</v>
      </c>
      <c r="V76" s="20">
        <f>IF(بيانات_العملاء4[[#This Row],[تاريخ انشاء سند الامر او الاستثناء]]="","",بيانات_العملاء4[[#This Row],[تاريخ انشاء سند الامر او الاستثناء]]+365*3)</f>
        <v>46150</v>
      </c>
      <c r="W7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76" s="18" cm="1">
        <f t="array" aca="1" ref="X76" ca="1">INDEX('SAP Customer Data '!$A:$AC,MATCH(بيانات_العملاء4[[#This Row],[رمز شريك الأعمال]],'SAP Customer Data '!$B:$B,0),CELL("col",Table_Customer_Data[[#Headers],[CreditLine]]))</f>
        <v>10000</v>
      </c>
      <c r="Y7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6" s="26" t="s">
        <v>55</v>
      </c>
      <c r="AA7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76" s="26" t="s">
        <v>56</v>
      </c>
      <c r="AC76" s="16"/>
      <c r="AD7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6" s="26" t="s">
        <v>54</v>
      </c>
      <c r="AF76" s="16"/>
      <c r="AG7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6" s="26" t="s">
        <v>56</v>
      </c>
      <c r="AI76" s="6"/>
      <c r="AJ7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6" s="26" t="s">
        <v>54</v>
      </c>
      <c r="AL76" s="9"/>
      <c r="AM7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6" s="26" t="s">
        <v>54</v>
      </c>
      <c r="AO76" s="11">
        <v>44761</v>
      </c>
      <c r="AP7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6" s="26" t="s">
        <v>56</v>
      </c>
      <c r="AR76" s="6"/>
      <c r="AS7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6" s="22" cm="1">
        <f t="array" aca="1" ref="AT76" ca="1">INDEX('SAP Customer Data '!A:Z,MATCH(بيانات_العملاء4[[#This Row],[رمز شريك الأعمال]],'SAP Customer Data '!B:B,0),CELL("col",Table_Customer_Data[[#Headers],[CreateDate]]))</f>
        <v>44858</v>
      </c>
      <c r="AU76" s="30"/>
      <c r="AV76" s="11"/>
      <c r="AW76" s="6" t="s">
        <v>846</v>
      </c>
      <c r="AX76" s="6"/>
    </row>
    <row r="77" spans="1:50" x14ac:dyDescent="0.25">
      <c r="A77" s="17" t="str" cm="1">
        <f t="array" aca="1" ref="A77" ca="1">INDEX('SAP Customer Data '!$A:$AC,MATCH(بيانات_العملاء4[[#This Row],[رمز شريك الأعمال]],'SAP Customer Data '!$B:$B,0),CELL("col",Table_Customer_Data[[#Headers],[GroupName]]))</f>
        <v>LB07</v>
      </c>
      <c r="B77" s="8" t="s">
        <v>167</v>
      </c>
      <c r="C77" s="18" t="str" cm="1">
        <f t="array" aca="1" ref="C77" ca="1">INDEX('SAP Customer Data '!$A:$AC,MATCH(بيانات_العملاء4[[#This Row],[رمز شريك الأعمال]],'SAP Customer Data '!$B:$B,0),CELL("col",Table_Customer_Data[[#Headers],[CardName]]))</f>
        <v>مؤسسة الياقوت الجديد لمواد البناء</v>
      </c>
      <c r="D77" s="26" t="str">
        <f ca="1">IF(بيانات_العملاء4[[#This Row],[حد الائتمان على SAP]]&gt;0,"آجل","نقدى")</f>
        <v>آجل</v>
      </c>
      <c r="E77" s="6" t="s">
        <v>414</v>
      </c>
      <c r="F77" s="26" t="s">
        <v>385</v>
      </c>
      <c r="G77" s="26" t="s">
        <v>54</v>
      </c>
      <c r="H7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7" s="26" t="s">
        <v>54</v>
      </c>
      <c r="J77" s="9">
        <v>45236</v>
      </c>
      <c r="K77" s="27" t="s">
        <v>55</v>
      </c>
      <c r="L77" s="19" t="str">
        <f ca="1">IF(AND(بيانات_العملاء4[[#This Row],[السجل التجارى]]="موجود",TODAY()+'Other Data'!$B$23&lt;J77,بيانات_العملاء4[[#This Row],[مطابقة اسم العميل بالاسم بالسجل التجارى]]="مطابق"), "سارى", "يجب اعادة طلبه")</f>
        <v>سارى</v>
      </c>
      <c r="M77" s="28" t="s">
        <v>54</v>
      </c>
      <c r="N77" s="13" t="str" cm="1">
        <f t="array" aca="1" ref="N77" ca="1">INDEX('SAP Customer Data '!A:Z,MATCH(بيانات_العملاء4[[#This Row],[رمز شريك الأعمال]],'SAP Customer Data '!B:B,0),CELL("col",Table_Customer_Data[[#Headers],[LicTradNum]]))</f>
        <v>311105081400003</v>
      </c>
      <c r="O7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7" s="26" t="s">
        <v>54</v>
      </c>
      <c r="Q77" s="9">
        <v>45632</v>
      </c>
      <c r="R7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77" s="26" t="s">
        <v>54</v>
      </c>
      <c r="T77" s="10">
        <v>25000</v>
      </c>
      <c r="U77" s="11">
        <v>45066</v>
      </c>
      <c r="V77" s="20">
        <f>IF(بيانات_العملاء4[[#This Row],[تاريخ انشاء سند الامر او الاستثناء]]="","",بيانات_العملاء4[[#This Row],[تاريخ انشاء سند الامر او الاستثناء]]+365*3)</f>
        <v>46161</v>
      </c>
      <c r="W7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12500</v>
      </c>
      <c r="X77" s="18" cm="1">
        <f t="array" aca="1" ref="X77" ca="1">INDEX('SAP Customer Data '!$A:$AC,MATCH(بيانات_العملاء4[[#This Row],[رمز شريك الأعمال]],'SAP Customer Data '!$B:$B,0),CELL("col",Table_Customer_Data[[#Headers],[CreditLine]]))</f>
        <v>12500</v>
      </c>
      <c r="Y7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7" s="26" t="s">
        <v>55</v>
      </c>
      <c r="AA7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77" s="26" t="s">
        <v>56</v>
      </c>
      <c r="AC77" s="16"/>
      <c r="AD7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7" s="26" t="s">
        <v>56</v>
      </c>
      <c r="AF77" s="16"/>
      <c r="AG7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7" s="26" t="s">
        <v>56</v>
      </c>
      <c r="AI77" s="6"/>
      <c r="AJ7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7" s="26" t="s">
        <v>56</v>
      </c>
      <c r="AL77" s="9"/>
      <c r="AM7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7" s="26" t="s">
        <v>54</v>
      </c>
      <c r="AO77" s="11">
        <v>45057</v>
      </c>
      <c r="AP7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7" s="26" t="s">
        <v>56</v>
      </c>
      <c r="AR77" s="6"/>
      <c r="AS7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7" s="22" cm="1">
        <f t="array" aca="1" ref="AT77" ca="1">INDEX('SAP Customer Data '!A:Z,MATCH(بيانات_العملاء4[[#This Row],[رمز شريك الأعمال]],'SAP Customer Data '!B:B,0),CELL("col",Table_Customer_Data[[#Headers],[CreateDate]]))</f>
        <v>44859</v>
      </c>
      <c r="AU77" s="30"/>
      <c r="AV77" s="11"/>
      <c r="AW77" s="6" t="s">
        <v>846</v>
      </c>
      <c r="AX77" s="6"/>
    </row>
    <row r="78" spans="1:50" x14ac:dyDescent="0.25">
      <c r="A78" s="17" t="str" cm="1">
        <f t="array" aca="1" ref="A78" ca="1">INDEX('SAP Customer Data '!$A:$AC,MATCH(بيانات_العملاء4[[#This Row],[رمز شريك الأعمال]],'SAP Customer Data '!$B:$B,0),CELL("col",Table_Customer_Data[[#Headers],[GroupName]]))</f>
        <v>LB07</v>
      </c>
      <c r="B78" s="8" t="s">
        <v>19</v>
      </c>
      <c r="C78" s="18" t="str" cm="1">
        <f t="array" aca="1" ref="C78" ca="1">INDEX('SAP Customer Data '!$A:$AC,MATCH(بيانات_العملاء4[[#This Row],[رمز شريك الأعمال]],'SAP Customer Data '!$B:$B,0),CELL("col",Table_Customer_Data[[#Headers],[CardName]]))</f>
        <v>مؤسسة البنيان المتكامل الماسية لمواد البناء</v>
      </c>
      <c r="D78" s="26" t="str">
        <f ca="1">IF(بيانات_العملاء4[[#This Row],[حد الائتمان على SAP]]&gt;0,"آجل","نقدى")</f>
        <v>آجل</v>
      </c>
      <c r="E78" s="6" t="s">
        <v>680</v>
      </c>
      <c r="F78" s="26" t="s">
        <v>385</v>
      </c>
      <c r="G78" s="26" t="s">
        <v>62</v>
      </c>
      <c r="H78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78" s="26" t="s">
        <v>54</v>
      </c>
      <c r="J78" s="9">
        <v>45491</v>
      </c>
      <c r="K78" s="27" t="s">
        <v>55</v>
      </c>
      <c r="L78" s="19" t="str">
        <f ca="1">IF(AND(بيانات_العملاء4[[#This Row],[السجل التجارى]]="موجود",TODAY()+'Other Data'!$B$23&lt;J78,بيانات_العملاء4[[#This Row],[مطابقة اسم العميل بالاسم بالسجل التجارى]]="مطابق"), "سارى", "يجب اعادة طلبه")</f>
        <v>سارى</v>
      </c>
      <c r="M78" s="28" t="s">
        <v>54</v>
      </c>
      <c r="N78" s="13" t="str" cm="1">
        <f t="array" aca="1" ref="N78" ca="1">INDEX('SAP Customer Data '!A:Z,MATCH(بيانات_العملاء4[[#This Row],[رمز شريك الأعمال]],'SAP Customer Data '!B:B,0),CELL("col",Table_Customer_Data[[#Headers],[LicTradNum]]))</f>
        <v>311372043300003</v>
      </c>
      <c r="O7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8" s="26" t="s">
        <v>54</v>
      </c>
      <c r="Q78" s="9">
        <v>45068</v>
      </c>
      <c r="R7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8" s="26" t="s">
        <v>56</v>
      </c>
      <c r="T78" s="10"/>
      <c r="U78" s="11"/>
      <c r="V7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7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78" s="18" cm="1">
        <f t="array" aca="1" ref="X78" ca="1">INDEX('SAP Customer Data '!$A:$AC,MATCH(بيانات_العملاء4[[#This Row],[رمز شريك الأعمال]],'SAP Customer Data '!$B:$B,0),CELL("col",Table_Customer_Data[[#Headers],[CreditLine]]))</f>
        <v>50000</v>
      </c>
      <c r="Y7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78" s="26"/>
      <c r="AA7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78" s="26" t="s">
        <v>56</v>
      </c>
      <c r="AC78" s="16"/>
      <c r="AD7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8" s="26" t="s">
        <v>56</v>
      </c>
      <c r="AF78" s="16"/>
      <c r="AG7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8" s="26" t="s">
        <v>56</v>
      </c>
      <c r="AI78" s="6"/>
      <c r="AJ7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8" s="26" t="s">
        <v>56</v>
      </c>
      <c r="AL78" s="9"/>
      <c r="AM7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8" s="26" t="s">
        <v>56</v>
      </c>
      <c r="AO78" s="11"/>
      <c r="AP7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8" s="26" t="s">
        <v>56</v>
      </c>
      <c r="AR78" s="6"/>
      <c r="AS7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8" s="22" cm="1">
        <f t="array" aca="1" ref="AT78" ca="1">INDEX('SAP Customer Data '!A:Z,MATCH(بيانات_العملاء4[[#This Row],[رمز شريك الأعمال]],'SAP Customer Data '!B:B,0),CELL("col",Table_Customer_Data[[#Headers],[CreateDate]]))</f>
        <v>44864</v>
      </c>
      <c r="AU78" s="30"/>
      <c r="AV78" s="11" t="s">
        <v>371</v>
      </c>
      <c r="AW78" s="6" t="s">
        <v>846</v>
      </c>
      <c r="AX78" s="6"/>
    </row>
    <row r="79" spans="1:50" x14ac:dyDescent="0.25">
      <c r="A79" s="17" t="str" cm="1">
        <f t="array" aca="1" ref="A79" ca="1">INDEX('SAP Customer Data '!$A:$AC,MATCH(بيانات_العملاء4[[#This Row],[رمز شريك الأعمال]],'SAP Customer Data '!$B:$B,0),CELL("col",Table_Customer_Data[[#Headers],[GroupName]]))</f>
        <v>CS06</v>
      </c>
      <c r="B79" s="8" t="s">
        <v>169</v>
      </c>
      <c r="C79" s="18" t="str" cm="1">
        <f t="array" aca="1" ref="C79" ca="1">INDEX('SAP Customer Data '!$A:$AC,MATCH(بيانات_العملاء4[[#This Row],[رمز شريك الأعمال]],'SAP Customer Data '!$B:$B,0),CELL("col",Table_Customer_Data[[#Headers],[CardName]]))</f>
        <v>مؤسسة عبدالله بن حسين خضر الزهراني - نقدي</v>
      </c>
      <c r="D79" s="26" t="str">
        <f ca="1">IF(بيانات_العملاء4[[#This Row],[حد الائتمان على SAP]]&gt;0,"آجل","نقدى")</f>
        <v>نقدى</v>
      </c>
      <c r="E79" s="6" t="s">
        <v>837</v>
      </c>
      <c r="F79" s="26" t="s">
        <v>385</v>
      </c>
      <c r="G79" s="26" t="s">
        <v>56</v>
      </c>
      <c r="H79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79" s="26" t="s">
        <v>54</v>
      </c>
      <c r="J79" s="9">
        <v>45150</v>
      </c>
      <c r="K79" s="27" t="s">
        <v>55</v>
      </c>
      <c r="L79" s="19" t="str">
        <f ca="1">IF(AND(بيانات_العملاء4[[#This Row],[السجل التجارى]]="موجود",TODAY()+'Other Data'!$B$23&lt;J79,بيانات_العملاء4[[#This Row],[مطابقة اسم العميل بالاسم بالسجل التجارى]]="مطابق"), "سارى", "يجب اعادة طلبه")</f>
        <v>سارى</v>
      </c>
      <c r="M79" s="28" t="s">
        <v>54</v>
      </c>
      <c r="N79" s="13" t="str" cm="1">
        <f t="array" aca="1" ref="N79" ca="1">INDEX('SAP Customer Data '!A:Z,MATCH(بيانات_العملاء4[[#This Row],[رمز شريك الأعمال]],'SAP Customer Data '!B:B,0),CELL("col",Table_Customer_Data[[#Headers],[LicTradNum]]))</f>
        <v>310388232300003</v>
      </c>
      <c r="O7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9" s="26" t="s">
        <v>54</v>
      </c>
      <c r="Q79" s="9">
        <v>44962</v>
      </c>
      <c r="R7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9" s="26" t="s">
        <v>56</v>
      </c>
      <c r="T79" s="10"/>
      <c r="U79" s="11"/>
      <c r="V79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7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79" s="18" cm="1">
        <f t="array" aca="1" ref="X79" ca="1">INDEX('SAP Customer Data '!$A:$AC,MATCH(بيانات_العملاء4[[#This Row],[رمز شريك الأعمال]],'SAP Customer Data '!$B:$B,0),CELL("col",Table_Customer_Data[[#Headers],[CreditLine]]))</f>
        <v>0</v>
      </c>
      <c r="Y7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9" s="26"/>
      <c r="AA7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79" s="26" t="s">
        <v>54</v>
      </c>
      <c r="AC79" s="16">
        <v>45860</v>
      </c>
      <c r="AD7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9" s="26" t="s">
        <v>56</v>
      </c>
      <c r="AF79" s="16"/>
      <c r="AG7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9" s="26" t="s">
        <v>56</v>
      </c>
      <c r="AI79" s="6"/>
      <c r="AJ7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9" s="26" t="s">
        <v>56</v>
      </c>
      <c r="AL79" s="9"/>
      <c r="AM7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9" s="26" t="s">
        <v>56</v>
      </c>
      <c r="AO79" s="11"/>
      <c r="AP7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9" s="26" t="s">
        <v>56</v>
      </c>
      <c r="AR79" s="6"/>
      <c r="AS7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9" s="22" cm="1">
        <f t="array" aca="1" ref="AT79" ca="1">INDEX('SAP Customer Data '!A:Z,MATCH(بيانات_العملاء4[[#This Row],[رمز شريك الأعمال]],'SAP Customer Data '!B:B,0),CELL("col",Table_Customer_Data[[#Headers],[CreateDate]]))</f>
        <v>44865</v>
      </c>
      <c r="AU79" s="30"/>
      <c r="AV79" s="11"/>
      <c r="AW79" s="6" t="s">
        <v>846</v>
      </c>
      <c r="AX79" s="6"/>
    </row>
    <row r="80" spans="1:50" x14ac:dyDescent="0.25">
      <c r="A80" s="17" t="str" cm="1">
        <f t="array" aca="1" ref="A80" ca="1">INDEX('SAP Customer Data '!$A:$AC,MATCH(بيانات_العملاء4[[#This Row],[رمز شريك الأعمال]],'SAP Customer Data '!$B:$B,0),CELL("col",Table_Customer_Data[[#Headers],[GroupName]]))</f>
        <v>LB07</v>
      </c>
      <c r="B80" s="8" t="s">
        <v>171</v>
      </c>
      <c r="C80" s="18" t="str" cm="1">
        <f t="array" aca="1" ref="C80" ca="1">INDEX('SAP Customer Data '!$A:$AC,MATCH(بيانات_العملاء4[[#This Row],[رمز شريك الأعمال]],'SAP Customer Data '!$B:$B,0),CELL("col",Table_Customer_Data[[#Headers],[CardName]]))</f>
        <v>شركة جسور الإمداد للخدمات اللوجستية -نقدي</v>
      </c>
      <c r="D80" s="26" t="str">
        <f ca="1">IF(بيانات_العملاء4[[#This Row],[حد الائتمان على SAP]]&gt;0,"آجل","نقدى")</f>
        <v>نقدى</v>
      </c>
      <c r="E80" s="6"/>
      <c r="F80" s="26" t="s">
        <v>370</v>
      </c>
      <c r="G80" s="26" t="s">
        <v>56</v>
      </c>
      <c r="H80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0" s="26" t="s">
        <v>54</v>
      </c>
      <c r="J80" s="9">
        <v>44921</v>
      </c>
      <c r="K80" s="27" t="s">
        <v>55</v>
      </c>
      <c r="L80" s="19" t="str">
        <f ca="1">IF(AND(بيانات_العملاء4[[#This Row],[السجل التجارى]]="موجود",TODAY()+'Other Data'!$B$23&lt;J80,بيانات_العملاء4[[#This Row],[مطابقة اسم العميل بالاسم بالسجل التجارى]]="مطابق"), "سارى", "يجب اعادة طلبه")</f>
        <v>يجب اعادة طلبه</v>
      </c>
      <c r="M80" s="28" t="s">
        <v>54</v>
      </c>
      <c r="N80" s="13" t="str" cm="1">
        <f t="array" aca="1" ref="N80" ca="1">INDEX('SAP Customer Data '!A:Z,MATCH(بيانات_العملاء4[[#This Row],[رمز شريك الأعمال]],'SAP Customer Data '!B:B,0),CELL("col",Table_Customer_Data[[#Headers],[LicTradNum]]))</f>
        <v>311146179500003</v>
      </c>
      <c r="O8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0" s="26" t="s">
        <v>56</v>
      </c>
      <c r="Q80" s="9"/>
      <c r="R8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0" s="26" t="s">
        <v>56</v>
      </c>
      <c r="T80" s="10"/>
      <c r="U80" s="11"/>
      <c r="V8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0" s="18" cm="1">
        <f t="array" aca="1" ref="X80" ca="1">INDEX('SAP Customer Data '!$A:$AC,MATCH(بيانات_العملاء4[[#This Row],[رمز شريك الأعمال]],'SAP Customer Data '!$B:$B,0),CELL("col",Table_Customer_Data[[#Headers],[CreditLine]]))</f>
        <v>0</v>
      </c>
      <c r="Y8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0" s="26"/>
      <c r="AA8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0" s="26" t="s">
        <v>56</v>
      </c>
      <c r="AC80" s="16"/>
      <c r="AD8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0" s="26" t="s">
        <v>56</v>
      </c>
      <c r="AF80" s="16"/>
      <c r="AG8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0" s="26" t="s">
        <v>56</v>
      </c>
      <c r="AI80" s="6"/>
      <c r="AJ8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0" s="26" t="s">
        <v>56</v>
      </c>
      <c r="AL80" s="9"/>
      <c r="AM8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0" s="26" t="s">
        <v>56</v>
      </c>
      <c r="AO80" s="11"/>
      <c r="AP8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0" s="26" t="s">
        <v>56</v>
      </c>
      <c r="AR80" s="6"/>
      <c r="AS8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0" s="22" cm="1">
        <f t="array" aca="1" ref="AT80" ca="1">INDEX('SAP Customer Data '!A:Z,MATCH(بيانات_العملاء4[[#This Row],[رمز شريك الأعمال]],'SAP Customer Data '!B:B,0),CELL("col",Table_Customer_Data[[#Headers],[CreateDate]]))</f>
        <v>44872</v>
      </c>
      <c r="AU80" s="30"/>
      <c r="AV80" s="11"/>
      <c r="AW80" s="6" t="s">
        <v>846</v>
      </c>
      <c r="AX80" s="6"/>
    </row>
    <row r="81" spans="1:50" x14ac:dyDescent="0.25">
      <c r="A81" s="17" t="str" cm="1">
        <f t="array" aca="1" ref="A81" ca="1">INDEX('SAP Customer Data '!$A:$AC,MATCH(بيانات_العملاء4[[#This Row],[رمز شريك الأعمال]],'SAP Customer Data '!$B:$B,0),CELL("col",Table_Customer_Data[[#Headers],[GroupName]]))</f>
        <v>LB07</v>
      </c>
      <c r="B81" s="8" t="s">
        <v>173</v>
      </c>
      <c r="C81" s="18" t="str" cm="1">
        <f t="array" aca="1" ref="C81" ca="1">INDEX('SAP Customer Data '!$A:$AC,MATCH(بيانات_العملاء4[[#This Row],[رمز شريك الأعمال]],'SAP Customer Data '!$B:$B,0),CELL("col",Table_Customer_Data[[#Headers],[CardName]]))</f>
        <v>شركة السرعة الرابعة للتجارة</v>
      </c>
      <c r="D81" s="26" t="str">
        <f ca="1">IF(بيانات_العملاء4[[#This Row],[حد الائتمان على SAP]]&gt;0,"آجل","نقدى")</f>
        <v>آجل</v>
      </c>
      <c r="E81" s="6"/>
      <c r="F81" s="26" t="s">
        <v>370</v>
      </c>
      <c r="G81" s="26" t="s">
        <v>54</v>
      </c>
      <c r="H8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1" s="26" t="s">
        <v>54</v>
      </c>
      <c r="J81" s="9">
        <v>45172</v>
      </c>
      <c r="K81" s="27" t="s">
        <v>55</v>
      </c>
      <c r="L81" s="19" t="str">
        <f ca="1">IF(AND(بيانات_العملاء4[[#This Row],[السجل التجارى]]="موجود",TODAY()+'Other Data'!$B$23&lt;J81,بيانات_العملاء4[[#This Row],[مطابقة اسم العميل بالاسم بالسجل التجارى]]="مطابق"), "سارى", "يجب اعادة طلبه")</f>
        <v>سارى</v>
      </c>
      <c r="M81" s="28" t="s">
        <v>54</v>
      </c>
      <c r="N81" s="13" t="str" cm="1">
        <f t="array" aca="1" ref="N81" ca="1">INDEX('SAP Customer Data '!A:Z,MATCH(بيانات_العملاء4[[#This Row],[رمز شريك الأعمال]],'SAP Customer Data '!B:B,0),CELL("col",Table_Customer_Data[[#Headers],[LicTradNum]]))</f>
        <v>311408935800003</v>
      </c>
      <c r="O8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1" s="26" t="s">
        <v>54</v>
      </c>
      <c r="Q81" s="9">
        <v>44898</v>
      </c>
      <c r="R8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1" s="26" t="s">
        <v>54</v>
      </c>
      <c r="T81" s="10">
        <v>500000</v>
      </c>
      <c r="U81" s="11">
        <v>44874</v>
      </c>
      <c r="V81" s="20">
        <f>IF(بيانات_العملاء4[[#This Row],[تاريخ انشاء سند الامر او الاستثناء]]="","",بيانات_العملاء4[[#This Row],[تاريخ انشاء سند الامر او الاستثناء]]+365*3)</f>
        <v>45969</v>
      </c>
      <c r="W8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250000</v>
      </c>
      <c r="X81" s="18" cm="1">
        <f t="array" aca="1" ref="X81" ca="1">INDEX('SAP Customer Data '!$A:$AC,MATCH(بيانات_العملاء4[[#This Row],[رمز شريك الأعمال]],'SAP Customer Data '!$B:$B,0),CELL("col",Table_Customer_Data[[#Headers],[CreditLine]]))</f>
        <v>200000</v>
      </c>
      <c r="Y8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81" s="26" t="s">
        <v>55</v>
      </c>
      <c r="AA8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1" s="26" t="s">
        <v>56</v>
      </c>
      <c r="AC81" s="16"/>
      <c r="AD8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1" s="26" t="s">
        <v>56</v>
      </c>
      <c r="AF81" s="16"/>
      <c r="AG8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1" s="26" t="s">
        <v>56</v>
      </c>
      <c r="AI81" s="6"/>
      <c r="AJ8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1" s="26" t="s">
        <v>56</v>
      </c>
      <c r="AL81" s="9"/>
      <c r="AM8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1" s="26" t="s">
        <v>54</v>
      </c>
      <c r="AO81" s="11">
        <v>45055</v>
      </c>
      <c r="AP8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1" s="26" t="s">
        <v>56</v>
      </c>
      <c r="AR81" s="6"/>
      <c r="AS8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1" s="22" cm="1">
        <f t="array" aca="1" ref="AT81" ca="1">INDEX('SAP Customer Data '!A:Z,MATCH(بيانات_العملاء4[[#This Row],[رمز شريك الأعمال]],'SAP Customer Data '!B:B,0),CELL("col",Table_Customer_Data[[#Headers],[CreateDate]]))</f>
        <v>44877</v>
      </c>
      <c r="AU81" s="30"/>
      <c r="AV81" s="11" t="s">
        <v>389</v>
      </c>
      <c r="AW81" s="6" t="s">
        <v>846</v>
      </c>
      <c r="AX81" s="6"/>
    </row>
    <row r="82" spans="1:50" x14ac:dyDescent="0.25">
      <c r="A82" s="17" t="str" cm="1">
        <f t="array" aca="1" ref="A82" ca="1">INDEX('SAP Customer Data '!$A:$AC,MATCH(بيانات_العملاء4[[#This Row],[رمز شريك الأعمال]],'SAP Customer Data '!$B:$B,0),CELL("col",Table_Customer_Data[[#Headers],[GroupName]]))</f>
        <v>LB07</v>
      </c>
      <c r="B82" s="8" t="s">
        <v>175</v>
      </c>
      <c r="C82" s="18" t="str" cm="1">
        <f t="array" aca="1" ref="C82" ca="1">INDEX('SAP Customer Data '!$A:$AC,MATCH(بيانات_العملاء4[[#This Row],[رمز شريك الأعمال]],'SAP Customer Data '!$B:$B,0),CELL("col",Table_Customer_Data[[#Headers],[CardName]]))</f>
        <v>شركة السماحة المتطورة للتجارة  -نقدي</v>
      </c>
      <c r="D82" s="26" t="str">
        <f ca="1">IF(بيانات_العملاء4[[#This Row],[حد الائتمان على SAP]]&gt;0,"آجل","نقدى")</f>
        <v>نقدى</v>
      </c>
      <c r="E82" s="6"/>
      <c r="F82" s="26" t="s">
        <v>386</v>
      </c>
      <c r="G82" s="26" t="s">
        <v>56</v>
      </c>
      <c r="H82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2" s="26" t="s">
        <v>56</v>
      </c>
      <c r="J82" s="9"/>
      <c r="K82" s="27"/>
      <c r="L82" s="19" t="str">
        <f ca="1">IF(AND(بيانات_العملاء4[[#This Row],[السجل التجارى]]="موجود",TODAY()+'Other Data'!$B$23&lt;J82,بيانات_العملاء4[[#This Row],[مطابقة اسم العميل بالاسم بالسجل التجارى]]="مطابق"), "سارى", "يجب اعادة طلبه")</f>
        <v>يجب اعادة طلبه</v>
      </c>
      <c r="M82" s="28" t="s">
        <v>54</v>
      </c>
      <c r="N82" s="13" t="str" cm="1">
        <f t="array" aca="1" ref="N82" ca="1">INDEX('SAP Customer Data '!A:Z,MATCH(بيانات_العملاء4[[#This Row],[رمز شريك الأعمال]],'SAP Customer Data '!B:B,0),CELL("col",Table_Customer_Data[[#Headers],[LicTradNum]]))</f>
        <v>311337338100003</v>
      </c>
      <c r="O8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2" s="26" t="s">
        <v>54</v>
      </c>
      <c r="Q82" s="9">
        <v>44990</v>
      </c>
      <c r="R8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2" s="26" t="s">
        <v>56</v>
      </c>
      <c r="T82" s="10"/>
      <c r="U82" s="11"/>
      <c r="V8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2" s="18" cm="1">
        <f t="array" aca="1" ref="X82" ca="1">INDEX('SAP Customer Data '!$A:$AC,MATCH(بيانات_العملاء4[[#This Row],[رمز شريك الأعمال]],'SAP Customer Data '!$B:$B,0),CELL("col",Table_Customer_Data[[#Headers],[CreditLine]]))</f>
        <v>0</v>
      </c>
      <c r="Y8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2" s="26"/>
      <c r="AA8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2" s="26" t="s">
        <v>56</v>
      </c>
      <c r="AC82" s="16"/>
      <c r="AD8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2" s="26" t="s">
        <v>56</v>
      </c>
      <c r="AF82" s="16"/>
      <c r="AG8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2" s="26" t="s">
        <v>56</v>
      </c>
      <c r="AI82" s="6"/>
      <c r="AJ8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2" s="26" t="s">
        <v>56</v>
      </c>
      <c r="AL82" s="9"/>
      <c r="AM8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2" s="26" t="s">
        <v>56</v>
      </c>
      <c r="AO82" s="11"/>
      <c r="AP8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2" s="26" t="s">
        <v>56</v>
      </c>
      <c r="AR82" s="6"/>
      <c r="AS8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2" s="22" cm="1">
        <f t="array" aca="1" ref="AT82" ca="1">INDEX('SAP Customer Data '!A:Z,MATCH(بيانات_العملاء4[[#This Row],[رمز شريك الأعمال]],'SAP Customer Data '!B:B,0),CELL("col",Table_Customer_Data[[#Headers],[CreateDate]]))</f>
        <v>44878</v>
      </c>
      <c r="AU82" s="30"/>
      <c r="AV82" s="11" t="s">
        <v>915</v>
      </c>
      <c r="AW82" s="6" t="s">
        <v>846</v>
      </c>
      <c r="AX82" s="6"/>
    </row>
    <row r="83" spans="1:50" x14ac:dyDescent="0.25">
      <c r="A83" s="17" t="str" cm="1">
        <f t="array" aca="1" ref="A83" ca="1">INDEX('SAP Customer Data '!$A:$AC,MATCH(بيانات_العملاء4[[#This Row],[رمز شريك الأعمال]],'SAP Customer Data '!$B:$B,0),CELL("col",Table_Customer_Data[[#Headers],[GroupName]]))</f>
        <v>LB07</v>
      </c>
      <c r="B83" s="8" t="s">
        <v>177</v>
      </c>
      <c r="C83" s="18" t="str" cm="1">
        <f t="array" aca="1" ref="C83" ca="1">INDEX('SAP Customer Data '!$A:$AC,MATCH(بيانات_العملاء4[[#This Row],[رمز شريك الأعمال]],'SAP Customer Data '!$B:$B,0),CELL("col",Table_Customer_Data[[#Headers],[CardName]]))</f>
        <v>مؤسسة توهج الاضاءة التجارية  -نقدي</v>
      </c>
      <c r="D83" s="26" t="str">
        <f ca="1">IF(بيانات_العملاء4[[#This Row],[حد الائتمان على SAP]]&gt;0,"آجل","نقدى")</f>
        <v>نقدى</v>
      </c>
      <c r="E83" s="6" t="s">
        <v>832</v>
      </c>
      <c r="F83" s="26" t="s">
        <v>385</v>
      </c>
      <c r="G83" s="26" t="s">
        <v>56</v>
      </c>
      <c r="H83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3" s="26" t="s">
        <v>54</v>
      </c>
      <c r="J83" s="9">
        <v>44592</v>
      </c>
      <c r="K83" s="27" t="s">
        <v>55</v>
      </c>
      <c r="L83" s="19" t="str">
        <f ca="1">IF(AND(بيانات_العملاء4[[#This Row],[السجل التجارى]]="موجود",TODAY()+'Other Data'!$B$23&lt;J83,بيانات_العملاء4[[#This Row],[مطابقة اسم العميل بالاسم بالسجل التجارى]]="مطابق"), "سارى", "يجب اعادة طلبه")</f>
        <v>يجب اعادة طلبه</v>
      </c>
      <c r="M83" s="28" t="s">
        <v>54</v>
      </c>
      <c r="N83" s="13" t="str" cm="1">
        <f t="array" aca="1" ref="N83" ca="1">INDEX('SAP Customer Data '!A:Z,MATCH(بيانات_العملاء4[[#This Row],[رمز شريك الأعمال]],'SAP Customer Data '!B:B,0),CELL("col",Table_Customer_Data[[#Headers],[LicTradNum]]))</f>
        <v>310239914500003</v>
      </c>
      <c r="O8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3" s="26" t="s">
        <v>54</v>
      </c>
      <c r="Q83" s="9">
        <v>46069</v>
      </c>
      <c r="R8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83" s="26" t="s">
        <v>56</v>
      </c>
      <c r="T83" s="10"/>
      <c r="U83" s="11"/>
      <c r="V83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3" s="18" cm="1">
        <f t="array" aca="1" ref="X83" ca="1">INDEX('SAP Customer Data '!$A:$AC,MATCH(بيانات_العملاء4[[#This Row],[رمز شريك الأعمال]],'SAP Customer Data '!$B:$B,0),CELL("col",Table_Customer_Data[[#Headers],[CreditLine]]))</f>
        <v>0</v>
      </c>
      <c r="Y8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3" s="26"/>
      <c r="AA8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3" s="26" t="s">
        <v>56</v>
      </c>
      <c r="AC83" s="16"/>
      <c r="AD8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3" s="26" t="s">
        <v>56</v>
      </c>
      <c r="AF83" s="16"/>
      <c r="AG8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3" s="26" t="s">
        <v>56</v>
      </c>
      <c r="AI83" s="6"/>
      <c r="AJ8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3" s="26" t="s">
        <v>56</v>
      </c>
      <c r="AL83" s="9"/>
      <c r="AM8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3" s="26" t="s">
        <v>56</v>
      </c>
      <c r="AO83" s="11"/>
      <c r="AP8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3" s="26" t="s">
        <v>56</v>
      </c>
      <c r="AR83" s="6"/>
      <c r="AS8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3" s="22" cm="1">
        <f t="array" aca="1" ref="AT83" ca="1">INDEX('SAP Customer Data '!A:Z,MATCH(بيانات_العملاء4[[#This Row],[رمز شريك الأعمال]],'SAP Customer Data '!B:B,0),CELL("col",Table_Customer_Data[[#Headers],[CreateDate]]))</f>
        <v>44878</v>
      </c>
      <c r="AU83" s="30"/>
      <c r="AV83" s="11"/>
      <c r="AW83" s="6" t="s">
        <v>846</v>
      </c>
      <c r="AX83" s="6"/>
    </row>
    <row r="84" spans="1:50" x14ac:dyDescent="0.25">
      <c r="A84" s="17" t="str" cm="1">
        <f t="array" aca="1" ref="A84" ca="1">INDEX('SAP Customer Data '!$A:$AC,MATCH(بيانات_العملاء4[[#This Row],[رمز شريك الأعمال]],'SAP Customer Data '!$B:$B,0),CELL("col",Table_Customer_Data[[#Headers],[GroupName]]))</f>
        <v>LB07</v>
      </c>
      <c r="B84" s="8" t="s">
        <v>179</v>
      </c>
      <c r="C84" s="18" t="str" cm="1">
        <f t="array" aca="1" ref="C84" ca="1">INDEX('SAP Customer Data '!$A:$AC,MATCH(بيانات_العملاء4[[#This Row],[رمز شريك الأعمال]],'SAP Customer Data '!$B:$B,0),CELL("col",Table_Customer_Data[[#Headers],[CardName]]))</f>
        <v>مؤسسة المهارة الحديثة لمواد البناء -نقدي</v>
      </c>
      <c r="D84" s="26" t="str">
        <f ca="1">IF(بيانات_العملاء4[[#This Row],[حد الائتمان على SAP]]&gt;0,"آجل","نقدى")</f>
        <v>نقدى</v>
      </c>
      <c r="E84" s="6" t="s">
        <v>833</v>
      </c>
      <c r="F84" s="26" t="s">
        <v>385</v>
      </c>
      <c r="G84" s="26" t="s">
        <v>56</v>
      </c>
      <c r="H8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4" s="26" t="s">
        <v>54</v>
      </c>
      <c r="J84" s="9">
        <v>45840</v>
      </c>
      <c r="K84" s="27" t="s">
        <v>55</v>
      </c>
      <c r="L84" s="19" t="str">
        <f ca="1">IF(AND(بيانات_العملاء4[[#This Row],[السجل التجارى]]="موجود",TODAY()+'Other Data'!$B$23&lt;J84,بيانات_العملاء4[[#This Row],[مطابقة اسم العميل بالاسم بالسجل التجارى]]="مطابق"), "سارى", "يجب اعادة طلبه")</f>
        <v>سارى</v>
      </c>
      <c r="M84" s="28" t="s">
        <v>54</v>
      </c>
      <c r="N84" s="13" t="str" cm="1">
        <f t="array" aca="1" ref="N84" ca="1">INDEX('SAP Customer Data '!A:Z,MATCH(بيانات_العملاء4[[#This Row],[رمز شريك الأعمال]],'SAP Customer Data '!B:B,0),CELL("col",Table_Customer_Data[[#Headers],[LicTradNum]]))</f>
        <v>300101638300003</v>
      </c>
      <c r="O8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4" s="26" t="s">
        <v>54</v>
      </c>
      <c r="Q84" s="9">
        <v>45908</v>
      </c>
      <c r="R8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84" s="26" t="s">
        <v>56</v>
      </c>
      <c r="T84" s="10"/>
      <c r="U84" s="11"/>
      <c r="V8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4" s="18" cm="1">
        <f t="array" aca="1" ref="X84" ca="1">INDEX('SAP Customer Data '!$A:$AC,MATCH(بيانات_العملاء4[[#This Row],[رمز شريك الأعمال]],'SAP Customer Data '!$B:$B,0),CELL("col",Table_Customer_Data[[#Headers],[CreditLine]]))</f>
        <v>0</v>
      </c>
      <c r="Y8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4" s="26"/>
      <c r="AA8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4" s="26" t="s">
        <v>56</v>
      </c>
      <c r="AC84" s="16"/>
      <c r="AD8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4" s="26" t="s">
        <v>56</v>
      </c>
      <c r="AF84" s="16"/>
      <c r="AG8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4" s="26" t="s">
        <v>56</v>
      </c>
      <c r="AI84" s="6"/>
      <c r="AJ8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4" s="26" t="s">
        <v>56</v>
      </c>
      <c r="AL84" s="9"/>
      <c r="AM8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4" s="26" t="s">
        <v>56</v>
      </c>
      <c r="AO84" s="11"/>
      <c r="AP8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4" s="26" t="s">
        <v>56</v>
      </c>
      <c r="AR84" s="6"/>
      <c r="AS8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4" s="22" cm="1">
        <f t="array" aca="1" ref="AT84" ca="1">INDEX('SAP Customer Data '!A:Z,MATCH(بيانات_العملاء4[[#This Row],[رمز شريك الأعمال]],'SAP Customer Data '!B:B,0),CELL("col",Table_Customer_Data[[#Headers],[CreateDate]]))</f>
        <v>44878</v>
      </c>
      <c r="AU84" s="30"/>
      <c r="AV84" s="11"/>
      <c r="AW84" s="6" t="s">
        <v>846</v>
      </c>
      <c r="AX84" s="6"/>
    </row>
    <row r="85" spans="1:50" x14ac:dyDescent="0.25">
      <c r="A85" s="17" t="str" cm="1">
        <f t="array" aca="1" ref="A85" ca="1">INDEX('SAP Customer Data '!$A:$AC,MATCH(بيانات_العملاء4[[#This Row],[رمز شريك الأعمال]],'SAP Customer Data '!$B:$B,0),CELL("col",Table_Customer_Data[[#Headers],[GroupName]]))</f>
        <v>LB07</v>
      </c>
      <c r="B85" s="8" t="s">
        <v>181</v>
      </c>
      <c r="C85" s="18" t="str" cm="1">
        <f t="array" aca="1" ref="C85" ca="1">INDEX('SAP Customer Data '!$A:$AC,MATCH(بيانات_العملاء4[[#This Row],[رمز شريك الأعمال]],'SAP Customer Data '!$B:$B,0),CELL("col",Table_Customer_Data[[#Headers],[CardName]]))</f>
        <v>مؤسسة سامي هاشم عبدالحكيم الصبحي</v>
      </c>
      <c r="D85" s="26" t="str">
        <f ca="1">IF(بيانات_العملاء4[[#This Row],[حد الائتمان على SAP]]&gt;0,"آجل","نقدى")</f>
        <v>آجل</v>
      </c>
      <c r="E85" s="6"/>
      <c r="F85" s="26" t="s">
        <v>386</v>
      </c>
      <c r="G85" s="26" t="s">
        <v>54</v>
      </c>
      <c r="H8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5" s="26" t="s">
        <v>54</v>
      </c>
      <c r="J85" s="9">
        <v>45347</v>
      </c>
      <c r="K85" s="27"/>
      <c r="L85" s="19" t="str">
        <f ca="1">IF(AND(بيانات_العملاء4[[#This Row],[السجل التجارى]]="موجود",TODAY()+'Other Data'!$B$23&lt;J85,بيانات_العملاء4[[#This Row],[مطابقة اسم العميل بالاسم بالسجل التجارى]]="مطابق"), "سارى", "يجب اعادة طلبه")</f>
        <v>يجب اعادة طلبه</v>
      </c>
      <c r="M85" s="28" t="s">
        <v>54</v>
      </c>
      <c r="N85" s="13" t="str" cm="1">
        <f t="array" aca="1" ref="N85" ca="1">INDEX('SAP Customer Data '!A:Z,MATCH(بيانات_العملاء4[[#This Row],[رمز شريك الأعمال]],'SAP Customer Data '!B:B,0),CELL("col",Table_Customer_Data[[#Headers],[LicTradNum]]))</f>
        <v>310355124200003</v>
      </c>
      <c r="O8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5" s="26" t="s">
        <v>54</v>
      </c>
      <c r="Q85" s="9">
        <v>44954</v>
      </c>
      <c r="R8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5" s="26" t="s">
        <v>54</v>
      </c>
      <c r="T85" s="10">
        <v>25000</v>
      </c>
      <c r="U85" s="11">
        <v>44885</v>
      </c>
      <c r="V85" s="20">
        <f>IF(بيانات_العملاء4[[#This Row],[تاريخ انشاء سند الامر او الاستثناء]]="","",بيانات_العملاء4[[#This Row],[تاريخ انشاء سند الامر او الاستثناء]]+365*3)</f>
        <v>45980</v>
      </c>
      <c r="W8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12500</v>
      </c>
      <c r="X85" s="18" cm="1">
        <f t="array" aca="1" ref="X85" ca="1">INDEX('SAP Customer Data '!$A:$AC,MATCH(بيانات_العملاء4[[#This Row],[رمز شريك الأعمال]],'SAP Customer Data '!$B:$B,0),CELL("col",Table_Customer_Data[[#Headers],[CreditLine]]))</f>
        <v>20000</v>
      </c>
      <c r="Y8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85" s="26" t="s">
        <v>57</v>
      </c>
      <c r="AA8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5" s="26" t="s">
        <v>54</v>
      </c>
      <c r="AC85" s="16">
        <v>46508</v>
      </c>
      <c r="AD8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85" s="26" t="s">
        <v>54</v>
      </c>
      <c r="AF85" s="16">
        <v>46508</v>
      </c>
      <c r="AG8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85" s="26" t="s">
        <v>54</v>
      </c>
      <c r="AI85" s="6"/>
      <c r="AJ8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5" s="26" t="s">
        <v>56</v>
      </c>
      <c r="AL85" s="9"/>
      <c r="AM8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5" s="26" t="s">
        <v>54</v>
      </c>
      <c r="AO85" s="11">
        <v>44278</v>
      </c>
      <c r="AP8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5" s="26" t="s">
        <v>56</v>
      </c>
      <c r="AR85" s="6"/>
      <c r="AS8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5" s="22" cm="1">
        <f t="array" aca="1" ref="AT85" ca="1">INDEX('SAP Customer Data '!A:Z,MATCH(بيانات_العملاء4[[#This Row],[رمز شريك الأعمال]],'SAP Customer Data '!B:B,0),CELL("col",Table_Customer_Data[[#Headers],[CreateDate]]))</f>
        <v>44881</v>
      </c>
      <c r="AU85" s="30"/>
      <c r="AV85" s="11"/>
      <c r="AW85" s="6" t="s">
        <v>846</v>
      </c>
      <c r="AX85" s="6"/>
    </row>
    <row r="86" spans="1:50" x14ac:dyDescent="0.25">
      <c r="A86" s="17" t="str" cm="1">
        <f t="array" aca="1" ref="A86" ca="1">INDEX('SAP Customer Data '!$A:$AC,MATCH(بيانات_العملاء4[[#This Row],[رمز شريك الأعمال]],'SAP Customer Data '!$B:$B,0),CELL("col",Table_Customer_Data[[#Headers],[GroupName]]))</f>
        <v>LB07</v>
      </c>
      <c r="B86" s="8" t="s">
        <v>183</v>
      </c>
      <c r="C86" s="18" t="str" cm="1">
        <f t="array" aca="1" ref="C86" ca="1">INDEX('SAP Customer Data '!$A:$AC,MATCH(بيانات_العملاء4[[#This Row],[رمز شريك الأعمال]],'SAP Customer Data '!$B:$B,0),CELL("col",Table_Customer_Data[[#Headers],[CardName]]))</f>
        <v>مؤسسة القمة الهادفة للمقاولات العامة -نقدي</v>
      </c>
      <c r="D86" s="26" t="str">
        <f ca="1">IF(بيانات_العملاء4[[#This Row],[حد الائتمان على SAP]]&gt;0,"آجل","نقدى")</f>
        <v>نقدى</v>
      </c>
      <c r="E86" s="6" t="s">
        <v>921</v>
      </c>
      <c r="F86" s="26" t="s">
        <v>385</v>
      </c>
      <c r="G86" s="26" t="s">
        <v>56</v>
      </c>
      <c r="H86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6" s="26" t="s">
        <v>54</v>
      </c>
      <c r="J86" s="9">
        <v>44590</v>
      </c>
      <c r="K86" s="27" t="s">
        <v>55</v>
      </c>
      <c r="L86" s="19" t="str">
        <f ca="1">IF(AND(بيانات_العملاء4[[#This Row],[السجل التجارى]]="موجود",TODAY()+'Other Data'!$B$23&lt;J86,بيانات_العملاء4[[#This Row],[مطابقة اسم العميل بالاسم بالسجل التجارى]]="مطابق"), "سارى", "يجب اعادة طلبه")</f>
        <v>يجب اعادة طلبه</v>
      </c>
      <c r="M86" s="28" t="s">
        <v>54</v>
      </c>
      <c r="N86" s="13" t="str" cm="1">
        <f t="array" aca="1" ref="N86" ca="1">INDEX('SAP Customer Data '!A:Z,MATCH(بيانات_العملاء4[[#This Row],[رمز شريك الأعمال]],'SAP Customer Data '!B:B,0),CELL("col",Table_Customer_Data[[#Headers],[LicTradNum]]))</f>
        <v>300810167500003</v>
      </c>
      <c r="O8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6" s="26" t="s">
        <v>54</v>
      </c>
      <c r="Q86" s="9">
        <v>46149</v>
      </c>
      <c r="R8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86" s="26"/>
      <c r="T86" s="10"/>
      <c r="U86" s="11"/>
      <c r="V86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6" s="18" cm="1">
        <f t="array" aca="1" ref="X86" ca="1">INDEX('SAP Customer Data '!$A:$AC,MATCH(بيانات_العملاء4[[#This Row],[رمز شريك الأعمال]],'SAP Customer Data '!$B:$B,0),CELL("col",Table_Customer_Data[[#Headers],[CreditLine]]))</f>
        <v>0</v>
      </c>
      <c r="Y8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6" s="26"/>
      <c r="AA8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6" s="26" t="s">
        <v>56</v>
      </c>
      <c r="AC86" s="16"/>
      <c r="AD8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6" s="26"/>
      <c r="AF86" s="16"/>
      <c r="AG8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6" s="26"/>
      <c r="AI86" s="6"/>
      <c r="AJ8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6" s="26"/>
      <c r="AL86" s="9"/>
      <c r="AM8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6" s="26" t="s">
        <v>54</v>
      </c>
      <c r="AO86" s="11"/>
      <c r="AP8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6" s="26"/>
      <c r="AR86" s="6"/>
      <c r="AS8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6" s="22" cm="1">
        <f t="array" aca="1" ref="AT86" ca="1">INDEX('SAP Customer Data '!A:Z,MATCH(بيانات_العملاء4[[#This Row],[رمز شريك الأعمال]],'SAP Customer Data '!B:B,0),CELL("col",Table_Customer_Data[[#Headers],[CreateDate]]))</f>
        <v>44885</v>
      </c>
      <c r="AU86" s="30"/>
      <c r="AV86" s="11"/>
      <c r="AW86" s="6" t="s">
        <v>846</v>
      </c>
      <c r="AX86" s="6"/>
    </row>
    <row r="87" spans="1:50" x14ac:dyDescent="0.25">
      <c r="A87" s="17" t="str" cm="1">
        <f t="array" aca="1" ref="A87" ca="1">INDEX('SAP Customer Data '!$A:$AC,MATCH(بيانات_العملاء4[[#This Row],[رمز شريك الأعمال]],'SAP Customer Data '!$B:$B,0),CELL("col",Table_Customer_Data[[#Headers],[GroupName]]))</f>
        <v>LB07</v>
      </c>
      <c r="B87" s="8" t="s">
        <v>185</v>
      </c>
      <c r="C87" s="18" t="str" cm="1">
        <f t="array" aca="1" ref="C87" ca="1">INDEX('SAP Customer Data '!$A:$AC,MATCH(بيانات_العملاء4[[#This Row],[رمز شريك الأعمال]],'SAP Customer Data '!$B:$B,0),CELL("col",Table_Customer_Data[[#Headers],[CardName]]))</f>
        <v>مؤسسة تغريد محمد عبدالله الحارثي لمواد البناء - نقدي</v>
      </c>
      <c r="D87" s="26" t="str">
        <f ca="1">IF(بيانات_العملاء4[[#This Row],[حد الائتمان على SAP]]&gt;0,"آجل","نقدى")</f>
        <v>نقدى</v>
      </c>
      <c r="E87" s="6" t="s">
        <v>834</v>
      </c>
      <c r="F87" s="26" t="s">
        <v>385</v>
      </c>
      <c r="G87" s="26" t="s">
        <v>56</v>
      </c>
      <c r="H87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7" s="26" t="s">
        <v>54</v>
      </c>
      <c r="J87" s="9">
        <v>45146</v>
      </c>
      <c r="K87" s="27" t="s">
        <v>55</v>
      </c>
      <c r="L87" s="19" t="str">
        <f ca="1">IF(AND(بيانات_العملاء4[[#This Row],[السجل التجارى]]="موجود",TODAY()+'Other Data'!$B$23&lt;J87,بيانات_العملاء4[[#This Row],[مطابقة اسم العميل بالاسم بالسجل التجارى]]="مطابق"), "سارى", "يجب اعادة طلبه")</f>
        <v>سارى</v>
      </c>
      <c r="M87" s="28" t="s">
        <v>54</v>
      </c>
      <c r="N87" s="13" t="str" cm="1">
        <f t="array" aca="1" ref="N87" ca="1">INDEX('SAP Customer Data '!A:Z,MATCH(بيانات_العملاء4[[#This Row],[رمز شريك الأعمال]],'SAP Customer Data '!B:B,0),CELL("col",Table_Customer_Data[[#Headers],[LicTradNum]]))</f>
        <v>311381061900003</v>
      </c>
      <c r="O8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7" s="26" t="s">
        <v>56</v>
      </c>
      <c r="Q87" s="9"/>
      <c r="R8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7" s="26" t="s">
        <v>56</v>
      </c>
      <c r="T87" s="10"/>
      <c r="U87" s="11"/>
      <c r="V87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7" s="18" cm="1">
        <f t="array" aca="1" ref="X87" ca="1">INDEX('SAP Customer Data '!$A:$AC,MATCH(بيانات_العملاء4[[#This Row],[رمز شريك الأعمال]],'SAP Customer Data '!$B:$B,0),CELL("col",Table_Customer_Data[[#Headers],[CreditLine]]))</f>
        <v>0</v>
      </c>
      <c r="Y8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7" s="26"/>
      <c r="AA8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7" s="26" t="s">
        <v>56</v>
      </c>
      <c r="AC87" s="16"/>
      <c r="AD8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7" s="26" t="s">
        <v>56</v>
      </c>
      <c r="AF87" s="16"/>
      <c r="AG8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7" s="26" t="s">
        <v>56</v>
      </c>
      <c r="AI87" s="6"/>
      <c r="AJ8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7" s="26" t="s">
        <v>56</v>
      </c>
      <c r="AL87" s="9"/>
      <c r="AM8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7" s="26" t="s">
        <v>56</v>
      </c>
      <c r="AO87" s="11"/>
      <c r="AP8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7" s="26" t="s">
        <v>56</v>
      </c>
      <c r="AR87" s="6"/>
      <c r="AS8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7" s="22" cm="1">
        <f t="array" aca="1" ref="AT87" ca="1">INDEX('SAP Customer Data '!A:Z,MATCH(بيانات_العملاء4[[#This Row],[رمز شريك الأعمال]],'SAP Customer Data '!B:B,0),CELL("col",Table_Customer_Data[[#Headers],[CreateDate]]))</f>
        <v>44895</v>
      </c>
      <c r="AU87" s="30"/>
      <c r="AV87" s="11"/>
      <c r="AW87" s="6" t="s">
        <v>846</v>
      </c>
      <c r="AX87" s="6"/>
    </row>
    <row r="88" spans="1:50" x14ac:dyDescent="0.25">
      <c r="A88" s="17" t="str" cm="1">
        <f t="array" aca="1" ref="A88" ca="1">INDEX('SAP Customer Data '!$A:$AC,MATCH(بيانات_العملاء4[[#This Row],[رمز شريك الأعمال]],'SAP Customer Data '!$B:$B,0),CELL("col",Table_Customer_Data[[#Headers],[GroupName]]))</f>
        <v>LB07</v>
      </c>
      <c r="B88" s="8" t="s">
        <v>189</v>
      </c>
      <c r="C88" s="18" t="str" cm="1">
        <f t="array" aca="1" ref="C88" ca="1">INDEX('SAP Customer Data '!$A:$AC,MATCH(بيانات_العملاء4[[#This Row],[رمز شريك الأعمال]],'SAP Customer Data '!$B:$B,0),CELL("col",Table_Customer_Data[[#Headers],[CardName]]))</f>
        <v>شركة بصمة تطوير للتجارة</v>
      </c>
      <c r="D88" s="26" t="str">
        <f ca="1">IF(بيانات_العملاء4[[#This Row],[حد الائتمان على SAP]]&gt;0,"آجل","نقدى")</f>
        <v>آجل</v>
      </c>
      <c r="E88" s="6"/>
      <c r="F88" s="26" t="s">
        <v>370</v>
      </c>
      <c r="G88" s="26" t="s">
        <v>54</v>
      </c>
      <c r="H8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8" s="26" t="s">
        <v>54</v>
      </c>
      <c r="J88" s="9">
        <v>45366</v>
      </c>
      <c r="K88" s="27" t="s">
        <v>55</v>
      </c>
      <c r="L88" s="19" t="str">
        <f ca="1">IF(AND(بيانات_العملاء4[[#This Row],[السجل التجارى]]="موجود",TODAY()+'Other Data'!$B$23&lt;J88,بيانات_العملاء4[[#This Row],[مطابقة اسم العميل بالاسم بالسجل التجارى]]="مطابق"), "سارى", "يجب اعادة طلبه")</f>
        <v>سارى</v>
      </c>
      <c r="M88" s="28" t="s">
        <v>54</v>
      </c>
      <c r="N88" s="13" t="str" cm="1">
        <f t="array" aca="1" ref="N88" ca="1">INDEX('SAP Customer Data '!A:Z,MATCH(بيانات_العملاء4[[#This Row],[رمز شريك الأعمال]],'SAP Customer Data '!B:B,0),CELL("col",Table_Customer_Data[[#Headers],[LicTradNum]]))</f>
        <v>311253985900003</v>
      </c>
      <c r="O8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8" s="26" t="s">
        <v>56</v>
      </c>
      <c r="Q88" s="9"/>
      <c r="R8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8" s="26" t="s">
        <v>54</v>
      </c>
      <c r="T88" s="10">
        <v>30000</v>
      </c>
      <c r="U88" s="11">
        <v>44900</v>
      </c>
      <c r="V88" s="20">
        <f>IF(بيانات_العملاء4[[#This Row],[تاريخ انشاء سند الامر او الاستثناء]]="","",بيانات_العملاء4[[#This Row],[تاريخ انشاء سند الامر او الاستثناء]]+365*3)</f>
        <v>45995</v>
      </c>
      <c r="W8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88" s="18" cm="1">
        <f t="array" aca="1" ref="X88" ca="1">INDEX('SAP Customer Data '!$A:$AC,MATCH(بيانات_العملاء4[[#This Row],[رمز شريك الأعمال]],'SAP Customer Data '!$B:$B,0),CELL("col",Table_Customer_Data[[#Headers],[CreditLine]]))</f>
        <v>20000</v>
      </c>
      <c r="Y8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88" s="26" t="s">
        <v>55</v>
      </c>
      <c r="AA8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8" s="26" t="s">
        <v>56</v>
      </c>
      <c r="AC88" s="16"/>
      <c r="AD8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8" s="26" t="s">
        <v>54</v>
      </c>
      <c r="AF88" s="16">
        <v>45541</v>
      </c>
      <c r="AG8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88" s="26" t="s">
        <v>54</v>
      </c>
      <c r="AI88" s="6"/>
      <c r="AJ8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8" s="26" t="s">
        <v>54</v>
      </c>
      <c r="AL88" s="9"/>
      <c r="AM8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8" s="26" t="s">
        <v>54</v>
      </c>
      <c r="AO88" s="11">
        <v>44849</v>
      </c>
      <c r="AP8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8" s="26" t="s">
        <v>56</v>
      </c>
      <c r="AR88" s="6"/>
      <c r="AS8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8" s="22" cm="1">
        <f t="array" aca="1" ref="AT88" ca="1">INDEX('SAP Customer Data '!A:Z,MATCH(بيانات_العملاء4[[#This Row],[رمز شريك الأعمال]],'SAP Customer Data '!B:B,0),CELL("col",Table_Customer_Data[[#Headers],[CreateDate]]))</f>
        <v>44901</v>
      </c>
      <c r="AU88" s="30"/>
      <c r="AV88" s="11"/>
      <c r="AW88" s="6" t="s">
        <v>846</v>
      </c>
      <c r="AX88" s="6"/>
    </row>
    <row r="89" spans="1:50" x14ac:dyDescent="0.25">
      <c r="A89" s="17" t="str" cm="1">
        <f t="array" aca="1" ref="A89" ca="1">INDEX('SAP Customer Data '!$A:$AC,MATCH(بيانات_العملاء4[[#This Row],[رمز شريك الأعمال]],'SAP Customer Data '!$B:$B,0),CELL("col",Table_Customer_Data[[#Headers],[GroupName]]))</f>
        <v>LB07</v>
      </c>
      <c r="B89" s="8" t="s">
        <v>191</v>
      </c>
      <c r="C89" s="18" t="str" cm="1">
        <f t="array" aca="1" ref="C89" ca="1">INDEX('SAP Customer Data '!$A:$AC,MATCH(بيانات_العملاء4[[#This Row],[رمز شريك الأعمال]],'SAP Customer Data '!$B:$B,0),CELL("col",Table_Customer_Data[[#Headers],[CardName]]))</f>
        <v>شركة سنا الاصيل التجارية</v>
      </c>
      <c r="D89" s="26" t="str">
        <f ca="1">IF(بيانات_العملاء4[[#This Row],[حد الائتمان على SAP]]&gt;0,"آجل","نقدى")</f>
        <v>آجل</v>
      </c>
      <c r="E89" s="6"/>
      <c r="F89" s="26" t="s">
        <v>309</v>
      </c>
      <c r="G89" s="26" t="s">
        <v>54</v>
      </c>
      <c r="H8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9" s="26" t="s">
        <v>54</v>
      </c>
      <c r="J89" s="9">
        <v>45052</v>
      </c>
      <c r="K89" s="27" t="s">
        <v>55</v>
      </c>
      <c r="L89" s="19" t="str">
        <f ca="1">IF(AND(بيانات_العملاء4[[#This Row],[السجل التجارى]]="موجود",TODAY()+'Other Data'!$B$23&lt;J89,بيانات_العملاء4[[#This Row],[مطابقة اسم العميل بالاسم بالسجل التجارى]]="مطابق"), "سارى", "يجب اعادة طلبه")</f>
        <v>يجب اعادة طلبه</v>
      </c>
      <c r="M89" s="28" t="s">
        <v>54</v>
      </c>
      <c r="N89" s="13" t="str" cm="1">
        <f t="array" aca="1" ref="N89" ca="1">INDEX('SAP Customer Data '!A:Z,MATCH(بيانات_العملاء4[[#This Row],[رمز شريك الأعمال]],'SAP Customer Data '!B:B,0),CELL("col",Table_Customer_Data[[#Headers],[LicTradNum]]))</f>
        <v>311323446500003</v>
      </c>
      <c r="O8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9" s="26" t="s">
        <v>54</v>
      </c>
      <c r="Q89" s="9">
        <v>45082</v>
      </c>
      <c r="R8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9" s="26" t="s">
        <v>54</v>
      </c>
      <c r="T89" s="10">
        <v>50000</v>
      </c>
      <c r="U89" s="11">
        <v>44873</v>
      </c>
      <c r="V89" s="20">
        <f>IF(بيانات_العملاء4[[#This Row],[تاريخ انشاء سند الامر او الاستثناء]]="","",بيانات_العملاء4[[#This Row],[تاريخ انشاء سند الامر او الاستثناء]]+365*3)</f>
        <v>45968</v>
      </c>
      <c r="W8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89" s="18" cm="1">
        <f t="array" aca="1" ref="X89" ca="1">INDEX('SAP Customer Data '!$A:$AC,MATCH(بيانات_العملاء4[[#This Row],[رمز شريك الأعمال]],'SAP Customer Data '!$B:$B,0),CELL("col",Table_Customer_Data[[#Headers],[CreditLine]]))</f>
        <v>30000</v>
      </c>
      <c r="Y8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89" s="26" t="s">
        <v>55</v>
      </c>
      <c r="AA8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89" s="26" t="s">
        <v>56</v>
      </c>
      <c r="AC89" s="16"/>
      <c r="AD8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9" s="26" t="s">
        <v>54</v>
      </c>
      <c r="AF89" s="16">
        <v>47011</v>
      </c>
      <c r="AG8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89" s="26" t="s">
        <v>54</v>
      </c>
      <c r="AI89" s="6"/>
      <c r="AJ8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9" s="26" t="s">
        <v>56</v>
      </c>
      <c r="AL89" s="9"/>
      <c r="AM8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9" s="26" t="s">
        <v>54</v>
      </c>
      <c r="AO89" s="11">
        <v>44897</v>
      </c>
      <c r="AP8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9" s="26" t="s">
        <v>56</v>
      </c>
      <c r="AR89" s="6"/>
      <c r="AS8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9" s="22" cm="1">
        <f t="array" aca="1" ref="AT89" ca="1">INDEX('SAP Customer Data '!A:Z,MATCH(بيانات_العملاء4[[#This Row],[رمز شريك الأعمال]],'SAP Customer Data '!B:B,0),CELL("col",Table_Customer_Data[[#Headers],[CreateDate]]))</f>
        <v>44902</v>
      </c>
      <c r="AU89" s="30"/>
      <c r="AV89" s="11"/>
      <c r="AW89" s="6" t="s">
        <v>846</v>
      </c>
      <c r="AX89" s="6"/>
    </row>
    <row r="90" spans="1:50" x14ac:dyDescent="0.25">
      <c r="A90" s="17" t="str" cm="1">
        <f t="array" aca="1" ref="A90" ca="1">INDEX('SAP Customer Data '!$A:$AC,MATCH(بيانات_العملاء4[[#This Row],[رمز شريك الأعمال]],'SAP Customer Data '!$B:$B,0),CELL("col",Table_Customer_Data[[#Headers],[GroupName]]))</f>
        <v>LB07</v>
      </c>
      <c r="B90" s="8" t="s">
        <v>21</v>
      </c>
      <c r="C90" s="18" t="str" cm="1">
        <f t="array" aca="1" ref="C90" ca="1">INDEX('SAP Customer Data '!$A:$AC,MATCH(بيانات_العملاء4[[#This Row],[رمز شريك الأعمال]],'SAP Customer Data '!$B:$B,0),CELL("col",Table_Customer_Data[[#Headers],[CardName]]))</f>
        <v>مؤسسة حمادي معلا المحمادي للتجارة</v>
      </c>
      <c r="D90" s="26" t="str">
        <f ca="1">IF(بيانات_العملاء4[[#This Row],[حد الائتمان على SAP]]&gt;0,"آجل","نقدى")</f>
        <v>آجل</v>
      </c>
      <c r="E90" s="6" t="s">
        <v>835</v>
      </c>
      <c r="F90" s="26" t="s">
        <v>385</v>
      </c>
      <c r="G90" s="26" t="s">
        <v>54</v>
      </c>
      <c r="H9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0" s="26" t="s">
        <v>54</v>
      </c>
      <c r="J90" s="9">
        <v>44937</v>
      </c>
      <c r="K90" s="27" t="s">
        <v>55</v>
      </c>
      <c r="L90" s="19" t="str">
        <f ca="1">IF(AND(بيانات_العملاء4[[#This Row],[السجل التجارى]]="موجود",TODAY()+'Other Data'!$B$23&lt;J90,بيانات_العملاء4[[#This Row],[مطابقة اسم العميل بالاسم بالسجل التجارى]]="مطابق"), "سارى", "يجب اعادة طلبه")</f>
        <v>يجب اعادة طلبه</v>
      </c>
      <c r="M90" s="28" t="s">
        <v>54</v>
      </c>
      <c r="N90" s="13" t="str" cm="1">
        <f t="array" aca="1" ref="N90" ca="1">INDEX('SAP Customer Data '!A:Z,MATCH(بيانات_العملاء4[[#This Row],[رمز شريك الأعمال]],'SAP Customer Data '!B:B,0),CELL("col",Table_Customer_Data[[#Headers],[LicTradNum]]))</f>
        <v>300087762700003</v>
      </c>
      <c r="O9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0" s="26" t="s">
        <v>54</v>
      </c>
      <c r="Q90" s="9"/>
      <c r="R9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0" s="26" t="s">
        <v>54</v>
      </c>
      <c r="T90" s="10">
        <v>30000</v>
      </c>
      <c r="U90" s="11"/>
      <c r="V9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9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90" s="18" cm="1">
        <f t="array" aca="1" ref="X90" ca="1">INDEX('SAP Customer Data '!$A:$AC,MATCH(بيانات_العملاء4[[#This Row],[رمز شريك الأعمال]],'SAP Customer Data '!$B:$B,0),CELL("col",Table_Customer_Data[[#Headers],[CreditLine]]))</f>
        <v>20000</v>
      </c>
      <c r="Y9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90" s="26" t="s">
        <v>55</v>
      </c>
      <c r="AA9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90" s="26" t="s">
        <v>56</v>
      </c>
      <c r="AC90" s="16">
        <v>50979</v>
      </c>
      <c r="AD9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0" s="26" t="s">
        <v>54</v>
      </c>
      <c r="AF90" s="16">
        <v>50979</v>
      </c>
      <c r="AG9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0" s="26" t="s">
        <v>56</v>
      </c>
      <c r="AI90" s="6"/>
      <c r="AJ9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0" s="26" t="s">
        <v>56</v>
      </c>
      <c r="AL90" s="9"/>
      <c r="AM9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0" s="26" t="s">
        <v>54</v>
      </c>
      <c r="AO90" s="11">
        <v>44710</v>
      </c>
      <c r="AP9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0" s="26" t="s">
        <v>56</v>
      </c>
      <c r="AR90" s="6"/>
      <c r="AS9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0" s="22" cm="1">
        <f t="array" aca="1" ref="AT90" ca="1">INDEX('SAP Customer Data '!A:Z,MATCH(بيانات_العملاء4[[#This Row],[رمز شريك الأعمال]],'SAP Customer Data '!B:B,0),CELL("col",Table_Customer_Data[[#Headers],[CreateDate]]))</f>
        <v>44908</v>
      </c>
      <c r="AU90" s="30"/>
      <c r="AV90" s="11"/>
      <c r="AW90" s="6" t="s">
        <v>846</v>
      </c>
      <c r="AX90" s="6"/>
    </row>
    <row r="91" spans="1:50" x14ac:dyDescent="0.25">
      <c r="A91" s="17" t="str" cm="1">
        <f t="array" aca="1" ref="A91" ca="1">INDEX('SAP Customer Data '!$A:$AC,MATCH(بيانات_العملاء4[[#This Row],[رمز شريك الأعمال]],'SAP Customer Data '!$B:$B,0),CELL("col",Table_Customer_Data[[#Headers],[GroupName]]))</f>
        <v>LB07</v>
      </c>
      <c r="B91" s="8" t="s">
        <v>194</v>
      </c>
      <c r="C91" s="18" t="str" cm="1">
        <f t="array" aca="1" ref="C91" ca="1">INDEX('SAP Customer Data '!$A:$AC,MATCH(بيانات_العملاء4[[#This Row],[رمز شريك الأعمال]],'SAP Customer Data '!$B:$B,0),CELL("col",Table_Customer_Data[[#Headers],[CardName]]))</f>
        <v>مؤسسة مبروك بركةالله الصاعدي</v>
      </c>
      <c r="D91" s="26" t="str">
        <f ca="1">IF(بيانات_العملاء4[[#This Row],[حد الائتمان على SAP]]&gt;0,"آجل","نقدى")</f>
        <v>آجل</v>
      </c>
      <c r="E91" s="6" t="s">
        <v>670</v>
      </c>
      <c r="F91" s="26" t="s">
        <v>385</v>
      </c>
      <c r="G91" s="26" t="s">
        <v>62</v>
      </c>
      <c r="H91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91" s="26" t="s">
        <v>54</v>
      </c>
      <c r="J91" s="9">
        <v>45398</v>
      </c>
      <c r="K91" s="27" t="s">
        <v>55</v>
      </c>
      <c r="L91" s="19" t="str">
        <f ca="1">IF(AND(بيانات_العملاء4[[#This Row],[السجل التجارى]]="موجود",TODAY()+'Other Data'!$B$23&lt;J91,بيانات_العملاء4[[#This Row],[مطابقة اسم العميل بالاسم بالسجل التجارى]]="مطابق"), "سارى", "يجب اعادة طلبه")</f>
        <v>سارى</v>
      </c>
      <c r="M91" s="28" t="s">
        <v>54</v>
      </c>
      <c r="N91" s="13" t="str" cm="1">
        <f t="array" aca="1" ref="N91" ca="1">INDEX('SAP Customer Data '!A:Z,MATCH(بيانات_العملاء4[[#This Row],[رمز شريك الأعمال]],'SAP Customer Data '!B:B,0),CELL("col",Table_Customer_Data[[#Headers],[LicTradNum]]))</f>
        <v>300835437500003</v>
      </c>
      <c r="O9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1" s="26" t="s">
        <v>56</v>
      </c>
      <c r="Q91" s="9"/>
      <c r="R9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1" s="26" t="s">
        <v>56</v>
      </c>
      <c r="T91" s="10"/>
      <c r="U91" s="11"/>
      <c r="V91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9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91" s="18" cm="1">
        <f t="array" aca="1" ref="X91" ca="1">INDEX('SAP Customer Data '!$A:$AC,MATCH(بيانات_العملاء4[[#This Row],[رمز شريك الأعمال]],'SAP Customer Data '!$B:$B,0),CELL("col",Table_Customer_Data[[#Headers],[CreditLine]]))</f>
        <v>20000</v>
      </c>
      <c r="Y9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91" s="26"/>
      <c r="AA9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91" s="26" t="s">
        <v>56</v>
      </c>
      <c r="AC91" s="16"/>
      <c r="AD9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1" s="26" t="s">
        <v>56</v>
      </c>
      <c r="AF91" s="16"/>
      <c r="AG9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1" s="26" t="s">
        <v>56</v>
      </c>
      <c r="AI91" s="6"/>
      <c r="AJ9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1" s="26" t="s">
        <v>56</v>
      </c>
      <c r="AL91" s="9"/>
      <c r="AM9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1" s="26" t="s">
        <v>56</v>
      </c>
      <c r="AO91" s="11"/>
      <c r="AP9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1" s="26" t="s">
        <v>56</v>
      </c>
      <c r="AR91" s="6"/>
      <c r="AS9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1" s="22" cm="1">
        <f t="array" aca="1" ref="AT91" ca="1">INDEX('SAP Customer Data '!A:Z,MATCH(بيانات_العملاء4[[#This Row],[رمز شريك الأعمال]],'SAP Customer Data '!B:B,0),CELL("col",Table_Customer_Data[[#Headers],[CreateDate]]))</f>
        <v>44908</v>
      </c>
      <c r="AU91" s="30"/>
      <c r="AV91" s="11" t="s">
        <v>922</v>
      </c>
      <c r="AW91" s="6" t="s">
        <v>846</v>
      </c>
      <c r="AX91" s="6"/>
    </row>
    <row r="92" spans="1:50" x14ac:dyDescent="0.25">
      <c r="A92" s="17" t="str" cm="1">
        <f t="array" aca="1" ref="A92" ca="1">INDEX('SAP Customer Data '!$A:$AC,MATCH(بيانات_العملاء4[[#This Row],[رمز شريك الأعمال]],'SAP Customer Data '!$B:$B,0),CELL("col",Table_Customer_Data[[#Headers],[GroupName]]))</f>
        <v>LB07</v>
      </c>
      <c r="B92" s="8" t="s">
        <v>22</v>
      </c>
      <c r="C92" s="18" t="str" cm="1">
        <f t="array" aca="1" ref="C92" ca="1">INDEX('SAP Customer Data '!$A:$AC,MATCH(بيانات_العملاء4[[#This Row],[رمز شريك الأعمال]],'SAP Customer Data '!$B:$B,0),CELL("col",Table_Customer_Data[[#Headers],[CardName]]))</f>
        <v>شركة المبارك للتجارة-فرع خليص</v>
      </c>
      <c r="D92" s="26" t="str">
        <f ca="1">IF(بيانات_العملاء4[[#This Row],[حد الائتمان على SAP]]&gt;0,"آجل","نقدى")</f>
        <v>آجل</v>
      </c>
      <c r="E92" s="6"/>
      <c r="F92" s="26" t="s">
        <v>370</v>
      </c>
      <c r="G92" s="26" t="s">
        <v>54</v>
      </c>
      <c r="H9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2" s="26" t="s">
        <v>54</v>
      </c>
      <c r="J92" s="9">
        <v>45282</v>
      </c>
      <c r="K92" s="27" t="s">
        <v>55</v>
      </c>
      <c r="L92" s="19" t="str">
        <f ca="1">IF(AND(بيانات_العملاء4[[#This Row],[السجل التجارى]]="موجود",TODAY()+'Other Data'!$B$23&lt;J92,بيانات_العملاء4[[#This Row],[مطابقة اسم العميل بالاسم بالسجل التجارى]]="مطابق"), "سارى", "يجب اعادة طلبه")</f>
        <v>سارى</v>
      </c>
      <c r="M92" s="28" t="s">
        <v>54</v>
      </c>
      <c r="N92" s="13" t="str" cm="1">
        <f t="array" aca="1" ref="N92" ca="1">INDEX('SAP Customer Data '!A:Z,MATCH(بيانات_العملاء4[[#This Row],[رمز شريك الأعمال]],'SAP Customer Data '!B:B,0),CELL("col",Table_Customer_Data[[#Headers],[LicTradNum]]))</f>
        <v>311564581700003</v>
      </c>
      <c r="O9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2" s="26" t="s">
        <v>54</v>
      </c>
      <c r="Q92" s="9">
        <v>45353</v>
      </c>
      <c r="R9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2" s="26" t="s">
        <v>54</v>
      </c>
      <c r="T92" s="10">
        <v>40000</v>
      </c>
      <c r="U92" s="11">
        <v>45059</v>
      </c>
      <c r="V92" s="20">
        <f>IF(بيانات_العملاء4[[#This Row],[تاريخ انشاء سند الامر او الاستثناء]]="","",بيانات_العملاء4[[#This Row],[تاريخ انشاء سند الامر او الاستثناء]]+365*3)</f>
        <v>46154</v>
      </c>
      <c r="W9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20000</v>
      </c>
      <c r="X92" s="18" cm="1">
        <f t="array" aca="1" ref="X92" ca="1">INDEX('SAP Customer Data '!$A:$AC,MATCH(بيانات_العملاء4[[#This Row],[رمز شريك الأعمال]],'SAP Customer Data '!$B:$B,0),CELL("col",Table_Customer_Data[[#Headers],[CreditLine]]))</f>
        <v>20000</v>
      </c>
      <c r="Y9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2" s="26" t="s">
        <v>55</v>
      </c>
      <c r="AA9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92" s="26" t="s">
        <v>56</v>
      </c>
      <c r="AC92" s="16"/>
      <c r="AD9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2" s="26" t="s">
        <v>54</v>
      </c>
      <c r="AF92" s="16">
        <v>46323</v>
      </c>
      <c r="AG9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2" s="26" t="s">
        <v>56</v>
      </c>
      <c r="AI92" s="6"/>
      <c r="AJ9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2" s="26" t="s">
        <v>56</v>
      </c>
      <c r="AL92" s="9"/>
      <c r="AM9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2" s="26" t="s">
        <v>56</v>
      </c>
      <c r="AO92" s="11"/>
      <c r="AP9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2" s="26" t="s">
        <v>54</v>
      </c>
      <c r="AR92" s="6">
        <v>45097</v>
      </c>
      <c r="AS9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2" s="22" cm="1">
        <f t="array" aca="1" ref="AT92" ca="1">INDEX('SAP Customer Data '!A:Z,MATCH(بيانات_العملاء4[[#This Row],[رمز شريك الأعمال]],'SAP Customer Data '!B:B,0),CELL("col",Table_Customer_Data[[#Headers],[CreateDate]]))</f>
        <v>44924</v>
      </c>
      <c r="AU92" s="30"/>
      <c r="AV92" s="11" t="s">
        <v>412</v>
      </c>
      <c r="AW92" s="6" t="s">
        <v>846</v>
      </c>
      <c r="AX92" s="6"/>
    </row>
    <row r="93" spans="1:50" x14ac:dyDescent="0.25">
      <c r="A93" s="17" t="str" cm="1">
        <f t="array" aca="1" ref="A93" ca="1">INDEX('SAP Customer Data '!$A:$AC,MATCH(بيانات_العملاء4[[#This Row],[رمز شريك الأعمال]],'SAP Customer Data '!$B:$B,0),CELL("col",Table_Customer_Data[[#Headers],[GroupName]]))</f>
        <v>LB07</v>
      </c>
      <c r="B93" s="8" t="s">
        <v>196</v>
      </c>
      <c r="C93" s="18" t="str" cm="1">
        <f t="array" aca="1" ref="C93" ca="1">INDEX('SAP Customer Data '!$A:$AC,MATCH(بيانات_العملاء4[[#This Row],[رمز شريك الأعمال]],'SAP Customer Data '!$B:$B,0),CELL("col",Table_Customer_Data[[#Headers],[CardName]]))</f>
        <v>مؤسسة عبدالله سعيد الزهراني التجارية</v>
      </c>
      <c r="D93" s="26" t="str">
        <f ca="1">IF(بيانات_العملاء4[[#This Row],[حد الائتمان على SAP]]&gt;0,"آجل","نقدى")</f>
        <v>آجل</v>
      </c>
      <c r="E93" s="6" t="s">
        <v>836</v>
      </c>
      <c r="F93" s="26" t="s">
        <v>385</v>
      </c>
      <c r="G93" s="26" t="s">
        <v>54</v>
      </c>
      <c r="H9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3" s="26" t="s">
        <v>54</v>
      </c>
      <c r="J93" s="9">
        <v>45404</v>
      </c>
      <c r="K93" s="27" t="s">
        <v>55</v>
      </c>
      <c r="L93" s="19" t="str">
        <f ca="1">IF(AND(بيانات_العملاء4[[#This Row],[السجل التجارى]]="موجود",TODAY()+'Other Data'!$B$23&lt;J93,بيانات_العملاء4[[#This Row],[مطابقة اسم العميل بالاسم بالسجل التجارى]]="مطابق"), "سارى", "يجب اعادة طلبه")</f>
        <v>سارى</v>
      </c>
      <c r="M93" s="28" t="s">
        <v>54</v>
      </c>
      <c r="N93" s="13" t="str" cm="1">
        <f t="array" aca="1" ref="N93" ca="1">INDEX('SAP Customer Data '!A:Z,MATCH(بيانات_العملاء4[[#This Row],[رمز شريك الأعمال]],'SAP Customer Data '!B:B,0),CELL("col",Table_Customer_Data[[#Headers],[LicTradNum]]))</f>
        <v>302238795700003</v>
      </c>
      <c r="O9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3" s="26" t="s">
        <v>54</v>
      </c>
      <c r="Q93" s="9">
        <v>45397</v>
      </c>
      <c r="R9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3" s="26" t="s">
        <v>54</v>
      </c>
      <c r="T93" s="10">
        <v>50000</v>
      </c>
      <c r="U93" s="11">
        <v>44921</v>
      </c>
      <c r="V93" s="20">
        <f>IF(بيانات_العملاء4[[#This Row],[تاريخ انشاء سند الامر او الاستثناء]]="","",بيانات_العملاء4[[#This Row],[تاريخ انشاء سند الامر او الاستثناء]]+365*3)</f>
        <v>46016</v>
      </c>
      <c r="W9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93" s="18" cm="1">
        <f t="array" aca="1" ref="X93" ca="1">INDEX('SAP Customer Data '!$A:$AC,MATCH(بيانات_العملاء4[[#This Row],[رمز شريك الأعمال]],'SAP Customer Data '!$B:$B,0),CELL("col",Table_Customer_Data[[#Headers],[CreditLine]]))</f>
        <v>25000</v>
      </c>
      <c r="Y9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3" s="26" t="s">
        <v>55</v>
      </c>
      <c r="AA9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93" s="26" t="s">
        <v>54</v>
      </c>
      <c r="AC93" s="16">
        <v>49679</v>
      </c>
      <c r="AD9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93" s="26" t="s">
        <v>54</v>
      </c>
      <c r="AF93" s="16">
        <v>49679</v>
      </c>
      <c r="AG9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3" s="26" t="s">
        <v>56</v>
      </c>
      <c r="AI93" s="6"/>
      <c r="AJ9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3" s="26" t="s">
        <v>54</v>
      </c>
      <c r="AL93" s="9"/>
      <c r="AM9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3" s="26" t="s">
        <v>56</v>
      </c>
      <c r="AO93" s="11"/>
      <c r="AP9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3" s="26" t="s">
        <v>54</v>
      </c>
      <c r="AR93" s="6">
        <v>44768</v>
      </c>
      <c r="AS9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3" s="22" cm="1">
        <f t="array" aca="1" ref="AT93" ca="1">INDEX('SAP Customer Data '!A:Z,MATCH(بيانات_العملاء4[[#This Row],[رمز شريك الأعمال]],'SAP Customer Data '!B:B,0),CELL("col",Table_Customer_Data[[#Headers],[CreateDate]]))</f>
        <v>44924</v>
      </c>
      <c r="AU93" s="30"/>
      <c r="AV93" s="11"/>
      <c r="AW93" s="6" t="s">
        <v>846</v>
      </c>
      <c r="AX93" s="6"/>
    </row>
    <row r="94" spans="1:50" x14ac:dyDescent="0.25">
      <c r="A94" s="17" t="str" cm="1">
        <f t="array" aca="1" ref="A94" ca="1">INDEX('SAP Customer Data '!$A:$AC,MATCH(بيانات_العملاء4[[#This Row],[رمز شريك الأعمال]],'SAP Customer Data '!$B:$B,0),CELL("col",Table_Customer_Data[[#Headers],[GroupName]]))</f>
        <v>LB07</v>
      </c>
      <c r="B94" s="8" t="s">
        <v>198</v>
      </c>
      <c r="C94" s="18" t="str" cm="1">
        <f t="array" aca="1" ref="C94" ca="1">INDEX('SAP Customer Data '!$A:$AC,MATCH(بيانات_العملاء4[[#This Row],[رمز شريك الأعمال]],'SAP Customer Data '!$B:$B,0),CELL("col",Table_Customer_Data[[#Headers],[CardName]]))</f>
        <v>مؤسسة البنيان الفاخر لمواد البناء - نقدي</v>
      </c>
      <c r="D94" s="26" t="str">
        <f ca="1">IF(بيانات_العملاء4[[#This Row],[حد الائتمان على SAP]]&gt;0,"آجل","نقدى")</f>
        <v>نقدى</v>
      </c>
      <c r="E94" s="6" t="s">
        <v>839</v>
      </c>
      <c r="F94" s="26" t="s">
        <v>385</v>
      </c>
      <c r="G94" s="26" t="s">
        <v>56</v>
      </c>
      <c r="H9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94" s="26" t="s">
        <v>54</v>
      </c>
      <c r="J94" s="9">
        <v>45375</v>
      </c>
      <c r="K94" s="27" t="s">
        <v>55</v>
      </c>
      <c r="L94" s="19" t="str">
        <f ca="1">IF(AND(بيانات_العملاء4[[#This Row],[السجل التجارى]]="موجود",TODAY()+'Other Data'!$B$23&lt;J94,بيانات_العملاء4[[#This Row],[مطابقة اسم العميل بالاسم بالسجل التجارى]]="مطابق"), "سارى", "يجب اعادة طلبه")</f>
        <v>سارى</v>
      </c>
      <c r="M94" s="28" t="s">
        <v>54</v>
      </c>
      <c r="N94" s="13" t="str" cm="1">
        <f t="array" aca="1" ref="N94" ca="1">INDEX('SAP Customer Data '!A:Z,MATCH(بيانات_العملاء4[[#This Row],[رمز شريك الأعمال]],'SAP Customer Data '!B:B,0),CELL("col",Table_Customer_Data[[#Headers],[LicTradNum]]))</f>
        <v>302046864600003</v>
      </c>
      <c r="O9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4" s="26" t="s">
        <v>56</v>
      </c>
      <c r="Q94" s="9"/>
      <c r="R9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4" s="26" t="s">
        <v>56</v>
      </c>
      <c r="T94" s="10"/>
      <c r="U94" s="11"/>
      <c r="V9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9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94" s="18" cm="1">
        <f t="array" aca="1" ref="X94" ca="1">INDEX('SAP Customer Data '!$A:$AC,MATCH(بيانات_العملاء4[[#This Row],[رمز شريك الأعمال]],'SAP Customer Data '!$B:$B,0),CELL("col",Table_Customer_Data[[#Headers],[CreditLine]]))</f>
        <v>0</v>
      </c>
      <c r="Y9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4" s="26"/>
      <c r="AA9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94" s="26" t="s">
        <v>56</v>
      </c>
      <c r="AC94" s="16"/>
      <c r="AD9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4" s="26" t="s">
        <v>56</v>
      </c>
      <c r="AF94" s="16"/>
      <c r="AG9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4" s="26" t="s">
        <v>56</v>
      </c>
      <c r="AI94" s="6"/>
      <c r="AJ9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4" s="26" t="s">
        <v>56</v>
      </c>
      <c r="AL94" s="9"/>
      <c r="AM9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4" s="26" t="s">
        <v>56</v>
      </c>
      <c r="AO94" s="11"/>
      <c r="AP9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4" s="26" t="s">
        <v>56</v>
      </c>
      <c r="AR94" s="6"/>
      <c r="AS9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4" s="22" cm="1">
        <f t="array" aca="1" ref="AT94" ca="1">INDEX('SAP Customer Data '!A:Z,MATCH(بيانات_العملاء4[[#This Row],[رمز شريك الأعمال]],'SAP Customer Data '!B:B,0),CELL("col",Table_Customer_Data[[#Headers],[CreateDate]]))</f>
        <v>44935</v>
      </c>
      <c r="AU94" s="30"/>
      <c r="AV94" s="11"/>
      <c r="AW94" s="6" t="s">
        <v>846</v>
      </c>
      <c r="AX94" s="6"/>
    </row>
    <row r="95" spans="1:50" x14ac:dyDescent="0.25">
      <c r="A95" s="17" t="str" cm="1">
        <f t="array" aca="1" ref="A95" ca="1">INDEX('SAP Customer Data '!$A:$AC,MATCH(بيانات_العملاء4[[#This Row],[رمز شريك الأعمال]],'SAP Customer Data '!$B:$B,0),CELL("col",Table_Customer_Data[[#Headers],[GroupName]]))</f>
        <v>LB07</v>
      </c>
      <c r="B95" s="8" t="s">
        <v>200</v>
      </c>
      <c r="C95" s="18" t="str" cm="1">
        <f t="array" aca="1" ref="C95" ca="1">INDEX('SAP Customer Data '!$A:$AC,MATCH(بيانات_العملاء4[[#This Row],[رمز شريك الأعمال]],'SAP Customer Data '!$B:$B,0),CELL("col",Table_Customer_Data[[#Headers],[CardName]]))</f>
        <v>شركة المستورة الحديثة التجارية</v>
      </c>
      <c r="D95" s="26" t="str">
        <f ca="1">IF(بيانات_العملاء4[[#This Row],[حد الائتمان على SAP]]&gt;0,"آجل","نقدى")</f>
        <v>آجل</v>
      </c>
      <c r="E95" s="6"/>
      <c r="F95" s="26" t="s">
        <v>330</v>
      </c>
      <c r="G95" s="26" t="s">
        <v>54</v>
      </c>
      <c r="H9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5" s="26" t="s">
        <v>54</v>
      </c>
      <c r="J95" s="9">
        <v>45056</v>
      </c>
      <c r="K95" s="27" t="s">
        <v>55</v>
      </c>
      <c r="L95" s="19" t="str">
        <f ca="1">IF(AND(بيانات_العملاء4[[#This Row],[السجل التجارى]]="موجود",TODAY()+'Other Data'!$B$23&lt;J95,بيانات_العملاء4[[#This Row],[مطابقة اسم العميل بالاسم بالسجل التجارى]]="مطابق"), "سارى", "يجب اعادة طلبه")</f>
        <v>يجب اعادة طلبه</v>
      </c>
      <c r="M95" s="28" t="s">
        <v>54</v>
      </c>
      <c r="N95" s="13" t="str" cm="1">
        <f t="array" aca="1" ref="N95" ca="1">INDEX('SAP Customer Data '!A:Z,MATCH(بيانات_العملاء4[[#This Row],[رمز شريك الأعمال]],'SAP Customer Data '!B:B,0),CELL("col",Table_Customer_Data[[#Headers],[LicTradNum]]))</f>
        <v>311316475800003</v>
      </c>
      <c r="O9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5" s="26" t="s">
        <v>54</v>
      </c>
      <c r="Q95" s="9">
        <v>45368</v>
      </c>
      <c r="R9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5" s="26" t="s">
        <v>54</v>
      </c>
      <c r="T95" s="10">
        <v>50000</v>
      </c>
      <c r="U95" s="11">
        <v>44945</v>
      </c>
      <c r="V95" s="20">
        <f>IF(بيانات_العملاء4[[#This Row],[تاريخ انشاء سند الامر او الاستثناء]]="","",بيانات_العملاء4[[#This Row],[تاريخ انشاء سند الامر او الاستثناء]]+365*3)</f>
        <v>46040</v>
      </c>
      <c r="W9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95" s="18" cm="1">
        <f t="array" aca="1" ref="X95" ca="1">INDEX('SAP Customer Data '!$A:$AC,MATCH(بيانات_العملاء4[[#This Row],[رمز شريك الأعمال]],'SAP Customer Data '!$B:$B,0),CELL("col",Table_Customer_Data[[#Headers],[CreditLine]]))</f>
        <v>25000</v>
      </c>
      <c r="Y9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5" s="26" t="s">
        <v>55</v>
      </c>
      <c r="AA9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95" s="26" t="s">
        <v>56</v>
      </c>
      <c r="AC95" s="16"/>
      <c r="AD9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5" s="26" t="s">
        <v>54</v>
      </c>
      <c r="AF95" s="16"/>
      <c r="AG9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5" s="26" t="s">
        <v>56</v>
      </c>
      <c r="AI95" s="6"/>
      <c r="AJ9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5" s="26" t="s">
        <v>56</v>
      </c>
      <c r="AL95" s="9"/>
      <c r="AM9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5" s="26" t="s">
        <v>54</v>
      </c>
      <c r="AO95" s="11">
        <v>45038</v>
      </c>
      <c r="AP9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5" s="26" t="s">
        <v>56</v>
      </c>
      <c r="AR95" s="6"/>
      <c r="AS9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5" s="22" cm="1">
        <f t="array" aca="1" ref="AT95" ca="1">INDEX('SAP Customer Data '!A:Z,MATCH(بيانات_العملاء4[[#This Row],[رمز شريك الأعمال]],'SAP Customer Data '!B:B,0),CELL("col",Table_Customer_Data[[#Headers],[CreateDate]]))</f>
        <v>44947</v>
      </c>
      <c r="AU95" s="30" t="s">
        <v>354</v>
      </c>
      <c r="AV95" s="11" t="s">
        <v>389</v>
      </c>
      <c r="AW95" s="6" t="s">
        <v>846</v>
      </c>
      <c r="AX95" s="6"/>
    </row>
    <row r="96" spans="1:50" x14ac:dyDescent="0.25">
      <c r="A96" s="17" t="str" cm="1">
        <f t="array" aca="1" ref="A96" ca="1">INDEX('SAP Customer Data '!$A:$AC,MATCH(بيانات_العملاء4[[#This Row],[رمز شريك الأعمال]],'SAP Customer Data '!$B:$B,0),CELL("col",Table_Customer_Data[[#Headers],[GroupName]]))</f>
        <v>LB07</v>
      </c>
      <c r="B96" s="8" t="s">
        <v>201</v>
      </c>
      <c r="C96" s="18" t="str" cm="1">
        <f t="array" aca="1" ref="C96" ca="1">INDEX('SAP Customer Data '!$A:$AC,MATCH(بيانات_العملاء4[[#This Row],[رمز شريك الأعمال]],'SAP Customer Data '!$B:$B,0),CELL("col",Table_Customer_Data[[#Headers],[CardName]]))</f>
        <v>مؤسسة حسن ابراهيم محمد الشيخي التجارية</v>
      </c>
      <c r="D96" s="26" t="str">
        <f ca="1">IF(بيانات_العملاء4[[#This Row],[حد الائتمان على SAP]]&gt;0,"آجل","نقدى")</f>
        <v>آجل</v>
      </c>
      <c r="E96" s="6" t="s">
        <v>840</v>
      </c>
      <c r="F96" s="26" t="s">
        <v>385</v>
      </c>
      <c r="G96" s="26" t="s">
        <v>54</v>
      </c>
      <c r="H9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6" s="26" t="s">
        <v>54</v>
      </c>
      <c r="J96" s="9">
        <v>45216</v>
      </c>
      <c r="K96" s="27" t="s">
        <v>55</v>
      </c>
      <c r="L96" s="19" t="str">
        <f ca="1">IF(AND(بيانات_العملاء4[[#This Row],[السجل التجارى]]="موجود",TODAY()+'Other Data'!$B$23&lt;J96,بيانات_العملاء4[[#This Row],[مطابقة اسم العميل بالاسم بالسجل التجارى]]="مطابق"), "سارى", "يجب اعادة طلبه")</f>
        <v>سارى</v>
      </c>
      <c r="M96" s="28" t="s">
        <v>54</v>
      </c>
      <c r="N96" s="13" t="str" cm="1">
        <f t="array" aca="1" ref="N96" ca="1">INDEX('SAP Customer Data '!A:Z,MATCH(بيانات_العملاء4[[#This Row],[رمز شريك الأعمال]],'SAP Customer Data '!B:B,0),CELL("col",Table_Customer_Data[[#Headers],[LicTradNum]]))</f>
        <v>310087860800003</v>
      </c>
      <c r="O9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6" s="26" t="s">
        <v>56</v>
      </c>
      <c r="Q96" s="9"/>
      <c r="R9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6" s="26" t="s">
        <v>54</v>
      </c>
      <c r="T96" s="10">
        <v>50000</v>
      </c>
      <c r="U96" s="11">
        <v>44954</v>
      </c>
      <c r="V96" s="20">
        <f>IF(بيانات_العملاء4[[#This Row],[تاريخ انشاء سند الامر او الاستثناء]]="","",بيانات_العملاء4[[#This Row],[تاريخ انشاء سند الامر او الاستثناء]]+365*3)</f>
        <v>46049</v>
      </c>
      <c r="W9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96" s="18" cm="1">
        <f t="array" aca="1" ref="X96" ca="1">INDEX('SAP Customer Data '!$A:$AC,MATCH(بيانات_العملاء4[[#This Row],[رمز شريك الأعمال]],'SAP Customer Data '!$B:$B,0),CELL("col",Table_Customer_Data[[#Headers],[CreditLine]]))</f>
        <v>25000</v>
      </c>
      <c r="Y9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6" s="26" t="s">
        <v>55</v>
      </c>
      <c r="AA9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96" s="26" t="s">
        <v>56</v>
      </c>
      <c r="AC96" s="16"/>
      <c r="AD9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6" s="26" t="s">
        <v>56</v>
      </c>
      <c r="AF96" s="16"/>
      <c r="AG9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6" s="26" t="s">
        <v>54</v>
      </c>
      <c r="AI96" s="6"/>
      <c r="AJ9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6" s="26" t="s">
        <v>54</v>
      </c>
      <c r="AL96" s="9"/>
      <c r="AM9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6" s="26" t="s">
        <v>54</v>
      </c>
      <c r="AO96" s="11">
        <v>44810</v>
      </c>
      <c r="AP9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6" s="26" t="s">
        <v>56</v>
      </c>
      <c r="AR96" s="6"/>
      <c r="AS9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6" s="22" cm="1">
        <f t="array" aca="1" ref="AT96" ca="1">INDEX('SAP Customer Data '!A:Z,MATCH(بيانات_العملاء4[[#This Row],[رمز شريك الأعمال]],'SAP Customer Data '!B:B,0),CELL("col",Table_Customer_Data[[#Headers],[CreateDate]]))</f>
        <v>44954</v>
      </c>
      <c r="AU96" s="30"/>
      <c r="AV96" s="11"/>
      <c r="AW96" s="6" t="s">
        <v>846</v>
      </c>
      <c r="AX96" s="6"/>
    </row>
    <row r="97" spans="1:50" x14ac:dyDescent="0.25">
      <c r="A97" s="17" t="str" cm="1">
        <f t="array" aca="1" ref="A97" ca="1">INDEX('SAP Customer Data '!$A:$AC,MATCH(بيانات_العملاء4[[#This Row],[رمز شريك الأعمال]],'SAP Customer Data '!$B:$B,0),CELL("col",Table_Customer_Data[[#Headers],[GroupName]]))</f>
        <v>LB07</v>
      </c>
      <c r="B97" s="8" t="s">
        <v>203</v>
      </c>
      <c r="C97" s="18" t="str" cm="1">
        <f t="array" aca="1" ref="C97" ca="1">INDEX('SAP Customer Data '!$A:$AC,MATCH(بيانات_العملاء4[[#This Row],[رمز شريك الأعمال]],'SAP Customer Data '!$B:$B,0),CELL("col",Table_Customer_Data[[#Headers],[CardName]]))</f>
        <v>مؤسسة اضاءات المستقبل لمواد البناء</v>
      </c>
      <c r="D97" s="26" t="str">
        <f ca="1">IF(بيانات_العملاء4[[#This Row],[حد الائتمان على SAP]]&gt;0,"آجل","نقدى")</f>
        <v>آجل</v>
      </c>
      <c r="E97" s="6" t="s">
        <v>841</v>
      </c>
      <c r="F97" s="26" t="s">
        <v>385</v>
      </c>
      <c r="G97" s="26" t="s">
        <v>54</v>
      </c>
      <c r="H9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7" s="26" t="s">
        <v>54</v>
      </c>
      <c r="J97" s="9">
        <v>45642</v>
      </c>
      <c r="K97" s="27" t="s">
        <v>55</v>
      </c>
      <c r="L97" s="19" t="str">
        <f ca="1">IF(AND(بيانات_العملاء4[[#This Row],[السجل التجارى]]="موجود",TODAY()+'Other Data'!$B$23&lt;J97,بيانات_العملاء4[[#This Row],[مطابقة اسم العميل بالاسم بالسجل التجارى]]="مطابق"), "سارى", "يجب اعادة طلبه")</f>
        <v>سارى</v>
      </c>
      <c r="M97" s="28" t="s">
        <v>54</v>
      </c>
      <c r="N97" s="13" t="str" cm="1">
        <f t="array" aca="1" ref="N97" ca="1">INDEX('SAP Customer Data '!A:Z,MATCH(بيانات_العملاء4[[#This Row],[رمز شريك الأعمال]],'SAP Customer Data '!B:B,0),CELL("col",Table_Customer_Data[[#Headers],[LicTradNum]]))</f>
        <v>311158134100003</v>
      </c>
      <c r="O9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7" s="26" t="s">
        <v>54</v>
      </c>
      <c r="Q97" s="9">
        <v>45891</v>
      </c>
      <c r="R9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7" s="26" t="s">
        <v>54</v>
      </c>
      <c r="T97" s="10">
        <v>30000</v>
      </c>
      <c r="U97" s="11">
        <v>44952</v>
      </c>
      <c r="V97" s="20">
        <f>IF(بيانات_العملاء4[[#This Row],[تاريخ انشاء سند الامر او الاستثناء]]="","",بيانات_العملاء4[[#This Row],[تاريخ انشاء سند الامر او الاستثناء]]+365*3)</f>
        <v>46047</v>
      </c>
      <c r="W9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97" s="18" cm="1">
        <f t="array" aca="1" ref="X97" ca="1">INDEX('SAP Customer Data '!$A:$AC,MATCH(بيانات_العملاء4[[#This Row],[رمز شريك الأعمال]],'SAP Customer Data '!$B:$B,0),CELL("col",Table_Customer_Data[[#Headers],[CreditLine]]))</f>
        <v>20000</v>
      </c>
      <c r="Y9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97" s="26" t="s">
        <v>55</v>
      </c>
      <c r="AA9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97" s="26" t="s">
        <v>56</v>
      </c>
      <c r="AC97" s="16"/>
      <c r="AD9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7" s="26" t="s">
        <v>54</v>
      </c>
      <c r="AF97" s="16">
        <v>47260</v>
      </c>
      <c r="AG9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7" s="26" t="s">
        <v>54</v>
      </c>
      <c r="AI97" s="6"/>
      <c r="AJ9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7" s="26" t="s">
        <v>54</v>
      </c>
      <c r="AL97" s="9"/>
      <c r="AM9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7" s="26" t="s">
        <v>54</v>
      </c>
      <c r="AO97" s="11">
        <v>45096</v>
      </c>
      <c r="AP9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7" s="26" t="s">
        <v>56</v>
      </c>
      <c r="AR97" s="6"/>
      <c r="AS9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7" s="22" cm="1">
        <f t="array" aca="1" ref="AT97" ca="1">INDEX('SAP Customer Data '!A:Z,MATCH(بيانات_العملاء4[[#This Row],[رمز شريك الأعمال]],'SAP Customer Data '!B:B,0),CELL("col",Table_Customer_Data[[#Headers],[CreateDate]]))</f>
        <v>44968</v>
      </c>
      <c r="AU97" s="30"/>
      <c r="AV97" s="11"/>
      <c r="AW97" s="6" t="s">
        <v>846</v>
      </c>
      <c r="AX97" s="6"/>
    </row>
    <row r="98" spans="1:50" x14ac:dyDescent="0.25">
      <c r="A98" s="17" t="str" cm="1">
        <f t="array" aca="1" ref="A98" ca="1">INDEX('SAP Customer Data '!$A:$AC,MATCH(بيانات_العملاء4[[#This Row],[رمز شريك الأعمال]],'SAP Customer Data '!$B:$B,0),CELL("col",Table_Customer_Data[[#Headers],[GroupName]]))</f>
        <v>LB07</v>
      </c>
      <c r="B98" s="8" t="s">
        <v>205</v>
      </c>
      <c r="C98" s="18" t="str" cm="1">
        <f t="array" aca="1" ref="C98" ca="1">INDEX('SAP Customer Data '!$A:$AC,MATCH(بيانات_العملاء4[[#This Row],[رمز شريك الأعمال]],'SAP Customer Data '!$B:$B,0),CELL("col",Table_Customer_Data[[#Headers],[CardName]]))</f>
        <v>مؤسسة المبارك للتجارة - وادي قديد</v>
      </c>
      <c r="D98" s="26" t="str">
        <f ca="1">IF(بيانات_العملاء4[[#This Row],[حد الائتمان على SAP]]&gt;0,"آجل","نقدى")</f>
        <v>آجل</v>
      </c>
      <c r="E98" s="6" t="s">
        <v>842</v>
      </c>
      <c r="F98" s="26" t="s">
        <v>385</v>
      </c>
      <c r="G98" s="26" t="s">
        <v>54</v>
      </c>
      <c r="H9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8" s="26" t="s">
        <v>54</v>
      </c>
      <c r="J98" s="9">
        <v>45301</v>
      </c>
      <c r="K98" s="27" t="s">
        <v>55</v>
      </c>
      <c r="L98" s="19" t="str">
        <f ca="1">IF(AND(بيانات_العملاء4[[#This Row],[السجل التجارى]]="موجود",TODAY()+'Other Data'!$B$23&lt;J98,بيانات_العملاء4[[#This Row],[مطابقة اسم العميل بالاسم بالسجل التجارى]]="مطابق"), "سارى", "يجب اعادة طلبه")</f>
        <v>سارى</v>
      </c>
      <c r="M98" s="28" t="s">
        <v>54</v>
      </c>
      <c r="N98" s="13" t="str" cm="1">
        <f t="array" aca="1" ref="N98" ca="1">INDEX('SAP Customer Data '!A:Z,MATCH(بيانات_العملاء4[[#This Row],[رمز شريك الأعمال]],'SAP Customer Data '!B:B,0),CELL("col",Table_Customer_Data[[#Headers],[LicTradNum]]))</f>
        <v>310637205700003</v>
      </c>
      <c r="O9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8" s="26" t="s">
        <v>54</v>
      </c>
      <c r="Q98" s="9">
        <v>45232</v>
      </c>
      <c r="R9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8" s="26" t="s">
        <v>54</v>
      </c>
      <c r="T98" s="10">
        <v>20000</v>
      </c>
      <c r="U98" s="11">
        <v>44969</v>
      </c>
      <c r="V98" s="20">
        <f>IF(بيانات_العملاء4[[#This Row],[تاريخ انشاء سند الامر او الاستثناء]]="","",بيانات_العملاء4[[#This Row],[تاريخ انشاء سند الامر او الاستثناء]]+365*3)</f>
        <v>46064</v>
      </c>
      <c r="W9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98" s="18" cm="1">
        <f t="array" aca="1" ref="X98" ca="1">INDEX('SAP Customer Data '!$A:$AC,MATCH(بيانات_العملاء4[[#This Row],[رمز شريك الأعمال]],'SAP Customer Data '!$B:$B,0),CELL("col",Table_Customer_Data[[#Headers],[CreditLine]]))</f>
        <v>10000</v>
      </c>
      <c r="Y9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8" s="26" t="s">
        <v>55</v>
      </c>
      <c r="AA9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98" s="26" t="s">
        <v>54</v>
      </c>
      <c r="AC98" s="16">
        <v>46445</v>
      </c>
      <c r="AD9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98" s="26" t="s">
        <v>54</v>
      </c>
      <c r="AF98" s="16">
        <v>46445</v>
      </c>
      <c r="AG9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8" s="26" t="s">
        <v>54</v>
      </c>
      <c r="AI98" s="6"/>
      <c r="AJ9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8" s="26" t="s">
        <v>56</v>
      </c>
      <c r="AL98" s="9"/>
      <c r="AM9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8" s="26" t="s">
        <v>54</v>
      </c>
      <c r="AO98" s="11">
        <v>44906</v>
      </c>
      <c r="AP9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8" s="26" t="s">
        <v>56</v>
      </c>
      <c r="AR98" s="6"/>
      <c r="AS9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8" s="22" cm="1">
        <f t="array" aca="1" ref="AT98" ca="1">INDEX('SAP Customer Data '!A:Z,MATCH(بيانات_العملاء4[[#This Row],[رمز شريك الأعمال]],'SAP Customer Data '!B:B,0),CELL("col",Table_Customer_Data[[#Headers],[CreateDate]]))</f>
        <v>44969</v>
      </c>
      <c r="AU98" s="30"/>
      <c r="AV98" s="11"/>
      <c r="AW98" s="6" t="s">
        <v>846</v>
      </c>
      <c r="AX98" s="6"/>
    </row>
    <row r="99" spans="1:50" x14ac:dyDescent="0.25">
      <c r="A99" s="17" t="str" cm="1">
        <f t="array" aca="1" ref="A99" ca="1">INDEX('SAP Customer Data '!$A:$AC,MATCH(بيانات_العملاء4[[#This Row],[رمز شريك الأعمال]],'SAP Customer Data '!$B:$B,0),CELL("col",Table_Customer_Data[[#Headers],[GroupName]]))</f>
        <v>LB07</v>
      </c>
      <c r="B99" s="8" t="s">
        <v>207</v>
      </c>
      <c r="C99" s="18" t="str" cm="1">
        <f t="array" aca="1" ref="C99" ca="1">INDEX('SAP Customer Data '!$A:$AC,MATCH(بيانات_العملاء4[[#This Row],[رمز شريك الأعمال]],'SAP Customer Data '!$B:$B,0),CELL("col",Table_Customer_Data[[#Headers],[CardName]]))</f>
        <v>شركة عتيق المطورة للتجارة</v>
      </c>
      <c r="D99" s="26" t="str">
        <f ca="1">IF(بيانات_العملاء4[[#This Row],[حد الائتمان على SAP]]&gt;0,"آجل","نقدى")</f>
        <v>آجل</v>
      </c>
      <c r="E99" s="6"/>
      <c r="F99" s="26" t="s">
        <v>309</v>
      </c>
      <c r="G99" s="26" t="s">
        <v>54</v>
      </c>
      <c r="H9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9" s="26" t="s">
        <v>54</v>
      </c>
      <c r="J99" s="9">
        <v>45122</v>
      </c>
      <c r="K99" s="27" t="s">
        <v>55</v>
      </c>
      <c r="L99" s="19" t="str">
        <f ca="1">IF(AND(بيانات_العملاء4[[#This Row],[السجل التجارى]]="موجود",TODAY()+'Other Data'!$B$23&lt;J99,بيانات_العملاء4[[#This Row],[مطابقة اسم العميل بالاسم بالسجل التجارى]]="مطابق"), "سارى", "يجب اعادة طلبه")</f>
        <v>يجب اعادة طلبه</v>
      </c>
      <c r="M99" s="28" t="s">
        <v>54</v>
      </c>
      <c r="N99" s="13" t="str" cm="1">
        <f t="array" aca="1" ref="N99" ca="1">INDEX('SAP Customer Data '!A:Z,MATCH(بيانات_العملاء4[[#This Row],[رمز شريك الأعمال]],'SAP Customer Data '!B:B,0),CELL("col",Table_Customer_Data[[#Headers],[LicTradNum]]))</f>
        <v>311384510200003</v>
      </c>
      <c r="O9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9" s="26" t="s">
        <v>54</v>
      </c>
      <c r="Q99" s="9">
        <v>45848</v>
      </c>
      <c r="R9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9" s="26" t="s">
        <v>54</v>
      </c>
      <c r="T99" s="10">
        <v>200000</v>
      </c>
      <c r="U99" s="11">
        <v>44959</v>
      </c>
      <c r="V99" s="20">
        <f>IF(بيانات_العملاء4[[#This Row],[تاريخ انشاء سند الامر او الاستثناء]]="","",بيانات_العملاء4[[#This Row],[تاريخ انشاء سند الامر او الاستثناء]]+365*3)</f>
        <v>46054</v>
      </c>
      <c r="W9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99" s="18" cm="1">
        <f t="array" aca="1" ref="X99" ca="1">INDEX('SAP Customer Data '!$A:$AC,MATCH(بيانات_العملاء4[[#This Row],[رمز شريك الأعمال]],'SAP Customer Data '!$B:$B,0),CELL("col",Table_Customer_Data[[#Headers],[CreditLine]]))</f>
        <v>45000</v>
      </c>
      <c r="Y9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99" s="26" t="s">
        <v>55</v>
      </c>
      <c r="AA9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99" s="26" t="s">
        <v>56</v>
      </c>
      <c r="AC99" s="16"/>
      <c r="AD9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9" s="26" t="s">
        <v>54</v>
      </c>
      <c r="AF99" s="16"/>
      <c r="AG9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9" s="26" t="s">
        <v>54</v>
      </c>
      <c r="AI99" s="6"/>
      <c r="AJ9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9" s="26"/>
      <c r="AL99" s="9"/>
      <c r="AM9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9" s="26" t="s">
        <v>54</v>
      </c>
      <c r="AO99" s="11">
        <v>45003</v>
      </c>
      <c r="AP9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9" s="26" t="s">
        <v>56</v>
      </c>
      <c r="AR99" s="6"/>
      <c r="AS9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9" s="22" cm="1">
        <f t="array" aca="1" ref="AT99" ca="1">INDEX('SAP Customer Data '!A:Z,MATCH(بيانات_العملاء4[[#This Row],[رمز شريك الأعمال]],'SAP Customer Data '!B:B,0),CELL("col",Table_Customer_Data[[#Headers],[CreateDate]]))</f>
        <v>44969</v>
      </c>
      <c r="AU99" s="30"/>
      <c r="AV99" s="11"/>
      <c r="AW99" s="6" t="s">
        <v>846</v>
      </c>
      <c r="AX99" s="6"/>
    </row>
    <row r="100" spans="1:50" x14ac:dyDescent="0.25">
      <c r="A100" s="17" t="str" cm="1">
        <f t="array" aca="1" ref="A100" ca="1">INDEX('SAP Customer Data '!$A:$AC,MATCH(بيانات_العملاء4[[#This Row],[رمز شريك الأعمال]],'SAP Customer Data '!$B:$B,0),CELL("col",Table_Customer_Data[[#Headers],[GroupName]]))</f>
        <v>LB07</v>
      </c>
      <c r="B100" s="8" t="s">
        <v>209</v>
      </c>
      <c r="C100" s="18" t="str" cm="1">
        <f t="array" aca="1" ref="C100" ca="1">INDEX('SAP Customer Data '!$A:$AC,MATCH(بيانات_العملاء4[[#This Row],[رمز شريك الأعمال]],'SAP Customer Data '!$B:$B,0),CELL("col",Table_Customer_Data[[#Headers],[CardName]]))</f>
        <v>شركة تهامة الحجاز للتجارة</v>
      </c>
      <c r="D100" s="26" t="str">
        <f ca="1">IF(بيانات_العملاء4[[#This Row],[حد الائتمان على SAP]]&gt;0,"آجل","نقدى")</f>
        <v>آجل</v>
      </c>
      <c r="E100" s="6"/>
      <c r="F100" s="26" t="s">
        <v>309</v>
      </c>
      <c r="G100" s="26" t="s">
        <v>54</v>
      </c>
      <c r="H10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0" s="26" t="s">
        <v>54</v>
      </c>
      <c r="J100" s="9">
        <v>45247</v>
      </c>
      <c r="K100" s="27" t="s">
        <v>55</v>
      </c>
      <c r="L100" s="19" t="str">
        <f ca="1">IF(AND(بيانات_العملاء4[[#This Row],[السجل التجارى]]="موجود",TODAY()+'Other Data'!$B$23&lt;J100,بيانات_العملاء4[[#This Row],[مطابقة اسم العميل بالاسم بالسجل التجارى]]="مطابق"), "سارى", "يجب اعادة طلبه")</f>
        <v>سارى</v>
      </c>
      <c r="M100" s="28" t="s">
        <v>54</v>
      </c>
      <c r="N100" s="13" t="str" cm="1">
        <f t="array" aca="1" ref="N100" ca="1">INDEX('SAP Customer Data '!A:Z,MATCH(بيانات_العملاء4[[#This Row],[رمز شريك الأعمال]],'SAP Customer Data '!B:B,0),CELL("col",Table_Customer_Data[[#Headers],[LicTradNum]]))</f>
        <v>311311095500003</v>
      </c>
      <c r="O10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0" s="26" t="s">
        <v>54</v>
      </c>
      <c r="Q100" s="9">
        <v>45517</v>
      </c>
      <c r="R10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00" s="26" t="s">
        <v>54</v>
      </c>
      <c r="T100" s="10">
        <v>50000</v>
      </c>
      <c r="U100" s="11">
        <v>44966</v>
      </c>
      <c r="V100" s="20">
        <f>IF(بيانات_العملاء4[[#This Row],[تاريخ انشاء سند الامر او الاستثناء]]="","",بيانات_العملاء4[[#This Row],[تاريخ انشاء سند الامر او الاستثناء]]+365*3)</f>
        <v>46061</v>
      </c>
      <c r="W10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00" s="18" cm="1">
        <f t="array" aca="1" ref="X100" ca="1">INDEX('SAP Customer Data '!$A:$AC,MATCH(بيانات_العملاء4[[#This Row],[رمز شريك الأعمال]],'SAP Customer Data '!$B:$B,0),CELL("col",Table_Customer_Data[[#Headers],[CreditLine]]))</f>
        <v>25000</v>
      </c>
      <c r="Y10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0" s="26" t="s">
        <v>55</v>
      </c>
      <c r="AA10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00" s="26" t="s">
        <v>56</v>
      </c>
      <c r="AC100" s="16"/>
      <c r="AD10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0" s="26" t="s">
        <v>54</v>
      </c>
      <c r="AF100" s="16">
        <v>46094</v>
      </c>
      <c r="AG10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00" s="26" t="s">
        <v>54</v>
      </c>
      <c r="AI100" s="6"/>
      <c r="AJ10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0" s="26" t="s">
        <v>56</v>
      </c>
      <c r="AL100" s="9"/>
      <c r="AM10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0" s="26" t="s">
        <v>54</v>
      </c>
      <c r="AO100" s="11">
        <v>44991</v>
      </c>
      <c r="AP10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0" s="26" t="s">
        <v>56</v>
      </c>
      <c r="AR100" s="6"/>
      <c r="AS10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0" s="22" cm="1">
        <f t="array" aca="1" ref="AT100" ca="1">INDEX('SAP Customer Data '!A:Z,MATCH(بيانات_العملاء4[[#This Row],[رمز شريك الأعمال]],'SAP Customer Data '!B:B,0),CELL("col",Table_Customer_Data[[#Headers],[CreateDate]]))</f>
        <v>44970</v>
      </c>
      <c r="AU100" s="30"/>
      <c r="AV100" s="11"/>
      <c r="AW100" s="6" t="s">
        <v>846</v>
      </c>
      <c r="AX100" s="6"/>
    </row>
    <row r="101" spans="1:50" x14ac:dyDescent="0.25">
      <c r="A101" s="17" t="str" cm="1">
        <f t="array" aca="1" ref="A101" ca="1">INDEX('SAP Customer Data '!$A:$AC,MATCH(بيانات_العملاء4[[#This Row],[رمز شريك الأعمال]],'SAP Customer Data '!$B:$B,0),CELL("col",Table_Customer_Data[[#Headers],[GroupName]]))</f>
        <v>LB07</v>
      </c>
      <c r="B101" s="8" t="s">
        <v>211</v>
      </c>
      <c r="C101" s="18" t="str" cm="1">
        <f t="array" aca="1" ref="C101" ca="1">INDEX('SAP Customer Data '!$A:$AC,MATCH(بيانات_العملاء4[[#This Row],[رمز شريك الأعمال]],'SAP Customer Data '!$B:$B,0),CELL("col",Table_Customer_Data[[#Headers],[CardName]]))</f>
        <v>مؤسسة كادي الحديث التجارية</v>
      </c>
      <c r="D101" s="26" t="str">
        <f ca="1">IF(بيانات_العملاء4[[#This Row],[حد الائتمان على SAP]]&gt;0,"آجل","نقدى")</f>
        <v>آجل</v>
      </c>
      <c r="E101" s="6" t="s">
        <v>838</v>
      </c>
      <c r="F101" s="26" t="s">
        <v>385</v>
      </c>
      <c r="G101" s="26" t="s">
        <v>62</v>
      </c>
      <c r="H101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1" s="26" t="s">
        <v>54</v>
      </c>
      <c r="J101" s="9">
        <v>45055</v>
      </c>
      <c r="K101" s="27" t="s">
        <v>55</v>
      </c>
      <c r="L101" s="19" t="str">
        <f ca="1">IF(AND(بيانات_العملاء4[[#This Row],[السجل التجارى]]="موجود",TODAY()+'Other Data'!$B$23&lt;J101,بيانات_العملاء4[[#This Row],[مطابقة اسم العميل بالاسم بالسجل التجارى]]="مطابق"), "سارى", "يجب اعادة طلبه")</f>
        <v>يجب اعادة طلبه</v>
      </c>
      <c r="M101" s="28" t="s">
        <v>54</v>
      </c>
      <c r="N101" s="13" t="str" cm="1">
        <f t="array" aca="1" ref="N101" ca="1">INDEX('SAP Customer Data '!A:Z,MATCH(بيانات_العملاء4[[#This Row],[رمز شريك الأعمال]],'SAP Customer Data '!B:B,0),CELL("col",Table_Customer_Data[[#Headers],[LicTradNum]]))</f>
        <v>310221502500003</v>
      </c>
      <c r="O10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1" s="26" t="s">
        <v>54</v>
      </c>
      <c r="Q101" s="9">
        <v>45184</v>
      </c>
      <c r="R10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01" s="26" t="s">
        <v>54</v>
      </c>
      <c r="T101" s="10">
        <v>50000</v>
      </c>
      <c r="U101" s="11">
        <v>44989</v>
      </c>
      <c r="V101" s="20">
        <f>IF(بيانات_العملاء4[[#This Row],[تاريخ انشاء سند الامر او الاستثناء]]="","",بيانات_العملاء4[[#This Row],[تاريخ انشاء سند الامر او الاستثناء]]+365*3)</f>
        <v>46084</v>
      </c>
      <c r="W10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01" s="18" cm="1">
        <f t="array" aca="1" ref="X101" ca="1">INDEX('SAP Customer Data '!$A:$AC,MATCH(بيانات_العملاء4[[#This Row],[رمز شريك الأعمال]],'SAP Customer Data '!$B:$B,0),CELL("col",Table_Customer_Data[[#Headers],[CreditLine]]))</f>
        <v>25000</v>
      </c>
      <c r="Y10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1" s="26" t="s">
        <v>55</v>
      </c>
      <c r="AA10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01" s="26" t="s">
        <v>56</v>
      </c>
      <c r="AC101" s="16"/>
      <c r="AD10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1" s="26" t="s">
        <v>56</v>
      </c>
      <c r="AF101" s="16"/>
      <c r="AG10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1" s="26" t="s">
        <v>54</v>
      </c>
      <c r="AI101" s="6"/>
      <c r="AJ10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1" s="26" t="s">
        <v>56</v>
      </c>
      <c r="AL101" s="9"/>
      <c r="AM10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1" s="26" t="s">
        <v>56</v>
      </c>
      <c r="AO101" s="11"/>
      <c r="AP10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1" s="26" t="s">
        <v>54</v>
      </c>
      <c r="AR101" s="6">
        <v>44627</v>
      </c>
      <c r="AS10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1" s="22" cm="1">
        <f t="array" aca="1" ref="AT101" ca="1">INDEX('SAP Customer Data '!A:Z,MATCH(بيانات_العملاء4[[#This Row],[رمز شريك الأعمال]],'SAP Customer Data '!B:B,0),CELL("col",Table_Customer_Data[[#Headers],[CreateDate]]))</f>
        <v>44991</v>
      </c>
      <c r="AU101" s="30"/>
      <c r="AV101" s="11" t="s">
        <v>913</v>
      </c>
      <c r="AW101" s="6" t="s">
        <v>846</v>
      </c>
      <c r="AX101" s="6"/>
    </row>
    <row r="102" spans="1:50" x14ac:dyDescent="0.25">
      <c r="A102" s="17" t="str" cm="1">
        <f t="array" aca="1" ref="A102" ca="1">INDEX('SAP Customer Data '!$A:$AC,MATCH(بيانات_العملاء4[[#This Row],[رمز شريك الأعمال]],'SAP Customer Data '!$B:$B,0),CELL("col",Table_Customer_Data[[#Headers],[GroupName]]))</f>
        <v>LB07</v>
      </c>
      <c r="B102" s="8" t="s">
        <v>350</v>
      </c>
      <c r="C102" s="18" t="str" cm="1">
        <f t="array" aca="1" ref="C102" ca="1">INDEX('SAP Customer Data '!$A:$AC,MATCH(بيانات_العملاء4[[#This Row],[رمز شريك الأعمال]],'SAP Customer Data '!$B:$B,0),CELL("col",Table_Customer_Data[[#Headers],[CardName]]))</f>
        <v>مؤسسة جوهرة الأحسبة لمواد البناء</v>
      </c>
      <c r="D102" s="26" t="str">
        <f ca="1">IF(بيانات_العملاء4[[#This Row],[حد الائتمان على SAP]]&gt;0,"آجل","نقدى")</f>
        <v>آجل</v>
      </c>
      <c r="E102" s="6" t="s">
        <v>351</v>
      </c>
      <c r="F102" s="26" t="s">
        <v>385</v>
      </c>
      <c r="G102" s="26" t="s">
        <v>54</v>
      </c>
      <c r="H10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2" s="26" t="s">
        <v>54</v>
      </c>
      <c r="J102" s="9">
        <v>45337</v>
      </c>
      <c r="K102" s="27" t="s">
        <v>55</v>
      </c>
      <c r="L102" s="19" t="str">
        <f ca="1">IF(AND(بيانات_العملاء4[[#This Row],[السجل التجارى]]="موجود",TODAY()+'Other Data'!$B$23&lt;J102,بيانات_العملاء4[[#This Row],[مطابقة اسم العميل بالاسم بالسجل التجارى]]="مطابق"), "سارى", "يجب اعادة طلبه")</f>
        <v>سارى</v>
      </c>
      <c r="M102" s="28" t="s">
        <v>54</v>
      </c>
      <c r="N102" s="13" t="str" cm="1">
        <f t="array" aca="1" ref="N102" ca="1">INDEX('SAP Customer Data '!A:Z,MATCH(بيانات_العملاء4[[#This Row],[رمز شريك الأعمال]],'SAP Customer Data '!B:B,0),CELL("col",Table_Customer_Data[[#Headers],[LicTradNum]]))</f>
        <v>310136107800003</v>
      </c>
      <c r="O10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2" s="26" t="s">
        <v>54</v>
      </c>
      <c r="Q102" s="9">
        <v>45152</v>
      </c>
      <c r="R102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02" s="26" t="s">
        <v>54</v>
      </c>
      <c r="T102" s="10">
        <v>20000</v>
      </c>
      <c r="U102" s="11">
        <v>45050</v>
      </c>
      <c r="V102" s="20">
        <f>IF(بيانات_العملاء4[[#This Row],[تاريخ انشاء سند الامر او الاستثناء]]="","",بيانات_العملاء4[[#This Row],[تاريخ انشاء سند الامر او الاستثناء]]+365*3)</f>
        <v>46145</v>
      </c>
      <c r="W10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102" s="18" cm="1">
        <f t="array" aca="1" ref="X102" ca="1">INDEX('SAP Customer Data '!$A:$AC,MATCH(بيانات_العملاء4[[#This Row],[رمز شريك الأعمال]],'SAP Customer Data '!$B:$B,0),CELL("col",Table_Customer_Data[[#Headers],[CreditLine]]))</f>
        <v>15000</v>
      </c>
      <c r="Y10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02" s="26" t="s">
        <v>55</v>
      </c>
      <c r="AA10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02" s="26" t="s">
        <v>54</v>
      </c>
      <c r="AC102" s="16">
        <v>50714</v>
      </c>
      <c r="AD102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2" s="26" t="s">
        <v>56</v>
      </c>
      <c r="AF102" s="16"/>
      <c r="AG10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02" s="26" t="s">
        <v>56</v>
      </c>
      <c r="AI102" s="6"/>
      <c r="AJ10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02" s="26"/>
      <c r="AL102" s="9"/>
      <c r="AM10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2" s="26" t="s">
        <v>54</v>
      </c>
      <c r="AO102" s="11">
        <v>45223</v>
      </c>
      <c r="AP10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سارى</v>
      </c>
      <c r="AQ102" s="26" t="s">
        <v>56</v>
      </c>
      <c r="AR102" s="6"/>
      <c r="AS10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02" s="22" cm="1">
        <f t="array" aca="1" ref="AT102" ca="1">INDEX('SAP Customer Data '!A:Z,MATCH(بيانات_العملاء4[[#This Row],[رمز شريك الأعمال]],'SAP Customer Data '!B:B,0),CELL("col",Table_Customer_Data[[#Headers],[CreateDate]]))</f>
        <v>45053</v>
      </c>
      <c r="AU102" s="30" t="s">
        <v>352</v>
      </c>
      <c r="AV102" s="11"/>
      <c r="AW102" s="6" t="s">
        <v>846</v>
      </c>
      <c r="AX102" s="6"/>
    </row>
    <row r="103" spans="1:50" x14ac:dyDescent="0.25">
      <c r="A103" s="17" t="str" cm="1">
        <f t="array" aca="1" ref="A103" ca="1">INDEX('SAP Customer Data '!$A:$AC,MATCH(بيانات_العملاء4[[#This Row],[رمز شريك الأعمال]],'SAP Customer Data '!$B:$B,0),CELL("col",Table_Customer_Data[[#Headers],[GroupName]]))</f>
        <v>LB07</v>
      </c>
      <c r="B103" s="8" t="s">
        <v>363</v>
      </c>
      <c r="C103" s="18" t="str" cm="1">
        <f t="array" aca="1" ref="C103" ca="1">INDEX('SAP Customer Data '!$A:$AC,MATCH(بيانات_العملاء4[[#This Row],[رمز شريك الأعمال]],'SAP Customer Data '!$B:$B,0),CELL("col",Table_Customer_Data[[#Headers],[CardName]]))</f>
        <v>مؤسسة الخطوط المضيئة للادوات الكهربائية</v>
      </c>
      <c r="D103" s="26" t="str">
        <f ca="1">IF(بيانات_العملاء4[[#This Row],[حد الائتمان على SAP]]&gt;0,"آجل","نقدى")</f>
        <v>آجل</v>
      </c>
      <c r="E103" s="6" t="s">
        <v>667</v>
      </c>
      <c r="F103" s="26" t="s">
        <v>385</v>
      </c>
      <c r="G103" s="26" t="s">
        <v>54</v>
      </c>
      <c r="H10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3" s="26" t="s">
        <v>54</v>
      </c>
      <c r="J103" s="9">
        <v>45249</v>
      </c>
      <c r="K103" s="27" t="s">
        <v>55</v>
      </c>
      <c r="L103" s="19" t="str">
        <f ca="1">IF(AND(بيانات_العملاء4[[#This Row],[السجل التجارى]]="موجود",TODAY()+'Other Data'!$B$23&lt;J103,بيانات_العملاء4[[#This Row],[مطابقة اسم العميل بالاسم بالسجل التجارى]]="مطابق"), "سارى", "يجب اعادة طلبه")</f>
        <v>سارى</v>
      </c>
      <c r="M103" s="28" t="s">
        <v>54</v>
      </c>
      <c r="N103" s="13" t="str" cm="1">
        <f t="array" aca="1" ref="N103" ca="1">INDEX('SAP Customer Data '!A:Z,MATCH(بيانات_العملاء4[[#This Row],[رمز شريك الأعمال]],'SAP Customer Data '!B:B,0),CELL("col",Table_Customer_Data[[#Headers],[LicTradNum]]))</f>
        <v>311118698800003</v>
      </c>
      <c r="O10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3" s="26" t="s">
        <v>54</v>
      </c>
      <c r="Q103" s="9">
        <v>45285</v>
      </c>
      <c r="R103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103" s="26" t="s">
        <v>54</v>
      </c>
      <c r="T103" s="10">
        <v>20000</v>
      </c>
      <c r="U103" s="11">
        <v>45070</v>
      </c>
      <c r="V103" s="20">
        <f>IF(بيانات_العملاء4[[#This Row],[تاريخ انشاء سند الامر او الاستثناء]]="","",بيانات_العملاء4[[#This Row],[تاريخ انشاء سند الامر او الاستثناء]]+365*3)</f>
        <v>46165</v>
      </c>
      <c r="W10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103" s="18" cm="1">
        <f t="array" aca="1" ref="X103" ca="1">INDEX('SAP Customer Data '!$A:$AC,MATCH(بيانات_العملاء4[[#This Row],[رمز شريك الأعمال]],'SAP Customer Data '!$B:$B,0),CELL("col",Table_Customer_Data[[#Headers],[CreditLine]]))</f>
        <v>15000</v>
      </c>
      <c r="Y10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03" s="26" t="s">
        <v>55</v>
      </c>
      <c r="AA10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03" s="26" t="s">
        <v>54</v>
      </c>
      <c r="AC103" s="16">
        <v>45958</v>
      </c>
      <c r="AD103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3" s="26" t="s">
        <v>54</v>
      </c>
      <c r="AF103" s="16">
        <v>45958</v>
      </c>
      <c r="AG10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سارى</v>
      </c>
      <c r="AH103" s="26" t="s">
        <v>56</v>
      </c>
      <c r="AI103" s="6"/>
      <c r="AJ10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03" s="26" t="s">
        <v>56</v>
      </c>
      <c r="AL103" s="9"/>
      <c r="AM10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3" s="26" t="s">
        <v>54</v>
      </c>
      <c r="AO103" s="11">
        <v>45057</v>
      </c>
      <c r="AP10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3" s="26" t="s">
        <v>56</v>
      </c>
      <c r="AR103" s="6"/>
      <c r="AS10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03" s="22" cm="1">
        <f t="array" aca="1" ref="AT103" ca="1">INDEX('SAP Customer Data '!A:Z,MATCH(بيانات_العملاء4[[#This Row],[رمز شريك الأعمال]],'SAP Customer Data '!B:B,0),CELL("col",Table_Customer_Data[[#Headers],[CreateDate]]))</f>
        <v>45059</v>
      </c>
      <c r="AU103" s="30" t="s">
        <v>365</v>
      </c>
      <c r="AV103" s="11"/>
      <c r="AW103" s="6" t="s">
        <v>846</v>
      </c>
      <c r="AX103" s="6"/>
    </row>
    <row r="104" spans="1:50" x14ac:dyDescent="0.25">
      <c r="A104" s="17" t="str" cm="1">
        <f t="array" aca="1" ref="A104" ca="1">INDEX('SAP Customer Data '!$A:$AC,MATCH(بيانات_العملاء4[[#This Row],[رمز شريك الأعمال]],'SAP Customer Data '!$B:$B,0),CELL("col",Table_Customer_Data[[#Headers],[GroupName]]))</f>
        <v>LB07</v>
      </c>
      <c r="B104" s="8" t="s">
        <v>584</v>
      </c>
      <c r="C104" s="18" t="str" cm="1">
        <f t="array" aca="1" ref="C104" ca="1">INDEX('SAP Customer Data '!$A:$AC,MATCH(بيانات_العملاء4[[#This Row],[رمز شريك الأعمال]],'SAP Customer Data '!$B:$B,0),CELL("col",Table_Customer_Data[[#Headers],[CardName]]))</f>
        <v>مؤسسة التخصصية الاولي التجارية - نقدي</v>
      </c>
      <c r="D104" s="26" t="str">
        <f ca="1">IF(بيانات_العملاء4[[#This Row],[حد الائتمان على SAP]]&gt;0,"آجل","نقدى")</f>
        <v>نقدى</v>
      </c>
      <c r="E104" s="6" t="s">
        <v>924</v>
      </c>
      <c r="F104" s="26" t="s">
        <v>385</v>
      </c>
      <c r="G104" s="26" t="s">
        <v>54</v>
      </c>
      <c r="H104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4" s="26" t="s">
        <v>54</v>
      </c>
      <c r="J104" s="9">
        <v>45487</v>
      </c>
      <c r="K104" s="27" t="s">
        <v>55</v>
      </c>
      <c r="L104" s="19" t="str">
        <f ca="1">IF(AND(بيانات_العملاء4[[#This Row],[السجل التجارى]]="موجود",TODAY()+'Other Data'!$B$23&lt;J104,بيانات_العملاء4[[#This Row],[مطابقة اسم العميل بالاسم بالسجل التجارى]]="مطابق"), "سارى", "يجب اعادة طلبه")</f>
        <v>سارى</v>
      </c>
      <c r="M104" s="28" t="s">
        <v>54</v>
      </c>
      <c r="N104" s="13" t="str" cm="1">
        <f t="array" aca="1" ref="N104" ca="1">INDEX('SAP Customer Data '!A:Z,MATCH(بيانات_العملاء4[[#This Row],[رمز شريك الأعمال]],'SAP Customer Data '!B:B,0),CELL("col",Table_Customer_Data[[#Headers],[LicTradNum]]))</f>
        <v>310491645200003</v>
      </c>
      <c r="O10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4" s="26" t="s">
        <v>54</v>
      </c>
      <c r="Q104" s="9">
        <v>45113</v>
      </c>
      <c r="R104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04" s="26" t="s">
        <v>56</v>
      </c>
      <c r="T104" s="10"/>
      <c r="U104" s="11"/>
      <c r="V104" s="20"/>
      <c r="W10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4" s="18" cm="1">
        <f t="array" aca="1" ref="X104" ca="1">INDEX('SAP Customer Data '!$A:$AC,MATCH(بيانات_العملاء4[[#This Row],[رمز شريك الأعمال]],'SAP Customer Data '!$B:$B,0),CELL("col",Table_Customer_Data[[#Headers],[CreditLine]]))</f>
        <v>0</v>
      </c>
      <c r="Y10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4" s="26"/>
      <c r="AA10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04" s="26" t="s">
        <v>56</v>
      </c>
      <c r="AC104" s="16"/>
      <c r="AD104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4" s="26" t="s">
        <v>56</v>
      </c>
      <c r="AF104" s="16"/>
      <c r="AG10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04" s="26" t="s">
        <v>56</v>
      </c>
      <c r="AI104" s="6"/>
      <c r="AJ10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04" s="26" t="s">
        <v>56</v>
      </c>
      <c r="AL104" s="9"/>
      <c r="AM10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4" s="26" t="s">
        <v>56</v>
      </c>
      <c r="AO104" s="11"/>
      <c r="AP10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4" s="26" t="s">
        <v>54</v>
      </c>
      <c r="AR104" s="6">
        <v>44942</v>
      </c>
      <c r="AS10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04" s="22" cm="1">
        <f t="array" aca="1" ref="AT104" ca="1">INDEX('SAP Customer Data '!A:Z,MATCH(بيانات_العملاء4[[#This Row],[رمز شريك الأعمال]],'SAP Customer Data '!B:B,0),CELL("col",Table_Customer_Data[[#Headers],[CreateDate]]))</f>
        <v>45067</v>
      </c>
      <c r="AU104" s="30" t="s">
        <v>925</v>
      </c>
      <c r="AV104" s="11"/>
      <c r="AW104" s="6" t="s">
        <v>846</v>
      </c>
      <c r="AX104" s="6"/>
    </row>
    <row r="105" spans="1:50" x14ac:dyDescent="0.25">
      <c r="A105" s="17" t="str" cm="1">
        <f t="array" aca="1" ref="A105" ca="1">INDEX('SAP Customer Data '!$A:$AC,MATCH(بيانات_العملاء4[[#This Row],[رمز شريك الأعمال]],'SAP Customer Data '!$B:$B,0),CELL("col",Table_Customer_Data[[#Headers],[GroupName]]))</f>
        <v>LB07</v>
      </c>
      <c r="B105" s="8" t="s">
        <v>213</v>
      </c>
      <c r="C105" s="18" t="str" cm="1">
        <f t="array" aca="1" ref="C105" ca="1">INDEX('SAP Customer Data '!$A:$AC,MATCH(بيانات_العملاء4[[#This Row],[رمز شريك الأعمال]],'SAP Customer Data '!$B:$B,0),CELL("col",Table_Customer_Data[[#Headers],[CardName]]))</f>
        <v>مؤسسة عبدالقادر فتن بنيان المحمدي التجارية - نقدي</v>
      </c>
      <c r="D105" s="26" t="str">
        <f ca="1">IF(بيانات_العملاء4[[#This Row],[حد الائتمان على SAP]]&gt;0,"آجل","نقدى")</f>
        <v>نقدى</v>
      </c>
      <c r="E105" s="6"/>
      <c r="F105" s="26" t="s">
        <v>385</v>
      </c>
      <c r="G105" s="26" t="s">
        <v>62</v>
      </c>
      <c r="H105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5" s="26" t="s">
        <v>54</v>
      </c>
      <c r="J105" s="9">
        <v>44389</v>
      </c>
      <c r="K105" s="27" t="s">
        <v>55</v>
      </c>
      <c r="L105" s="19" t="str">
        <f ca="1">IF(AND(بيانات_العملاء4[[#This Row],[السجل التجارى]]="موجود",TODAY()+'Other Data'!$B$23&lt;J105,بيانات_العملاء4[[#This Row],[مطابقة اسم العميل بالاسم بالسجل التجارى]]="مطابق"), "سارى", "يجب اعادة طلبه")</f>
        <v>يجب اعادة طلبه</v>
      </c>
      <c r="M105" s="28" t="s">
        <v>54</v>
      </c>
      <c r="N105" s="13" t="str" cm="1">
        <f t="array" aca="1" ref="N105" ca="1">INDEX('SAP Customer Data '!A:Z,MATCH(بيانات_العملاء4[[#This Row],[رمز شريك الأعمال]],'SAP Customer Data '!B:B,0),CELL("col",Table_Customer_Data[[#Headers],[LicTradNum]]))</f>
        <v>300442099800003</v>
      </c>
      <c r="O10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5" s="26" t="s">
        <v>54</v>
      </c>
      <c r="Q105" s="9">
        <v>45546</v>
      </c>
      <c r="R10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05" s="26"/>
      <c r="T105" s="10"/>
      <c r="U105" s="11"/>
      <c r="V105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5" s="18" cm="1">
        <f t="array" aca="1" ref="X105" ca="1">INDEX('SAP Customer Data '!$A:$AC,MATCH(بيانات_العملاء4[[#This Row],[رمز شريك الأعمال]],'SAP Customer Data '!$B:$B,0),CELL("col",Table_Customer_Data[[#Headers],[CreditLine]]))</f>
        <v>0</v>
      </c>
      <c r="Y10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5" s="26"/>
      <c r="AA10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05" s="26" t="s">
        <v>54</v>
      </c>
      <c r="AC105" s="16">
        <v>50128</v>
      </c>
      <c r="AD10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5" s="26"/>
      <c r="AF105" s="16"/>
      <c r="AG10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5" s="26"/>
      <c r="AI105" s="6"/>
      <c r="AJ10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5" s="26"/>
      <c r="AL105" s="9"/>
      <c r="AM10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5" s="26" t="s">
        <v>54</v>
      </c>
      <c r="AO105" s="11"/>
      <c r="AP10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5" s="26"/>
      <c r="AR105" s="6"/>
      <c r="AS10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5" s="22" cm="1">
        <f t="array" aca="1" ref="AT105" ca="1">INDEX('SAP Customer Data '!A:Z,MATCH(بيانات_العملاء4[[#This Row],[رمز شريك الأعمال]],'SAP Customer Data '!B:B,0),CELL("col",Table_Customer_Data[[#Headers],[CreateDate]]))</f>
        <v>44888</v>
      </c>
      <c r="AU105" s="30"/>
      <c r="AV105" s="11" t="s">
        <v>913</v>
      </c>
      <c r="AW105" s="6" t="s">
        <v>846</v>
      </c>
      <c r="AX105" s="6"/>
    </row>
    <row r="106" spans="1:50" x14ac:dyDescent="0.25">
      <c r="A106" s="17" t="str" cm="1">
        <f t="array" aca="1" ref="A106" ca="1">INDEX('SAP Customer Data '!$A:$AC,MATCH(بيانات_العملاء4[[#This Row],[رمز شريك الأعمال]],'SAP Customer Data '!$B:$B,0),CELL("col",Table_Customer_Data[[#Headers],[GroupName]]))</f>
        <v>LB07</v>
      </c>
      <c r="B106" s="8" t="s">
        <v>215</v>
      </c>
      <c r="C106" s="18" t="str" cm="1">
        <f t="array" aca="1" ref="C106" ca="1">INDEX('SAP Customer Data '!$A:$AC,MATCH(بيانات_العملاء4[[#This Row],[رمز شريك الأعمال]],'SAP Customer Data '!$B:$B,0),CELL("col",Table_Customer_Data[[#Headers],[CardName]]))</f>
        <v>مؤسسة احمد محمد احمد الهندي لمواد البناء</v>
      </c>
      <c r="D106" s="26" t="str">
        <f ca="1">IF(بيانات_العملاء4[[#This Row],[حد الائتمان على SAP]]&gt;0,"آجل","نقدى")</f>
        <v>آجل</v>
      </c>
      <c r="E106" s="6"/>
      <c r="F106" s="26" t="s">
        <v>386</v>
      </c>
      <c r="G106" s="26" t="s">
        <v>54</v>
      </c>
      <c r="H10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6" s="26" t="s">
        <v>56</v>
      </c>
      <c r="J106" s="9"/>
      <c r="K106" s="27"/>
      <c r="L106" s="19" t="str">
        <f ca="1">IF(AND(بيانات_العملاء4[[#This Row],[السجل التجارى]]="موجود",TODAY()+'Other Data'!$B$23&lt;J106,بيانات_العملاء4[[#This Row],[مطابقة اسم العميل بالاسم بالسجل التجارى]]="مطابق"), "سارى", "يجب اعادة طلبه")</f>
        <v>يجب اعادة طلبه</v>
      </c>
      <c r="M106" s="28" t="s">
        <v>54</v>
      </c>
      <c r="N106" s="13" t="str" cm="1">
        <f t="array" aca="1" ref="N106" ca="1">INDEX('SAP Customer Data '!A:Z,MATCH(بيانات_العملاء4[[#This Row],[رمز شريك الأعمال]],'SAP Customer Data '!B:B,0),CELL("col",Table_Customer_Data[[#Headers],[LicTradNum]]))</f>
        <v>300845381800003</v>
      </c>
      <c r="O10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6" s="26" t="s">
        <v>56</v>
      </c>
      <c r="Q106" s="9"/>
      <c r="R10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6" s="26" t="s">
        <v>54</v>
      </c>
      <c r="T106" s="10">
        <v>300000</v>
      </c>
      <c r="U106" s="11">
        <v>44733</v>
      </c>
      <c r="V106" s="20">
        <f>IF(بيانات_العملاء4[[#This Row],[تاريخ انشاء سند الامر او الاستثناء]]="","",بيانات_العملاء4[[#This Row],[تاريخ انشاء سند الامر او الاستثناء]]+365*3)</f>
        <v>45828</v>
      </c>
      <c r="W10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150000</v>
      </c>
      <c r="X106" s="18" cm="1">
        <f t="array" aca="1" ref="X106" ca="1">INDEX('SAP Customer Data '!$A:$AC,MATCH(بيانات_العملاء4[[#This Row],[رمز شريك الأعمال]],'SAP Customer Data '!$B:$B,0),CELL("col",Table_Customer_Data[[#Headers],[CreditLine]]))</f>
        <v>40000</v>
      </c>
      <c r="Y10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06" s="26" t="s">
        <v>57</v>
      </c>
      <c r="AA10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06" s="26" t="s">
        <v>54</v>
      </c>
      <c r="AC106" s="16">
        <v>47053</v>
      </c>
      <c r="AD10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6" s="26" t="s">
        <v>54</v>
      </c>
      <c r="AF106" s="16">
        <v>47053</v>
      </c>
      <c r="AG10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06" s="26" t="s">
        <v>56</v>
      </c>
      <c r="AI106" s="6"/>
      <c r="AJ10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6" s="26" t="s">
        <v>56</v>
      </c>
      <c r="AL106" s="9"/>
      <c r="AM10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6" s="26" t="s">
        <v>54</v>
      </c>
      <c r="AO106" s="11"/>
      <c r="AP10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6" s="26" t="s">
        <v>56</v>
      </c>
      <c r="AR106" s="6"/>
      <c r="AS10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6" s="22" cm="1">
        <f t="array" aca="1" ref="AT106" ca="1">INDEX('SAP Customer Data '!A:Z,MATCH(بيانات_العملاء4[[#This Row],[رمز شريك الأعمال]],'SAP Customer Data '!B:B,0),CELL("col",Table_Customer_Data[[#Headers],[CreateDate]]))</f>
        <v>44888</v>
      </c>
      <c r="AU106" s="30"/>
      <c r="AV106" s="11" t="s">
        <v>668</v>
      </c>
      <c r="AW106" s="6" t="s">
        <v>846</v>
      </c>
      <c r="AX106" s="6"/>
    </row>
    <row r="107" spans="1:50" x14ac:dyDescent="0.25">
      <c r="A107" s="17" t="str" cm="1">
        <f t="array" aca="1" ref="A107" ca="1">INDEX('SAP Customer Data '!$A:$AC,MATCH(بيانات_العملاء4[[#This Row],[رمز شريك الأعمال]],'SAP Customer Data '!$B:$B,0),CELL("col",Table_Customer_Data[[#Headers],[GroupName]]))</f>
        <v>CS06</v>
      </c>
      <c r="B107" s="8" t="s">
        <v>216</v>
      </c>
      <c r="C107" s="18" t="str" cm="1">
        <f t="array" aca="1" ref="C107" ca="1">INDEX('SAP Customer Data '!$A:$AC,MATCH(بيانات_العملاء4[[#This Row],[رمز شريك الأعمال]],'SAP Customer Data '!$B:$B,0),CELL("col",Table_Customer_Data[[#Headers],[CardName]]))</f>
        <v>مؤسسة خطوط الاضاءة للكهرباء - نقدي</v>
      </c>
      <c r="D107" s="26" t="str">
        <f ca="1">IF(بيانات_العملاء4[[#This Row],[حد الائتمان على SAP]]&gt;0,"آجل","نقدى")</f>
        <v>نقدى</v>
      </c>
      <c r="E107" s="6" t="s">
        <v>669</v>
      </c>
      <c r="F107" s="26" t="s">
        <v>385</v>
      </c>
      <c r="G107" s="26" t="s">
        <v>56</v>
      </c>
      <c r="H107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7" s="26" t="s">
        <v>54</v>
      </c>
      <c r="J107" s="9">
        <v>45201</v>
      </c>
      <c r="K107" s="27" t="s">
        <v>55</v>
      </c>
      <c r="L107" s="19" t="str">
        <f ca="1">IF(AND(بيانات_العملاء4[[#This Row],[السجل التجارى]]="موجود",TODAY()+'Other Data'!$B$23&lt;J107,بيانات_العملاء4[[#This Row],[مطابقة اسم العميل بالاسم بالسجل التجارى]]="مطابق"), "سارى", "يجب اعادة طلبه")</f>
        <v>سارى</v>
      </c>
      <c r="M107" s="28" t="s">
        <v>54</v>
      </c>
      <c r="N107" s="13" t="str" cm="1">
        <f t="array" aca="1" ref="N107" ca="1">INDEX('SAP Customer Data '!A:Z,MATCH(بيانات_العملاء4[[#This Row],[رمز شريك الأعمال]],'SAP Customer Data '!B:B,0),CELL("col",Table_Customer_Data[[#Headers],[LicTradNum]]))</f>
        <v>310080869500003</v>
      </c>
      <c r="O10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7" s="26" t="s">
        <v>56</v>
      </c>
      <c r="Q107" s="9"/>
      <c r="R10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7" s="26" t="s">
        <v>56</v>
      </c>
      <c r="T107" s="10"/>
      <c r="U107" s="11"/>
      <c r="V107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7" s="18" cm="1">
        <f t="array" aca="1" ref="X107" ca="1">INDEX('SAP Customer Data '!$A:$AC,MATCH(بيانات_العملاء4[[#This Row],[رمز شريك الأعمال]],'SAP Customer Data '!$B:$B,0),CELL("col",Table_Customer_Data[[#Headers],[CreditLine]]))</f>
        <v>0</v>
      </c>
      <c r="Y10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7" s="26"/>
      <c r="AA10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07" s="26" t="s">
        <v>54</v>
      </c>
      <c r="AC107" s="16">
        <v>47255</v>
      </c>
      <c r="AD10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7" s="26" t="s">
        <v>56</v>
      </c>
      <c r="AF107" s="16"/>
      <c r="AG10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7" s="26" t="s">
        <v>56</v>
      </c>
      <c r="AI107" s="6"/>
      <c r="AJ10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7" s="26" t="s">
        <v>56</v>
      </c>
      <c r="AL107" s="9"/>
      <c r="AM10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7" s="26" t="s">
        <v>54</v>
      </c>
      <c r="AO107" s="11">
        <v>45166</v>
      </c>
      <c r="AP10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سارى</v>
      </c>
      <c r="AQ107" s="26" t="s">
        <v>56</v>
      </c>
      <c r="AR107" s="6"/>
      <c r="AS10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7" s="22" cm="1">
        <f t="array" aca="1" ref="AT107" ca="1">INDEX('SAP Customer Data '!A:Z,MATCH(بيانات_العملاء4[[#This Row],[رمز شريك الأعمال]],'SAP Customer Data '!B:B,0),CELL("col",Table_Customer_Data[[#Headers],[CreateDate]]))</f>
        <v>44905</v>
      </c>
      <c r="AU107" s="30"/>
      <c r="AV107" s="11"/>
      <c r="AW107" s="6" t="s">
        <v>846</v>
      </c>
      <c r="AX107" s="6"/>
    </row>
    <row r="108" spans="1:50" x14ac:dyDescent="0.25">
      <c r="A108" s="17" t="str" cm="1">
        <f t="array" aca="1" ref="A108" ca="1">INDEX('SAP Customer Data '!$A:$AC,MATCH(بيانات_العملاء4[[#This Row],[رمز شريك الأعمال]],'SAP Customer Data '!$B:$B,0),CELL("col",Table_Customer_Data[[#Headers],[GroupName]]))</f>
        <v>LB09</v>
      </c>
      <c r="B108" s="8" t="s">
        <v>218</v>
      </c>
      <c r="C108" s="18" t="str" cm="1">
        <f t="array" aca="1" ref="C108" ca="1">INDEX('SAP Customer Data '!$A:$AC,MATCH(بيانات_العملاء4[[#This Row],[رمز شريك الأعمال]],'SAP Customer Data '!$B:$B,0),CELL("col",Table_Customer_Data[[#Headers],[CardName]]))</f>
        <v>مؤسسة الخدمات الميدانية للمقاولات - نقدي</v>
      </c>
      <c r="D108" s="26" t="str">
        <f ca="1">IF(بيانات_العملاء4[[#This Row],[حد الائتمان على SAP]]&gt;0,"آجل","نقدى")</f>
        <v>نقدى</v>
      </c>
      <c r="E108" s="6" t="s">
        <v>671</v>
      </c>
      <c r="F108" s="26" t="s">
        <v>385</v>
      </c>
      <c r="G108" s="26" t="s">
        <v>56</v>
      </c>
      <c r="H108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8" s="26" t="s">
        <v>54</v>
      </c>
      <c r="J108" s="9">
        <v>45493</v>
      </c>
      <c r="K108" s="27" t="s">
        <v>55</v>
      </c>
      <c r="L108" s="19" t="str">
        <f ca="1">IF(AND(بيانات_العملاء4[[#This Row],[السجل التجارى]]="موجود",TODAY()+'Other Data'!$B$23&lt;J108,بيانات_العملاء4[[#This Row],[مطابقة اسم العميل بالاسم بالسجل التجارى]]="مطابق"), "سارى", "يجب اعادة طلبه")</f>
        <v>سارى</v>
      </c>
      <c r="M108" s="28" t="s">
        <v>54</v>
      </c>
      <c r="N108" s="13" t="str" cm="1">
        <f t="array" aca="1" ref="N108" ca="1">INDEX('SAP Customer Data '!A:Z,MATCH(بيانات_العملاء4[[#This Row],[رمز شريك الأعمال]],'SAP Customer Data '!B:B,0),CELL("col",Table_Customer_Data[[#Headers],[LicTradNum]]))</f>
        <v>300104557800003</v>
      </c>
      <c r="O10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8" s="26" t="s">
        <v>56</v>
      </c>
      <c r="Q108" s="9"/>
      <c r="R10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8" s="26" t="s">
        <v>56</v>
      </c>
      <c r="T108" s="10"/>
      <c r="U108" s="11"/>
      <c r="V10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8" s="18" cm="1">
        <f t="array" aca="1" ref="X108" ca="1">INDEX('SAP Customer Data '!$A:$AC,MATCH(بيانات_العملاء4[[#This Row],[رمز شريك الأعمال]],'SAP Customer Data '!$B:$B,0),CELL("col",Table_Customer_Data[[#Headers],[CreditLine]]))</f>
        <v>0</v>
      </c>
      <c r="Y10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8" s="26"/>
      <c r="AA10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08" s="26" t="s">
        <v>54</v>
      </c>
      <c r="AC108" s="16">
        <v>45531</v>
      </c>
      <c r="AD10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8" s="26" t="s">
        <v>56</v>
      </c>
      <c r="AF108" s="16"/>
      <c r="AG10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8" s="26" t="s">
        <v>56</v>
      </c>
      <c r="AI108" s="6"/>
      <c r="AJ10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8" s="26" t="s">
        <v>56</v>
      </c>
      <c r="AL108" s="9"/>
      <c r="AM10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8" s="26" t="s">
        <v>54</v>
      </c>
      <c r="AO108" s="11">
        <v>44963</v>
      </c>
      <c r="AP10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8" s="26" t="s">
        <v>56</v>
      </c>
      <c r="AR108" s="6"/>
      <c r="AS10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8" s="22" cm="1">
        <f t="array" aca="1" ref="AT108" ca="1">INDEX('SAP Customer Data '!A:Z,MATCH(بيانات_العملاء4[[#This Row],[رمز شريك الأعمال]],'SAP Customer Data '!B:B,0),CELL("col",Table_Customer_Data[[#Headers],[CreateDate]]))</f>
        <v>44905</v>
      </c>
      <c r="AU108" s="30"/>
      <c r="AV108" s="11"/>
      <c r="AW108" s="6" t="s">
        <v>846</v>
      </c>
      <c r="AX108" s="6"/>
    </row>
    <row r="109" spans="1:50" x14ac:dyDescent="0.25">
      <c r="A109" s="17" t="str" cm="1">
        <f t="array" aca="1" ref="A109" ca="1">INDEX('SAP Customer Data '!$A:$AC,MATCH(بيانات_العملاء4[[#This Row],[رمز شريك الأعمال]],'SAP Customer Data '!$B:$B,0),CELL("col",Table_Customer_Data[[#Headers],[GroupName]]))</f>
        <v>CS06</v>
      </c>
      <c r="B109" s="8" t="s">
        <v>220</v>
      </c>
      <c r="C109" s="18" t="str" cm="1">
        <f t="array" aca="1" ref="C109" ca="1">INDEX('SAP Customer Data '!$A:$AC,MATCH(بيانات_العملاء4[[#This Row],[رمز شريك الأعمال]],'SAP Customer Data '!$B:$B,0),CELL("col",Table_Customer_Data[[#Headers],[CardName]]))</f>
        <v>شركة بدر جدة التجارية - نقدي</v>
      </c>
      <c r="D109" s="26" t="str">
        <f ca="1">IF(بيانات_العملاء4[[#This Row],[حد الائتمان على SAP]]&gt;0,"آجل","نقدى")</f>
        <v>نقدى</v>
      </c>
      <c r="E109" s="6"/>
      <c r="F109" s="26" t="s">
        <v>309</v>
      </c>
      <c r="G109" s="26" t="s">
        <v>56</v>
      </c>
      <c r="H109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9" s="26" t="s">
        <v>54</v>
      </c>
      <c r="J109" s="9">
        <v>45512</v>
      </c>
      <c r="K109" s="27" t="s">
        <v>55</v>
      </c>
      <c r="L109" s="19" t="str">
        <f ca="1">IF(AND(بيانات_العملاء4[[#This Row],[السجل التجارى]]="موجود",TODAY()+'Other Data'!$B$23&lt;J109,بيانات_العملاء4[[#This Row],[مطابقة اسم العميل بالاسم بالسجل التجارى]]="مطابق"), "سارى", "يجب اعادة طلبه")</f>
        <v>سارى</v>
      </c>
      <c r="M109" s="28" t="s">
        <v>54</v>
      </c>
      <c r="N109" s="13" t="str" cm="1">
        <f t="array" aca="1" ref="N109" ca="1">INDEX('SAP Customer Data '!A:Z,MATCH(بيانات_العملاء4[[#This Row],[رمز شريك الأعمال]],'SAP Customer Data '!B:B,0),CELL("col",Table_Customer_Data[[#Headers],[LicTradNum]]))</f>
        <v>311244075100003</v>
      </c>
      <c r="O10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9" s="26" t="s">
        <v>54</v>
      </c>
      <c r="Q109" s="9">
        <v>44848</v>
      </c>
      <c r="R10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9" s="26" t="s">
        <v>56</v>
      </c>
      <c r="T109" s="10"/>
      <c r="U109" s="11"/>
      <c r="V109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9" s="18" cm="1">
        <f t="array" aca="1" ref="X109" ca="1">INDEX('SAP Customer Data '!$A:$AC,MATCH(بيانات_العملاء4[[#This Row],[رمز شريك الأعمال]],'SAP Customer Data '!$B:$B,0),CELL("col",Table_Customer_Data[[#Headers],[CreditLine]]))</f>
        <v>0</v>
      </c>
      <c r="Y10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9" s="26"/>
      <c r="AA10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09" s="26" t="s">
        <v>56</v>
      </c>
      <c r="AC109" s="16"/>
      <c r="AD10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9" s="26" t="s">
        <v>56</v>
      </c>
      <c r="AF109" s="16"/>
      <c r="AG10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9" s="26" t="s">
        <v>56</v>
      </c>
      <c r="AI109" s="6"/>
      <c r="AJ10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9" s="26" t="s">
        <v>56</v>
      </c>
      <c r="AL109" s="9"/>
      <c r="AM10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9" s="26" t="s">
        <v>56</v>
      </c>
      <c r="AO109" s="11"/>
      <c r="AP10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9" s="26" t="s">
        <v>56</v>
      </c>
      <c r="AR109" s="6"/>
      <c r="AS10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9" s="22" cm="1">
        <f t="array" aca="1" ref="AT109" ca="1">INDEX('SAP Customer Data '!A:Z,MATCH(بيانات_العملاء4[[#This Row],[رمز شريك الأعمال]],'SAP Customer Data '!B:B,0),CELL("col",Table_Customer_Data[[#Headers],[CreateDate]]))</f>
        <v>44908</v>
      </c>
      <c r="AU109" s="30"/>
      <c r="AV109" s="11"/>
      <c r="AW109" s="6" t="s">
        <v>846</v>
      </c>
      <c r="AX109" s="6"/>
    </row>
    <row r="110" spans="1:50" x14ac:dyDescent="0.25">
      <c r="A110" s="17" t="str" cm="1">
        <f t="array" aca="1" ref="A110" ca="1">INDEX('SAP Customer Data '!$A:$AC,MATCH(بيانات_العملاء4[[#This Row],[رمز شريك الأعمال]],'SAP Customer Data '!$B:$B,0),CELL("col",Table_Customer_Data[[#Headers],[GroupName]]))</f>
        <v>CS06</v>
      </c>
      <c r="B110" s="8" t="s">
        <v>222</v>
      </c>
      <c r="C110" s="18" t="str" cm="1">
        <f t="array" aca="1" ref="C110" ca="1">INDEX('SAP Customer Data '!$A:$AC,MATCH(بيانات_العملاء4[[#This Row],[رمز شريك الأعمال]],'SAP Customer Data '!$B:$B,0),CELL("col",Table_Customer_Data[[#Headers],[CardName]]))</f>
        <v>شركة نقطة الكهرباء للادوات الكهربائية - نقدي</v>
      </c>
      <c r="D110" s="26" t="str">
        <f ca="1">IF(بيانات_العملاء4[[#This Row],[حد الائتمان على SAP]]&gt;0,"آجل","نقدى")</f>
        <v>نقدى</v>
      </c>
      <c r="E110" s="6"/>
      <c r="F110" s="26" t="s">
        <v>370</v>
      </c>
      <c r="G110" s="26" t="s">
        <v>56</v>
      </c>
      <c r="H110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0" s="26" t="s">
        <v>54</v>
      </c>
      <c r="J110" s="9">
        <v>44804</v>
      </c>
      <c r="K110" s="27" t="s">
        <v>55</v>
      </c>
      <c r="L110" s="19" t="str">
        <f ca="1">IF(AND(بيانات_العملاء4[[#This Row],[السجل التجارى]]="موجود",TODAY()+'Other Data'!$B$23&lt;J110,بيانات_العملاء4[[#This Row],[مطابقة اسم العميل بالاسم بالسجل التجارى]]="مطابق"), "سارى", "يجب اعادة طلبه")</f>
        <v>يجب اعادة طلبه</v>
      </c>
      <c r="M110" s="28" t="s">
        <v>54</v>
      </c>
      <c r="N110" s="13" t="str" cm="1">
        <f t="array" aca="1" ref="N110" ca="1">INDEX('SAP Customer Data '!A:Z,MATCH(بيانات_العملاء4[[#This Row],[رمز شريك الأعمال]],'SAP Customer Data '!B:B,0),CELL("col",Table_Customer_Data[[#Headers],[LicTradNum]]))</f>
        <v>310314127700003</v>
      </c>
      <c r="O11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0" s="26" t="s">
        <v>56</v>
      </c>
      <c r="Q110" s="9"/>
      <c r="R11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0" s="26" t="s">
        <v>56</v>
      </c>
      <c r="T110" s="10"/>
      <c r="U110" s="11"/>
      <c r="V11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0" s="18" cm="1">
        <f t="array" aca="1" ref="X110" ca="1">INDEX('SAP Customer Data '!$A:$AC,MATCH(بيانات_العملاء4[[#This Row],[رمز شريك الأعمال]],'SAP Customer Data '!$B:$B,0),CELL("col",Table_Customer_Data[[#Headers],[CreditLine]]))</f>
        <v>0</v>
      </c>
      <c r="Y11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0" s="26"/>
      <c r="AA11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10" s="26" t="s">
        <v>56</v>
      </c>
      <c r="AC110" s="16"/>
      <c r="AD11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0" s="26" t="s">
        <v>56</v>
      </c>
      <c r="AF110" s="16"/>
      <c r="AG11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0" s="26" t="s">
        <v>56</v>
      </c>
      <c r="AI110" s="6"/>
      <c r="AJ11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0" s="26" t="s">
        <v>56</v>
      </c>
      <c r="AL110" s="9"/>
      <c r="AM11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0" s="26" t="s">
        <v>54</v>
      </c>
      <c r="AO110" s="11"/>
      <c r="AP11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0" s="26" t="s">
        <v>56</v>
      </c>
      <c r="AR110" s="6"/>
      <c r="AS11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0" s="22" cm="1">
        <f t="array" aca="1" ref="AT110" ca="1">INDEX('SAP Customer Data '!A:Z,MATCH(بيانات_العملاء4[[#This Row],[رمز شريك الأعمال]],'SAP Customer Data '!B:B,0),CELL("col",Table_Customer_Data[[#Headers],[CreateDate]]))</f>
        <v>44908</v>
      </c>
      <c r="AU110" s="30"/>
      <c r="AV110" s="11"/>
      <c r="AW110" s="6" t="s">
        <v>846</v>
      </c>
      <c r="AX110" s="6"/>
    </row>
    <row r="111" spans="1:50" x14ac:dyDescent="0.25">
      <c r="A111" s="17" t="str" cm="1">
        <f t="array" aca="1" ref="A111" ca="1">INDEX('SAP Customer Data '!$A:$AC,MATCH(بيانات_العملاء4[[#This Row],[رمز شريك الأعمال]],'SAP Customer Data '!$B:$B,0),CELL("col",Table_Customer_Data[[#Headers],[GroupName]]))</f>
        <v>CS06</v>
      </c>
      <c r="B111" s="8" t="s">
        <v>226</v>
      </c>
      <c r="C111" s="18" t="str" cm="1">
        <f t="array" aca="1" ref="C111" ca="1">INDEX('SAP Customer Data '!$A:$AC,MATCH(بيانات_العملاء4[[#This Row],[رمز شريك الأعمال]],'SAP Customer Data '!$B:$B,0),CELL("col",Table_Customer_Data[[#Headers],[CardName]]))</f>
        <v>مؤسسة زياد عبدالله احمد الزهراني التجارية</v>
      </c>
      <c r="D111" s="26" t="str">
        <f ca="1">IF(بيانات_العملاء4[[#This Row],[حد الائتمان على SAP]]&gt;0,"آجل","نقدى")</f>
        <v>آجل</v>
      </c>
      <c r="E111" s="6" t="s">
        <v>672</v>
      </c>
      <c r="F111" s="26" t="s">
        <v>385</v>
      </c>
      <c r="G111" s="26" t="s">
        <v>54</v>
      </c>
      <c r="H11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1" s="26" t="s">
        <v>54</v>
      </c>
      <c r="J111" s="9">
        <v>45299</v>
      </c>
      <c r="K111" s="27" t="s">
        <v>55</v>
      </c>
      <c r="L111" s="19" t="str">
        <f ca="1">IF(AND(بيانات_العملاء4[[#This Row],[السجل التجارى]]="موجود",TODAY()+'Other Data'!$B$23&lt;J111,بيانات_العملاء4[[#This Row],[مطابقة اسم العميل بالاسم بالسجل التجارى]]="مطابق"), "سارى", "يجب اعادة طلبه")</f>
        <v>سارى</v>
      </c>
      <c r="M111" s="28" t="s">
        <v>54</v>
      </c>
      <c r="N111" s="13" t="str" cm="1">
        <f t="array" aca="1" ref="N111" ca="1">INDEX('SAP Customer Data '!A:Z,MATCH(بيانات_العملاء4[[#This Row],[رمز شريك الأعمال]],'SAP Customer Data '!B:B,0),CELL("col",Table_Customer_Data[[#Headers],[LicTradNum]]))</f>
        <v>300101621700003</v>
      </c>
      <c r="O11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1" s="26" t="s">
        <v>54</v>
      </c>
      <c r="Q111" s="9">
        <v>44966</v>
      </c>
      <c r="R11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1" s="26" t="s">
        <v>54</v>
      </c>
      <c r="T111" s="10">
        <v>20000</v>
      </c>
      <c r="U111" s="11">
        <v>44958</v>
      </c>
      <c r="V111" s="20">
        <f>IF(بيانات_العملاء4[[#This Row],[تاريخ انشاء سند الامر او الاستثناء]]="","",بيانات_العملاء4[[#This Row],[تاريخ انشاء سند الامر او الاستثناء]]+365*3)</f>
        <v>46053</v>
      </c>
      <c r="W11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111" s="18" cm="1">
        <f t="array" aca="1" ref="X111" ca="1">INDEX('SAP Customer Data '!$A:$AC,MATCH(بيانات_العملاء4[[#This Row],[رمز شريك الأعمال]],'SAP Customer Data '!$B:$B,0),CELL("col",Table_Customer_Data[[#Headers],[CreditLine]]))</f>
        <v>15000</v>
      </c>
      <c r="Y11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11" s="26" t="s">
        <v>55</v>
      </c>
      <c r="AA11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11" s="26" t="s">
        <v>54</v>
      </c>
      <c r="AC111" s="16">
        <v>48248</v>
      </c>
      <c r="AD11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11" s="26" t="s">
        <v>54</v>
      </c>
      <c r="AF111" s="16">
        <v>48248</v>
      </c>
      <c r="AG11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11" s="26" t="s">
        <v>56</v>
      </c>
      <c r="AI111" s="6"/>
      <c r="AJ11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1" s="26" t="s">
        <v>56</v>
      </c>
      <c r="AL111" s="9"/>
      <c r="AM11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1" s="26" t="s">
        <v>54</v>
      </c>
      <c r="AO111" s="11">
        <v>45138</v>
      </c>
      <c r="AP11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1" s="26" t="s">
        <v>54</v>
      </c>
      <c r="AR111" s="6">
        <v>45138</v>
      </c>
      <c r="AS11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1" s="22" cm="1">
        <f t="array" aca="1" ref="AT111" ca="1">INDEX('SAP Customer Data '!A:Z,MATCH(بيانات_العملاء4[[#This Row],[رمز شريك الأعمال]],'SAP Customer Data '!B:B,0),CELL("col",Table_Customer_Data[[#Headers],[CreateDate]]))</f>
        <v>44963</v>
      </c>
      <c r="AU111" s="30"/>
      <c r="AV111" s="11"/>
      <c r="AW111" s="6" t="s">
        <v>846</v>
      </c>
      <c r="AX111" s="6"/>
    </row>
    <row r="112" spans="1:50" x14ac:dyDescent="0.25">
      <c r="A112" s="17" t="str" cm="1">
        <f t="array" aca="1" ref="A112" ca="1">INDEX('SAP Customer Data '!$A:$AC,MATCH(بيانات_العملاء4[[#This Row],[رمز شريك الأعمال]],'SAP Customer Data '!$B:$B,0),CELL("col",Table_Customer_Data[[#Headers],[GroupName]]))</f>
        <v>CS01</v>
      </c>
      <c r="B112" s="8" t="s">
        <v>228</v>
      </c>
      <c r="C112" s="18" t="str" cm="1">
        <f t="array" aca="1" ref="C112" ca="1">INDEX('SAP Customer Data '!$A:$AC,MATCH(بيانات_العملاء4[[#This Row],[رمز شريك الأعمال]],'SAP Customer Data '!$B:$B,0),CELL("col",Table_Customer_Data[[#Headers],[CardName]]))</f>
        <v>مؤسسة تراث الانارة للادوات الكهربائية- نقدي</v>
      </c>
      <c r="D112" s="26" t="str">
        <f ca="1">IF(بيانات_العملاء4[[#This Row],[حد الائتمان على SAP]]&gt;0,"آجل","نقدى")</f>
        <v>نقدى</v>
      </c>
      <c r="E112" s="6" t="s">
        <v>681</v>
      </c>
      <c r="F112" s="26" t="s">
        <v>385</v>
      </c>
      <c r="G112" s="26" t="s">
        <v>56</v>
      </c>
      <c r="H112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2" s="26" t="s">
        <v>54</v>
      </c>
      <c r="J112" s="9">
        <v>44803</v>
      </c>
      <c r="K112" s="27" t="s">
        <v>55</v>
      </c>
      <c r="L112" s="19" t="str">
        <f ca="1">IF(AND(بيانات_العملاء4[[#This Row],[السجل التجارى]]="موجود",TODAY()+'Other Data'!$B$23&lt;J112,بيانات_العملاء4[[#This Row],[مطابقة اسم العميل بالاسم بالسجل التجارى]]="مطابق"), "سارى", "يجب اعادة طلبه")</f>
        <v>يجب اعادة طلبه</v>
      </c>
      <c r="M112" s="28" t="s">
        <v>54</v>
      </c>
      <c r="N112" s="13" t="str" cm="1">
        <f t="array" aca="1" ref="N112" ca="1">INDEX('SAP Customer Data '!A:Z,MATCH(بيانات_العملاء4[[#This Row],[رمز شريك الأعمال]],'SAP Customer Data '!B:B,0),CELL("col",Table_Customer_Data[[#Headers],[LicTradNum]]))</f>
        <v>300051621100003</v>
      </c>
      <c r="O11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2" s="26" t="s">
        <v>56</v>
      </c>
      <c r="Q112" s="9"/>
      <c r="R11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2" s="26" t="s">
        <v>56</v>
      </c>
      <c r="T112" s="10"/>
      <c r="U112" s="11"/>
      <c r="V11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2" s="18" cm="1">
        <f t="array" aca="1" ref="X112" ca="1">INDEX('SAP Customer Data '!$A:$AC,MATCH(بيانات_العملاء4[[#This Row],[رمز شريك الأعمال]],'SAP Customer Data '!$B:$B,0),CELL("col",Table_Customer_Data[[#Headers],[CreditLine]]))</f>
        <v>0</v>
      </c>
      <c r="Y11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2" s="26"/>
      <c r="AA11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12" s="26" t="s">
        <v>56</v>
      </c>
      <c r="AC112" s="16"/>
      <c r="AD11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2" s="26" t="s">
        <v>56</v>
      </c>
      <c r="AF112" s="16"/>
      <c r="AG11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2" s="26" t="s">
        <v>56</v>
      </c>
      <c r="AI112" s="6"/>
      <c r="AJ11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2" s="26" t="s">
        <v>56</v>
      </c>
      <c r="AL112" s="9"/>
      <c r="AM11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2" s="26" t="s">
        <v>56</v>
      </c>
      <c r="AO112" s="11"/>
      <c r="AP11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2" s="26" t="s">
        <v>56</v>
      </c>
      <c r="AR112" s="6"/>
      <c r="AS11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2" s="22" cm="1">
        <f t="array" aca="1" ref="AT112" ca="1">INDEX('SAP Customer Data '!A:Z,MATCH(بيانات_العملاء4[[#This Row],[رمز شريك الأعمال]],'SAP Customer Data '!B:B,0),CELL("col",Table_Customer_Data[[#Headers],[CreateDate]]))</f>
        <v>44573</v>
      </c>
      <c r="AU112" s="30"/>
      <c r="AV112" s="11"/>
      <c r="AW112" s="6" t="s">
        <v>846</v>
      </c>
      <c r="AX112" s="6"/>
    </row>
    <row r="113" spans="1:50" x14ac:dyDescent="0.25">
      <c r="A113" s="17" t="str" cm="1">
        <f t="array" aca="1" ref="A113" ca="1">INDEX('SAP Customer Data '!$A:$AC,MATCH(بيانات_العملاء4[[#This Row],[رمز شريك الأعمال]],'SAP Customer Data '!$B:$B,0),CELL("col",Table_Customer_Data[[#Headers],[GroupName]]))</f>
        <v>CS01</v>
      </c>
      <c r="B113" s="8" t="s">
        <v>230</v>
      </c>
      <c r="C113" s="18" t="str" cm="1">
        <f t="array" aca="1" ref="C113" ca="1">INDEX('SAP Customer Data '!$A:$AC,MATCH(بيانات_العملاء4[[#This Row],[رمز شريك الأعمال]],'SAP Customer Data '!$B:$B,0),CELL("col",Table_Customer_Data[[#Headers],[CardName]]))</f>
        <v>شركة حسن عبدالله المهناء للتجارة</v>
      </c>
      <c r="D113" s="26" t="str">
        <f ca="1">IF(بيانات_العملاء4[[#This Row],[حد الائتمان على SAP]]&gt;0,"آجل","نقدى")</f>
        <v>آجل</v>
      </c>
      <c r="E113" s="6"/>
      <c r="F113" s="26" t="s">
        <v>683</v>
      </c>
      <c r="G113" s="26" t="s">
        <v>54</v>
      </c>
      <c r="H11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3" s="26" t="s">
        <v>54</v>
      </c>
      <c r="J113" s="9">
        <v>45257</v>
      </c>
      <c r="K113" s="27" t="s">
        <v>55</v>
      </c>
      <c r="L113" s="19" t="str">
        <f ca="1">IF(AND(بيانات_العملاء4[[#This Row],[السجل التجارى]]="موجود",TODAY()+'Other Data'!$B$23&lt;J113,بيانات_العملاء4[[#This Row],[مطابقة اسم العميل بالاسم بالسجل التجارى]]="مطابق"), "سارى", "يجب اعادة طلبه")</f>
        <v>سارى</v>
      </c>
      <c r="M113" s="28" t="s">
        <v>54</v>
      </c>
      <c r="N113" s="13" t="str" cm="1">
        <f t="array" aca="1" ref="N113" ca="1">INDEX('SAP Customer Data '!A:Z,MATCH(بيانات_العملاء4[[#This Row],[رمز شريك الأعمال]],'SAP Customer Data '!B:B,0),CELL("col",Table_Customer_Data[[#Headers],[LicTradNum]]))</f>
        <v>311221420300003</v>
      </c>
      <c r="O11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3" s="26" t="s">
        <v>56</v>
      </c>
      <c r="Q113" s="9"/>
      <c r="R11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3" s="26" t="s">
        <v>54</v>
      </c>
      <c r="T113" s="10">
        <v>10000</v>
      </c>
      <c r="U113" s="11">
        <v>44587</v>
      </c>
      <c r="V113" s="20">
        <f>IF(بيانات_العملاء4[[#This Row],[تاريخ انشاء سند الامر او الاستثناء]]="","",بيانات_العملاء4[[#This Row],[تاريخ انشاء سند الامر او الاستثناء]]+365*3)</f>
        <v>45682</v>
      </c>
      <c r="W11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</v>
      </c>
      <c r="X113" s="18" cm="1">
        <f t="array" aca="1" ref="X113" ca="1">INDEX('SAP Customer Data '!$A:$AC,MATCH(بيانات_العملاء4[[#This Row],[رمز شريك الأعمال]],'SAP Customer Data '!$B:$B,0),CELL("col",Table_Customer_Data[[#Headers],[CreditLine]]))</f>
        <v>20000</v>
      </c>
      <c r="Y11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13" s="26" t="s">
        <v>57</v>
      </c>
      <c r="AA11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13" s="26" t="s">
        <v>56</v>
      </c>
      <c r="AC113" s="16"/>
      <c r="AD11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3" s="26" t="s">
        <v>54</v>
      </c>
      <c r="AF113" s="16">
        <v>51433</v>
      </c>
      <c r="AG11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13" s="26" t="s">
        <v>54</v>
      </c>
      <c r="AI113" s="6">
        <v>45908</v>
      </c>
      <c r="AJ11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13" s="26" t="s">
        <v>54</v>
      </c>
      <c r="AL113" s="9"/>
      <c r="AM11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3" s="26" t="s">
        <v>54</v>
      </c>
      <c r="AO113" s="11">
        <v>44602</v>
      </c>
      <c r="AP11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3" s="26" t="s">
        <v>56</v>
      </c>
      <c r="AR113" s="6"/>
      <c r="AS11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3" s="22" cm="1">
        <f t="array" aca="1" ref="AT113" ca="1">INDEX('SAP Customer Data '!A:Z,MATCH(بيانات_العملاء4[[#This Row],[رمز شريك الأعمال]],'SAP Customer Data '!B:B,0),CELL("col",Table_Customer_Data[[#Headers],[CreateDate]]))</f>
        <v>44689</v>
      </c>
      <c r="AU113" s="30"/>
      <c r="AV113" s="11" t="s">
        <v>682</v>
      </c>
      <c r="AW113" s="6" t="s">
        <v>846</v>
      </c>
      <c r="AX113" s="6"/>
    </row>
    <row r="114" spans="1:50" x14ac:dyDescent="0.25">
      <c r="A114" s="17" t="str" cm="1">
        <f t="array" aca="1" ref="A114" ca="1">INDEX('SAP Customer Data '!$A:$AC,MATCH(بيانات_العملاء4[[#This Row],[رمز شريك الأعمال]],'SAP Customer Data '!$B:$B,0),CELL("col",Table_Customer_Data[[#Headers],[GroupName]]))</f>
        <v>CS01</v>
      </c>
      <c r="B114" s="8" t="s">
        <v>232</v>
      </c>
      <c r="C114" s="18" t="str" cm="1">
        <f t="array" aca="1" ref="C114" ca="1">INDEX('SAP Customer Data '!$A:$AC,MATCH(بيانات_العملاء4[[#This Row],[رمز شريك الأعمال]],'SAP Customer Data '!$B:$B,0),CELL("col",Table_Customer_Data[[#Headers],[CardName]]))</f>
        <v>شركة سلطان سليمان السلطان وشركاه - نقدي</v>
      </c>
      <c r="D114" s="26" t="str">
        <f ca="1">IF(بيانات_العملاء4[[#This Row],[حد الائتمان على SAP]]&gt;0,"آجل","نقدى")</f>
        <v>نقدى</v>
      </c>
      <c r="E114" s="6"/>
      <c r="F114" s="26" t="s">
        <v>370</v>
      </c>
      <c r="G114" s="26" t="s">
        <v>56</v>
      </c>
      <c r="H11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4" s="26" t="s">
        <v>54</v>
      </c>
      <c r="J114" s="9">
        <v>44829</v>
      </c>
      <c r="K114" s="27" t="s">
        <v>55</v>
      </c>
      <c r="L114" s="19" t="str">
        <f ca="1">IF(AND(بيانات_العملاء4[[#This Row],[السجل التجارى]]="موجود",TODAY()+'Other Data'!$B$23&lt;J114,بيانات_العملاء4[[#This Row],[مطابقة اسم العميل بالاسم بالسجل التجارى]]="مطابق"), "سارى", "يجب اعادة طلبه")</f>
        <v>يجب اعادة طلبه</v>
      </c>
      <c r="M114" s="28" t="s">
        <v>54</v>
      </c>
      <c r="N114" s="13" t="str" cm="1">
        <f t="array" aca="1" ref="N114" ca="1">INDEX('SAP Customer Data '!A:Z,MATCH(بيانات_العملاء4[[#This Row],[رمز شريك الأعمال]],'SAP Customer Data '!B:B,0),CELL("col",Table_Customer_Data[[#Headers],[LicTradNum]]))</f>
        <v>300538203200003</v>
      </c>
      <c r="O11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4" s="26" t="s">
        <v>56</v>
      </c>
      <c r="Q114" s="9"/>
      <c r="R11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4" s="26" t="s">
        <v>56</v>
      </c>
      <c r="T114" s="10"/>
      <c r="U114" s="11"/>
      <c r="V11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4" s="18" cm="1">
        <f t="array" aca="1" ref="X114" ca="1">INDEX('SAP Customer Data '!$A:$AC,MATCH(بيانات_العملاء4[[#This Row],[رمز شريك الأعمال]],'SAP Customer Data '!$B:$B,0),CELL("col",Table_Customer_Data[[#Headers],[CreditLine]]))</f>
        <v>0</v>
      </c>
      <c r="Y11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4" s="26"/>
      <c r="AA11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14" s="26" t="s">
        <v>56</v>
      </c>
      <c r="AC114" s="16"/>
      <c r="AD11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4" s="26" t="s">
        <v>56</v>
      </c>
      <c r="AF114" s="16"/>
      <c r="AG11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4" s="26" t="s">
        <v>56</v>
      </c>
      <c r="AI114" s="6"/>
      <c r="AJ11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4" s="26" t="s">
        <v>56</v>
      </c>
      <c r="AL114" s="9"/>
      <c r="AM11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4" s="26" t="s">
        <v>54</v>
      </c>
      <c r="AO114" s="11"/>
      <c r="AP11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4" s="26" t="s">
        <v>56</v>
      </c>
      <c r="AR114" s="6"/>
      <c r="AS11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4" s="22" cm="1">
        <f t="array" aca="1" ref="AT114" ca="1">INDEX('SAP Customer Data '!A:Z,MATCH(بيانات_العملاء4[[#This Row],[رمز شريك الأعمال]],'SAP Customer Data '!B:B,0),CELL("col",Table_Customer_Data[[#Headers],[CreateDate]]))</f>
        <v>44690</v>
      </c>
      <c r="AU114" s="30"/>
      <c r="AV114" s="11"/>
      <c r="AW114" s="6" t="s">
        <v>846</v>
      </c>
      <c r="AX114" s="6"/>
    </row>
    <row r="115" spans="1:50" x14ac:dyDescent="0.25">
      <c r="A115" s="17" t="str" cm="1">
        <f t="array" aca="1" ref="A115" ca="1">INDEX('SAP Customer Data '!$A:$AC,MATCH(بيانات_العملاء4[[#This Row],[رمز شريك الأعمال]],'SAP Customer Data '!$B:$B,0),CELL("col",Table_Customer_Data[[#Headers],[GroupName]]))</f>
        <v>CS01</v>
      </c>
      <c r="B115" s="8" t="s">
        <v>234</v>
      </c>
      <c r="C115" s="18" t="str" cm="1">
        <f t="array" aca="1" ref="C115" ca="1">INDEX('SAP Customer Data '!$A:$AC,MATCH(بيانات_العملاء4[[#This Row],[رمز شريك الأعمال]],'SAP Customer Data '!$B:$B,0),CELL("col",Table_Customer_Data[[#Headers],[CardName]]))</f>
        <v>مؤسسة اسرار البناء للادوات الصحية- نقدي</v>
      </c>
      <c r="D115" s="26" t="str">
        <f ca="1">IF(بيانات_العملاء4[[#This Row],[حد الائتمان على SAP]]&gt;0,"آجل","نقدى")</f>
        <v>نقدى</v>
      </c>
      <c r="E115" s="6" t="s">
        <v>684</v>
      </c>
      <c r="F115" s="26" t="s">
        <v>385</v>
      </c>
      <c r="G115" s="26" t="s">
        <v>56</v>
      </c>
      <c r="H115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5" s="26" t="s">
        <v>54</v>
      </c>
      <c r="J115" s="9">
        <v>44997</v>
      </c>
      <c r="K115" s="27" t="s">
        <v>55</v>
      </c>
      <c r="L115" s="19" t="str">
        <f ca="1">IF(AND(بيانات_العملاء4[[#This Row],[السجل التجارى]]="موجود",TODAY()+'Other Data'!$B$23&lt;J115,بيانات_العملاء4[[#This Row],[مطابقة اسم العميل بالاسم بالسجل التجارى]]="مطابق"), "سارى", "يجب اعادة طلبه")</f>
        <v>يجب اعادة طلبه</v>
      </c>
      <c r="M115" s="28" t="s">
        <v>54</v>
      </c>
      <c r="N115" s="13" t="str" cm="1">
        <f t="array" aca="1" ref="N115" ca="1">INDEX('SAP Customer Data '!A:Z,MATCH(بيانات_العملاء4[[#This Row],[رمز شريك الأعمال]],'SAP Customer Data '!B:B,0),CELL("col",Table_Customer_Data[[#Headers],[LicTradNum]]))</f>
        <v>310767524100003</v>
      </c>
      <c r="O11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5" s="26" t="s">
        <v>56</v>
      </c>
      <c r="Q115" s="9"/>
      <c r="R11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5" s="26" t="s">
        <v>56</v>
      </c>
      <c r="T115" s="10"/>
      <c r="U115" s="11"/>
      <c r="V115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5" s="18" cm="1">
        <f t="array" aca="1" ref="X115" ca="1">INDEX('SAP Customer Data '!$A:$AC,MATCH(بيانات_العملاء4[[#This Row],[رمز شريك الأعمال]],'SAP Customer Data '!$B:$B,0),CELL("col",Table_Customer_Data[[#Headers],[CreditLine]]))</f>
        <v>0</v>
      </c>
      <c r="Y11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5" s="26"/>
      <c r="AA11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15" s="26" t="s">
        <v>56</v>
      </c>
      <c r="AC115" s="16"/>
      <c r="AD11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5" s="26" t="s">
        <v>56</v>
      </c>
      <c r="AF115" s="16"/>
      <c r="AG11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5" s="26" t="s">
        <v>56</v>
      </c>
      <c r="AI115" s="6"/>
      <c r="AJ11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5" s="26" t="s">
        <v>56</v>
      </c>
      <c r="AL115" s="9"/>
      <c r="AM11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5" s="26" t="s">
        <v>56</v>
      </c>
      <c r="AO115" s="11"/>
      <c r="AP11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5" s="26" t="s">
        <v>56</v>
      </c>
      <c r="AR115" s="6"/>
      <c r="AS11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5" s="22" cm="1">
        <f t="array" aca="1" ref="AT115" ca="1">INDEX('SAP Customer Data '!A:Z,MATCH(بيانات_العملاء4[[#This Row],[رمز شريك الأعمال]],'SAP Customer Data '!B:B,0),CELL("col",Table_Customer_Data[[#Headers],[CreateDate]]))</f>
        <v>44696</v>
      </c>
      <c r="AU115" s="30"/>
      <c r="AV115" s="11"/>
      <c r="AW115" s="6" t="s">
        <v>846</v>
      </c>
      <c r="AX115" s="6"/>
    </row>
    <row r="116" spans="1:50" x14ac:dyDescent="0.25">
      <c r="A116" s="17" t="str" cm="1">
        <f t="array" aca="1" ref="A116" ca="1">INDEX('SAP Customer Data '!$A:$AC,MATCH(بيانات_العملاء4[[#This Row],[رمز شريك الأعمال]],'SAP Customer Data '!$B:$B,0),CELL("col",Table_Customer_Data[[#Headers],[GroupName]]))</f>
        <v>CS01</v>
      </c>
      <c r="B116" s="8" t="s">
        <v>236</v>
      </c>
      <c r="C116" s="18" t="str" cm="1">
        <f t="array" aca="1" ref="C116" ca="1">INDEX('SAP Customer Data '!$A:$AC,MATCH(بيانات_العملاء4[[#This Row],[رمز شريك الأعمال]],'SAP Customer Data '!$B:$B,0),CELL("col",Table_Customer_Data[[#Headers],[CardName]]))</f>
        <v>مؤسسة صالح عبدالرحمن التركي للمقاولات- نقدي</v>
      </c>
      <c r="D116" s="26" t="str">
        <f ca="1">IF(بيانات_العملاء4[[#This Row],[حد الائتمان على SAP]]&gt;0,"آجل","نقدى")</f>
        <v>نقدى</v>
      </c>
      <c r="E116" s="6" t="s">
        <v>685</v>
      </c>
      <c r="F116" s="26" t="s">
        <v>385</v>
      </c>
      <c r="G116" s="26" t="s">
        <v>56</v>
      </c>
      <c r="H116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6" s="26" t="s">
        <v>54</v>
      </c>
      <c r="J116" s="9">
        <v>45846</v>
      </c>
      <c r="K116" s="27" t="s">
        <v>55</v>
      </c>
      <c r="L116" s="19" t="str">
        <f ca="1">IF(AND(بيانات_العملاء4[[#This Row],[السجل التجارى]]="موجود",TODAY()+'Other Data'!$B$23&lt;J116,بيانات_العملاء4[[#This Row],[مطابقة اسم العميل بالاسم بالسجل التجارى]]="مطابق"), "سارى", "يجب اعادة طلبه")</f>
        <v>سارى</v>
      </c>
      <c r="M116" s="28" t="s">
        <v>54</v>
      </c>
      <c r="N116" s="13" t="str" cm="1">
        <f t="array" aca="1" ref="N116" ca="1">INDEX('SAP Customer Data '!A:Z,MATCH(بيانات_العملاء4[[#This Row],[رمز شريك الأعمال]],'SAP Customer Data '!B:B,0),CELL("col",Table_Customer_Data[[#Headers],[LicTradNum]]))</f>
        <v>300442786200003</v>
      </c>
      <c r="O11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6" s="26" t="s">
        <v>56</v>
      </c>
      <c r="Q116" s="9"/>
      <c r="R11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6" s="26" t="s">
        <v>56</v>
      </c>
      <c r="T116" s="10"/>
      <c r="U116" s="11"/>
      <c r="V116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6" s="18" cm="1">
        <f t="array" aca="1" ref="X116" ca="1">INDEX('SAP Customer Data '!$A:$AC,MATCH(بيانات_العملاء4[[#This Row],[رمز شريك الأعمال]],'SAP Customer Data '!$B:$B,0),CELL("col",Table_Customer_Data[[#Headers],[CreditLine]]))</f>
        <v>0</v>
      </c>
      <c r="Y11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6" s="26"/>
      <c r="AA11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16" s="26" t="s">
        <v>56</v>
      </c>
      <c r="AC116" s="16"/>
      <c r="AD11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6" s="26" t="s">
        <v>56</v>
      </c>
      <c r="AF116" s="16"/>
      <c r="AG11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6" s="26" t="s">
        <v>56</v>
      </c>
      <c r="AI116" s="6"/>
      <c r="AJ11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6" s="26" t="s">
        <v>56</v>
      </c>
      <c r="AL116" s="9"/>
      <c r="AM11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6" s="26" t="s">
        <v>56</v>
      </c>
      <c r="AO116" s="11"/>
      <c r="AP11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6" s="26" t="s">
        <v>56</v>
      </c>
      <c r="AR116" s="6"/>
      <c r="AS11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6" s="22" cm="1">
        <f t="array" aca="1" ref="AT116" ca="1">INDEX('SAP Customer Data '!A:Z,MATCH(بيانات_العملاء4[[#This Row],[رمز شريك الأعمال]],'SAP Customer Data '!B:B,0),CELL("col",Table_Customer_Data[[#Headers],[CreateDate]]))</f>
        <v>44699</v>
      </c>
      <c r="AU116" s="30"/>
      <c r="AV116" s="11"/>
      <c r="AW116" s="6" t="s">
        <v>846</v>
      </c>
      <c r="AX116" s="6"/>
    </row>
    <row r="117" spans="1:50" x14ac:dyDescent="0.25">
      <c r="A117" s="17" t="str" cm="1">
        <f t="array" aca="1" ref="A117" ca="1">INDEX('SAP Customer Data '!$A:$AC,MATCH(بيانات_العملاء4[[#This Row],[رمز شريك الأعمال]],'SAP Customer Data '!$B:$B,0),CELL("col",Table_Customer_Data[[#Headers],[GroupName]]))</f>
        <v>CS01</v>
      </c>
      <c r="B117" s="8" t="s">
        <v>238</v>
      </c>
      <c r="C117" s="18" t="str" cm="1">
        <f t="array" aca="1" ref="C117" ca="1">INDEX('SAP Customer Data '!$A:$AC,MATCH(بيانات_العملاء4[[#This Row],[رمز شريك الأعمال]],'SAP Customer Data '!$B:$B,0),CELL("col",Table_Customer_Data[[#Headers],[CardName]]))</f>
        <v>مؤسسة مملكة الانوار للتجارة</v>
      </c>
      <c r="D117" s="26" t="str">
        <f ca="1">IF(بيانات_العملاء4[[#This Row],[حد الائتمان على SAP]]&gt;0,"آجل","نقدى")</f>
        <v>آجل</v>
      </c>
      <c r="E117" s="6" t="s">
        <v>686</v>
      </c>
      <c r="F117" s="26" t="s">
        <v>385</v>
      </c>
      <c r="G117" s="26" t="s">
        <v>54</v>
      </c>
      <c r="H11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7" s="26" t="s">
        <v>54</v>
      </c>
      <c r="J117" s="9">
        <v>45046</v>
      </c>
      <c r="K117" s="27" t="s">
        <v>55</v>
      </c>
      <c r="L117" s="19" t="str">
        <f ca="1">IF(AND(بيانات_العملاء4[[#This Row],[السجل التجارى]]="موجود",TODAY()+'Other Data'!$B$23&lt;J117,بيانات_العملاء4[[#This Row],[مطابقة اسم العميل بالاسم بالسجل التجارى]]="مطابق"), "سارى", "يجب اعادة طلبه")</f>
        <v>يجب اعادة طلبه</v>
      </c>
      <c r="M117" s="28" t="s">
        <v>54</v>
      </c>
      <c r="N117" s="13" t="str" cm="1">
        <f t="array" aca="1" ref="N117" ca="1">INDEX('SAP Customer Data '!A:Z,MATCH(بيانات_العملاء4[[#This Row],[رمز شريك الأعمال]],'SAP Customer Data '!B:B,0),CELL("col",Table_Customer_Data[[#Headers],[LicTradNum]]))</f>
        <v>301003771500003</v>
      </c>
      <c r="O11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7" s="26" t="s">
        <v>54</v>
      </c>
      <c r="Q117" s="9">
        <v>45606</v>
      </c>
      <c r="R11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17" s="26" t="s">
        <v>369</v>
      </c>
      <c r="T117" s="10">
        <v>30000</v>
      </c>
      <c r="U117" s="11">
        <v>43701</v>
      </c>
      <c r="V117" s="20">
        <f>IF(بيانات_العملاء4[[#This Row],[تاريخ انشاء سند الامر او الاستثناء]]="","",بيانات_العملاء4[[#This Row],[تاريخ انشاء سند الامر او الاستثناء]]+365*3)</f>
        <v>44796</v>
      </c>
      <c r="W11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30000</v>
      </c>
      <c r="X117" s="18" cm="1">
        <f t="array" aca="1" ref="X117" ca="1">INDEX('SAP Customer Data '!$A:$AC,MATCH(بيانات_العملاء4[[#This Row],[رمز شريك الأعمال]],'SAP Customer Data '!$B:$B,0),CELL("col",Table_Customer_Data[[#Headers],[CreditLine]]))</f>
        <v>30000</v>
      </c>
      <c r="Y11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7" s="26" t="s">
        <v>55</v>
      </c>
      <c r="AA11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17" s="26" t="s">
        <v>54</v>
      </c>
      <c r="AC117" s="16">
        <v>44092</v>
      </c>
      <c r="AD11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7" s="26" t="s">
        <v>56</v>
      </c>
      <c r="AF117" s="16"/>
      <c r="AG11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7" s="26" t="s">
        <v>56</v>
      </c>
      <c r="AI117" s="6"/>
      <c r="AJ11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7" s="26" t="s">
        <v>56</v>
      </c>
      <c r="AL117" s="9"/>
      <c r="AM11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7" s="26" t="s">
        <v>54</v>
      </c>
      <c r="AO117" s="11"/>
      <c r="AP11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7" s="26" t="s">
        <v>56</v>
      </c>
      <c r="AR117" s="6"/>
      <c r="AS11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7" s="22" cm="1">
        <f t="array" aca="1" ref="AT117" ca="1">INDEX('SAP Customer Data '!A:Z,MATCH(بيانات_العملاء4[[#This Row],[رمز شريك الأعمال]],'SAP Customer Data '!B:B,0),CELL("col",Table_Customer_Data[[#Headers],[CreateDate]]))</f>
        <v>44721</v>
      </c>
      <c r="AU117" s="30"/>
      <c r="AV117" s="11"/>
      <c r="AW117" s="6" t="s">
        <v>846</v>
      </c>
      <c r="AX117" s="6"/>
    </row>
    <row r="118" spans="1:50" x14ac:dyDescent="0.25">
      <c r="A118" s="17" t="str" cm="1">
        <f t="array" aca="1" ref="A118" ca="1">INDEX('SAP Customer Data '!$A:$AC,MATCH(بيانات_العملاء4[[#This Row],[رمز شريك الأعمال]],'SAP Customer Data '!$B:$B,0),CELL("col",Table_Customer_Data[[#Headers],[GroupName]]))</f>
        <v>CS01</v>
      </c>
      <c r="B118" s="8" t="s">
        <v>240</v>
      </c>
      <c r="C118" s="18" t="str" cm="1">
        <f t="array" aca="1" ref="C118" ca="1">INDEX('SAP Customer Data '!$A:$AC,MATCH(بيانات_العملاء4[[#This Row],[رمز شريك الأعمال]],'SAP Customer Data '!$B:$B,0),CELL("col",Table_Customer_Data[[#Headers],[CardName]]))</f>
        <v>مؤسسة محمد صالح الثويني التجارية</v>
      </c>
      <c r="D118" s="26" t="str">
        <f ca="1">IF(بيانات_العملاء4[[#This Row],[حد الائتمان على SAP]]&gt;0,"آجل","نقدى")</f>
        <v>آجل</v>
      </c>
      <c r="E118" s="6" t="s">
        <v>687</v>
      </c>
      <c r="F118" s="26" t="s">
        <v>385</v>
      </c>
      <c r="G118" s="26" t="s">
        <v>62</v>
      </c>
      <c r="H118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8" s="26" t="s">
        <v>54</v>
      </c>
      <c r="J118" s="9">
        <v>44944</v>
      </c>
      <c r="K118" s="27" t="s">
        <v>55</v>
      </c>
      <c r="L118" s="19" t="str">
        <f ca="1">IF(AND(بيانات_العملاء4[[#This Row],[السجل التجارى]]="موجود",TODAY()+'Other Data'!$B$23&lt;J118,بيانات_العملاء4[[#This Row],[مطابقة اسم العميل بالاسم بالسجل التجارى]]="مطابق"), "سارى", "يجب اعادة طلبه")</f>
        <v>يجب اعادة طلبه</v>
      </c>
      <c r="M118" s="28" t="s">
        <v>54</v>
      </c>
      <c r="N118" s="13" t="str" cm="1">
        <f t="array" aca="1" ref="N118" ca="1">INDEX('SAP Customer Data '!A:Z,MATCH(بيانات_العملاء4[[#This Row],[رمز شريك الأعمال]],'SAP Customer Data '!B:B,0),CELL("col",Table_Customer_Data[[#Headers],[LicTradNum]]))</f>
        <v>300422761700003</v>
      </c>
      <c r="O11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8" s="26" t="s">
        <v>54</v>
      </c>
      <c r="Q118" s="9">
        <v>45337</v>
      </c>
      <c r="R11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18" s="26" t="s">
        <v>369</v>
      </c>
      <c r="T118" s="10"/>
      <c r="U118" s="11"/>
      <c r="V11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8" s="18" cm="1">
        <f t="array" aca="1" ref="X118" ca="1">INDEX('SAP Customer Data '!$A:$AC,MATCH(بيانات_العملاء4[[#This Row],[رمز شريك الأعمال]],'SAP Customer Data '!$B:$B,0),CELL("col",Table_Customer_Data[[#Headers],[CreditLine]]))</f>
        <v>35000</v>
      </c>
      <c r="Y11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118" s="26"/>
      <c r="AA11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18" s="26"/>
      <c r="AC118" s="16"/>
      <c r="AD11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8" s="26"/>
      <c r="AF118" s="16"/>
      <c r="AG11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8" s="26"/>
      <c r="AI118" s="6"/>
      <c r="AJ11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8" s="26"/>
      <c r="AL118" s="9"/>
      <c r="AM11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8" s="26"/>
      <c r="AO118" s="11"/>
      <c r="AP11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8" s="26"/>
      <c r="AR118" s="6"/>
      <c r="AS11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8" s="22" cm="1">
        <f t="array" aca="1" ref="AT118" ca="1">INDEX('SAP Customer Data '!A:Z,MATCH(بيانات_العملاء4[[#This Row],[رمز شريك الأعمال]],'SAP Customer Data '!B:B,0),CELL("col",Table_Customer_Data[[#Headers],[CreateDate]]))</f>
        <v>44756</v>
      </c>
      <c r="AU118" s="30"/>
      <c r="AV118" s="11"/>
      <c r="AW118" s="6" t="s">
        <v>846</v>
      </c>
      <c r="AX118" s="6"/>
    </row>
    <row r="119" spans="1:50" x14ac:dyDescent="0.25">
      <c r="A119" s="17" t="str" cm="1">
        <f t="array" aca="1" ref="A119" ca="1">INDEX('SAP Customer Data '!$A:$AC,MATCH(بيانات_العملاء4[[#This Row],[رمز شريك الأعمال]],'SAP Customer Data '!$B:$B,0),CELL("col",Table_Customer_Data[[#Headers],[GroupName]]))</f>
        <v>CS01</v>
      </c>
      <c r="B119" s="8" t="s">
        <v>242</v>
      </c>
      <c r="C119" s="18" t="str" cm="1">
        <f t="array" aca="1" ref="C119" ca="1">INDEX('SAP Customer Data '!$A:$AC,MATCH(بيانات_العملاء4[[#This Row],[رمز شريك الأعمال]],'SAP Customer Data '!$B:$B,0),CELL("col",Table_Customer_Data[[#Headers],[CardName]]))</f>
        <v>مؤسسة حسن عجلان العجلان التجارية</v>
      </c>
      <c r="D119" s="26" t="str">
        <f ca="1">IF(بيانات_العملاء4[[#This Row],[حد الائتمان على SAP]]&gt;0,"آجل","نقدى")</f>
        <v>آجل</v>
      </c>
      <c r="E119" s="6" t="s">
        <v>827</v>
      </c>
      <c r="F119" s="26" t="s">
        <v>385</v>
      </c>
      <c r="G119" s="26" t="s">
        <v>54</v>
      </c>
      <c r="H11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9" s="26" t="s">
        <v>54</v>
      </c>
      <c r="J119" s="9">
        <v>44796</v>
      </c>
      <c r="K119" s="27" t="s">
        <v>55</v>
      </c>
      <c r="L119" s="19" t="str">
        <f ca="1">IF(AND(بيانات_العملاء4[[#This Row],[السجل التجارى]]="موجود",TODAY()+'Other Data'!$B$23&lt;J119,بيانات_العملاء4[[#This Row],[مطابقة اسم العميل بالاسم بالسجل التجارى]]="مطابق"), "سارى", "يجب اعادة طلبه")</f>
        <v>يجب اعادة طلبه</v>
      </c>
      <c r="M119" s="28" t="s">
        <v>54</v>
      </c>
      <c r="N119" s="13" t="str" cm="1">
        <f t="array" aca="1" ref="N119" ca="1">INDEX('SAP Customer Data '!A:Z,MATCH(بيانات_العملاء4[[#This Row],[رمز شريك الأعمال]],'SAP Customer Data '!B:B,0),CELL("col",Table_Customer_Data[[#Headers],[LicTradNum]]))</f>
        <v>301065568900003</v>
      </c>
      <c r="O11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9" s="26" t="s">
        <v>54</v>
      </c>
      <c r="Q119" s="9">
        <v>44761</v>
      </c>
      <c r="R11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9" s="26" t="s">
        <v>54</v>
      </c>
      <c r="T119" s="10">
        <v>50000</v>
      </c>
      <c r="U119" s="11">
        <v>44571</v>
      </c>
      <c r="V119" s="20">
        <f>IF(بيانات_العملاء4[[#This Row],[تاريخ انشاء سند الامر او الاستثناء]]="","",بيانات_العملاء4[[#This Row],[تاريخ انشاء سند الامر او الاستثناء]]+365*3)</f>
        <v>45666</v>
      </c>
      <c r="W11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19" s="18" cm="1">
        <f t="array" aca="1" ref="X119" ca="1">INDEX('SAP Customer Data '!$A:$AC,MATCH(بيانات_العملاء4[[#This Row],[رمز شريك الأعمال]],'SAP Customer Data '!$B:$B,0),CELL("col",Table_Customer_Data[[#Headers],[CreditLine]]))</f>
        <v>25000</v>
      </c>
      <c r="Y11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9" s="26" t="s">
        <v>55</v>
      </c>
      <c r="AA11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19" s="26" t="s">
        <v>54</v>
      </c>
      <c r="AC119" s="16">
        <v>45322</v>
      </c>
      <c r="AD11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19" s="26" t="s">
        <v>54</v>
      </c>
      <c r="AF119" s="16">
        <v>45322</v>
      </c>
      <c r="AG11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19" s="26" t="s">
        <v>54</v>
      </c>
      <c r="AI119" s="6">
        <v>47303</v>
      </c>
      <c r="AJ11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19" s="26" t="s">
        <v>54</v>
      </c>
      <c r="AL119" s="9">
        <v>45425</v>
      </c>
      <c r="AM11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سارى</v>
      </c>
      <c r="AN119" s="26" t="s">
        <v>54</v>
      </c>
      <c r="AO119" s="11"/>
      <c r="AP11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9" s="26" t="s">
        <v>54</v>
      </c>
      <c r="AR119" s="6"/>
      <c r="AS11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9" s="22" cm="1">
        <f t="array" aca="1" ref="AT119" ca="1">INDEX('SAP Customer Data '!A:Z,MATCH(بيانات_العملاء4[[#This Row],[رمز شريك الأعمال]],'SAP Customer Data '!B:B,0),CELL("col",Table_Customer_Data[[#Headers],[CreateDate]]))</f>
        <v>44772</v>
      </c>
      <c r="AU119" s="30"/>
      <c r="AV119" s="11" t="s">
        <v>826</v>
      </c>
      <c r="AW119" s="6" t="s">
        <v>846</v>
      </c>
      <c r="AX119" s="6"/>
    </row>
    <row r="120" spans="1:50" x14ac:dyDescent="0.25">
      <c r="A120" s="17" t="str" cm="1">
        <f t="array" aca="1" ref="A120" ca="1">INDEX('SAP Customer Data '!$A:$AC,MATCH(بيانات_العملاء4[[#This Row],[رمز شريك الأعمال]],'SAP Customer Data '!$B:$B,0),CELL("col",Table_Customer_Data[[#Headers],[GroupName]]))</f>
        <v>CS01</v>
      </c>
      <c r="B120" s="8" t="s">
        <v>244</v>
      </c>
      <c r="C120" s="18" t="str" cm="1">
        <f t="array" aca="1" ref="C120" ca="1">INDEX('SAP Customer Data '!$A:$AC,MATCH(بيانات_العملاء4[[#This Row],[رمز شريك الأعمال]],'SAP Customer Data '!$B:$B,0),CELL("col",Table_Customer_Data[[#Headers],[CardName]]))</f>
        <v>مؤسسة مبارك بن حمد بن عبدالرحمن الحميد التجارية</v>
      </c>
      <c r="D120" s="26" t="str">
        <f ca="1">IF(بيانات_العملاء4[[#This Row],[حد الائتمان على SAP]]&gt;0,"آجل","نقدى")</f>
        <v>آجل</v>
      </c>
      <c r="E120" s="6" t="s">
        <v>345</v>
      </c>
      <c r="F120" s="26" t="s">
        <v>385</v>
      </c>
      <c r="G120" s="26" t="s">
        <v>54</v>
      </c>
      <c r="H12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0" s="26" t="s">
        <v>54</v>
      </c>
      <c r="J120" s="9">
        <v>44839</v>
      </c>
      <c r="K120" s="27" t="s">
        <v>55</v>
      </c>
      <c r="L120" s="19" t="str">
        <f ca="1">IF(AND(بيانات_العملاء4[[#This Row],[السجل التجارى]]="موجود",TODAY()+'Other Data'!$B$23&lt;J120,بيانات_العملاء4[[#This Row],[مطابقة اسم العميل بالاسم بالسجل التجارى]]="مطابق"), "سارى", "يجب اعادة طلبه")</f>
        <v>يجب اعادة طلبه</v>
      </c>
      <c r="M120" s="28" t="s">
        <v>54</v>
      </c>
      <c r="N120" s="13" t="str" cm="1">
        <f t="array" aca="1" ref="N120" ca="1">INDEX('SAP Customer Data '!A:Z,MATCH(بيانات_العملاء4[[#This Row],[رمز شريك الأعمال]],'SAP Customer Data '!B:B,0),CELL("col",Table_Customer_Data[[#Headers],[LicTradNum]]))</f>
        <v>300505056600003</v>
      </c>
      <c r="O12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0" s="26" t="s">
        <v>54</v>
      </c>
      <c r="Q120" s="9">
        <v>45956</v>
      </c>
      <c r="R12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20" s="26" t="s">
        <v>54</v>
      </c>
      <c r="T120" s="10">
        <v>75000</v>
      </c>
      <c r="U120" s="11">
        <v>44787</v>
      </c>
      <c r="V120" s="20">
        <f>IF(بيانات_العملاء4[[#This Row],[تاريخ انشاء سند الامر او الاستثناء]]="","",بيانات_العملاء4[[#This Row],[تاريخ انشاء سند الامر او الاستثناء]]+365*3)</f>
        <v>45882</v>
      </c>
      <c r="W12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37500</v>
      </c>
      <c r="X120" s="18" cm="1">
        <f t="array" aca="1" ref="X120" ca="1">INDEX('SAP Customer Data '!$A:$AC,MATCH(بيانات_العملاء4[[#This Row],[رمز شريك الأعمال]],'SAP Customer Data '!$B:$B,0),CELL("col",Table_Customer_Data[[#Headers],[CreditLine]]))</f>
        <v>40000</v>
      </c>
      <c r="Y12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20" s="26" t="s">
        <v>55</v>
      </c>
      <c r="AA12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20" s="26" t="s">
        <v>54</v>
      </c>
      <c r="AC120" s="16">
        <v>46997</v>
      </c>
      <c r="AD12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0" s="26" t="s">
        <v>54</v>
      </c>
      <c r="AF120" s="16">
        <v>46997</v>
      </c>
      <c r="AG12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0" s="26" t="s">
        <v>54</v>
      </c>
      <c r="AI120" s="6">
        <v>45149</v>
      </c>
      <c r="AJ12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20" s="26" t="s">
        <v>54</v>
      </c>
      <c r="AL120" s="9"/>
      <c r="AM12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0" s="26" t="s">
        <v>54</v>
      </c>
      <c r="AO120" s="11"/>
      <c r="AP12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0" s="26"/>
      <c r="AR120" s="6"/>
      <c r="AS12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0" s="22" cm="1">
        <f t="array" aca="1" ref="AT120" ca="1">INDEX('SAP Customer Data '!A:Z,MATCH(بيانات_العملاء4[[#This Row],[رمز شريك الأعمال]],'SAP Customer Data '!B:B,0),CELL("col",Table_Customer_Data[[#Headers],[CreateDate]]))</f>
        <v>44807</v>
      </c>
      <c r="AU120" s="30"/>
      <c r="AV120" s="11"/>
      <c r="AW120" s="6" t="s">
        <v>846</v>
      </c>
      <c r="AX120" s="6"/>
    </row>
    <row r="121" spans="1:50" x14ac:dyDescent="0.25">
      <c r="A121" s="17" t="str" cm="1">
        <f t="array" aca="1" ref="A121" ca="1">INDEX('SAP Customer Data '!$A:$AC,MATCH(بيانات_العملاء4[[#This Row],[رمز شريك الأعمال]],'SAP Customer Data '!$B:$B,0),CELL("col",Table_Customer_Data[[#Headers],[GroupName]]))</f>
        <v>CS01</v>
      </c>
      <c r="B121" s="8" t="s">
        <v>246</v>
      </c>
      <c r="C121" s="18" t="str" cm="1">
        <f t="array" aca="1" ref="C121" ca="1">INDEX('SAP Customer Data '!$A:$AC,MATCH(بيانات_العملاء4[[#This Row],[رمز شريك الأعمال]],'SAP Customer Data '!$B:$B,0),CELL("col",Table_Customer_Data[[#Headers],[CardName]]))</f>
        <v>مؤسسة كهرباء الريان التجارية</v>
      </c>
      <c r="D121" s="26" t="str">
        <f ca="1">IF(بيانات_العملاء4[[#This Row],[حد الائتمان على SAP]]&gt;0,"آجل","نقدى")</f>
        <v>آجل</v>
      </c>
      <c r="E121" s="6" t="s">
        <v>828</v>
      </c>
      <c r="F121" s="26" t="s">
        <v>385</v>
      </c>
      <c r="G121" s="26" t="s">
        <v>54</v>
      </c>
      <c r="H12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1" s="26" t="s">
        <v>54</v>
      </c>
      <c r="J121" s="9">
        <v>44988</v>
      </c>
      <c r="K121" s="27" t="s">
        <v>55</v>
      </c>
      <c r="L121" s="19" t="str">
        <f ca="1">IF(AND(بيانات_العملاء4[[#This Row],[السجل التجارى]]="موجود",TODAY()+'Other Data'!$B$23&lt;J121,بيانات_العملاء4[[#This Row],[مطابقة اسم العميل بالاسم بالسجل التجارى]]="مطابق"), "سارى", "يجب اعادة طلبه")</f>
        <v>يجب اعادة طلبه</v>
      </c>
      <c r="M121" s="28" t="s">
        <v>54</v>
      </c>
      <c r="N121" s="13" t="str" cm="1">
        <f t="array" aca="1" ref="N121" ca="1">INDEX('SAP Customer Data '!A:Z,MATCH(بيانات_العملاء4[[#This Row],[رمز شريك الأعمال]],'SAP Customer Data '!B:B,0),CELL("col",Table_Customer_Data[[#Headers],[LicTradNum]]))</f>
        <v>311225935200003</v>
      </c>
      <c r="O12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1" s="26" t="s">
        <v>54</v>
      </c>
      <c r="Q121" s="9">
        <v>45008</v>
      </c>
      <c r="R12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1" s="26" t="s">
        <v>54</v>
      </c>
      <c r="T121" s="10">
        <v>50000</v>
      </c>
      <c r="U121" s="11">
        <v>44810</v>
      </c>
      <c r="V121" s="20">
        <f>IF(بيانات_العملاء4[[#This Row],[تاريخ انشاء سند الامر او الاستثناء]]="","",بيانات_العملاء4[[#This Row],[تاريخ انشاء سند الامر او الاستثناء]]+365*3)</f>
        <v>45905</v>
      </c>
      <c r="W12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21" s="18" cm="1">
        <f t="array" aca="1" ref="X121" ca="1">INDEX('SAP Customer Data '!$A:$AC,MATCH(بيانات_العملاء4[[#This Row],[رمز شريك الأعمال]],'SAP Customer Data '!$B:$B,0),CELL("col",Table_Customer_Data[[#Headers],[CreditLine]]))</f>
        <v>25000</v>
      </c>
      <c r="Y12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1" s="26" t="s">
        <v>55</v>
      </c>
      <c r="AA12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21" s="26" t="s">
        <v>54</v>
      </c>
      <c r="AC121" s="16">
        <v>45997</v>
      </c>
      <c r="AD12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1" s="26" t="s">
        <v>54</v>
      </c>
      <c r="AF121" s="16">
        <v>45997</v>
      </c>
      <c r="AG12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1" s="26" t="s">
        <v>54</v>
      </c>
      <c r="AI121" s="6"/>
      <c r="AJ12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1" s="26" t="s">
        <v>54</v>
      </c>
      <c r="AL121" s="9"/>
      <c r="AM12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1" s="26" t="s">
        <v>56</v>
      </c>
      <c r="AO121" s="11"/>
      <c r="AP12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1" s="26" t="s">
        <v>56</v>
      </c>
      <c r="AR121" s="6"/>
      <c r="AS12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1" s="22" cm="1">
        <f t="array" aca="1" ref="AT121" ca="1">INDEX('SAP Customer Data '!A:Z,MATCH(بيانات_العملاء4[[#This Row],[رمز شريك الأعمال]],'SAP Customer Data '!B:B,0),CELL("col",Table_Customer_Data[[#Headers],[CreateDate]]))</f>
        <v>44819</v>
      </c>
      <c r="AU121" s="30"/>
      <c r="AV121" s="11"/>
      <c r="AW121" s="6" t="s">
        <v>846</v>
      </c>
      <c r="AX121" s="6"/>
    </row>
    <row r="122" spans="1:50" x14ac:dyDescent="0.25">
      <c r="A122" s="17" t="str" cm="1">
        <f t="array" aca="1" ref="A122" ca="1">INDEX('SAP Customer Data '!$A:$AC,MATCH(بيانات_العملاء4[[#This Row],[رمز شريك الأعمال]],'SAP Customer Data '!$B:$B,0),CELL("col",Table_Customer_Data[[#Headers],[GroupName]]))</f>
        <v>CS01</v>
      </c>
      <c r="B122" s="8" t="s">
        <v>248</v>
      </c>
      <c r="C122" s="18" t="str" cm="1">
        <f t="array" aca="1" ref="C122" ca="1">INDEX('SAP Customer Data '!$A:$AC,MATCH(بيانات_العملاء4[[#This Row],[رمز شريك الأعمال]],'SAP Customer Data '!$B:$B,0),CELL("col",Table_Customer_Data[[#Headers],[CardName]]))</f>
        <v>محل عبدالرحمن سليمان السعد للادوات الكهربائية</v>
      </c>
      <c r="D122" s="26" t="str">
        <f ca="1">IF(بيانات_العملاء4[[#This Row],[حد الائتمان على SAP]]&gt;0,"آجل","نقدى")</f>
        <v>آجل</v>
      </c>
      <c r="E122" s="6" t="s">
        <v>829</v>
      </c>
      <c r="F122" s="26"/>
      <c r="G122" s="26" t="s">
        <v>54</v>
      </c>
      <c r="H122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2" s="26" t="s">
        <v>54</v>
      </c>
      <c r="J122" s="9">
        <v>45121</v>
      </c>
      <c r="K122" s="27" t="s">
        <v>55</v>
      </c>
      <c r="L122" s="19" t="str">
        <f ca="1">IF(AND(بيانات_العملاء4[[#This Row],[السجل التجارى]]="موجود",TODAY()+'Other Data'!$B$23&lt;J122,بيانات_العملاء4[[#This Row],[مطابقة اسم العميل بالاسم بالسجل التجارى]]="مطابق"), "سارى", "يجب اعادة طلبه")</f>
        <v>يجب اعادة طلبه</v>
      </c>
      <c r="M122" s="28" t="s">
        <v>54</v>
      </c>
      <c r="N122" s="13" t="str" cm="1">
        <f t="array" aca="1" ref="N122" ca="1">INDEX('SAP Customer Data '!A:Z,MATCH(بيانات_العملاء4[[#This Row],[رمز شريك الأعمال]],'SAP Customer Data '!B:B,0),CELL("col",Table_Customer_Data[[#Headers],[LicTradNum]]))</f>
        <v>300944275800003</v>
      </c>
      <c r="O12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2" s="26" t="s">
        <v>54</v>
      </c>
      <c r="Q122" s="9">
        <v>45360</v>
      </c>
      <c r="R12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22" s="26" t="s">
        <v>54</v>
      </c>
      <c r="T122" s="10">
        <v>120000</v>
      </c>
      <c r="U122" s="11">
        <v>44789</v>
      </c>
      <c r="V122" s="20">
        <f>IF(بيانات_العملاء4[[#This Row],[تاريخ انشاء سند الامر او الاستثناء]]="","",بيانات_العملاء4[[#This Row],[تاريخ انشاء سند الامر او الاستثناء]]+365*3)</f>
        <v>45884</v>
      </c>
      <c r="W12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60000</v>
      </c>
      <c r="X122" s="18" cm="1">
        <f t="array" aca="1" ref="X122" ca="1">INDEX('SAP Customer Data '!$A:$AC,MATCH(بيانات_العملاء4[[#This Row],[رمز شريك الأعمال]],'SAP Customer Data '!$B:$B,0),CELL("col",Table_Customer_Data[[#Headers],[CreditLine]]))</f>
        <v>60000</v>
      </c>
      <c r="Y12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2" s="26" t="s">
        <v>55</v>
      </c>
      <c r="AA12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22" s="26" t="s">
        <v>54</v>
      </c>
      <c r="AC122" s="16">
        <v>50077</v>
      </c>
      <c r="AD12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2" s="26" t="s">
        <v>54</v>
      </c>
      <c r="AF122" s="16">
        <v>50448</v>
      </c>
      <c r="AG12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2" s="26" t="s">
        <v>54</v>
      </c>
      <c r="AI122" s="6">
        <v>45285</v>
      </c>
      <c r="AJ12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22" s="26" t="s">
        <v>54</v>
      </c>
      <c r="AL122" s="9"/>
      <c r="AM12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2" s="26" t="s">
        <v>54</v>
      </c>
      <c r="AO122" s="11"/>
      <c r="AP12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2" s="26" t="s">
        <v>54</v>
      </c>
      <c r="AR122" s="6"/>
      <c r="AS12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2" s="22" cm="1">
        <f t="array" aca="1" ref="AT122" ca="1">INDEX('SAP Customer Data '!A:Z,MATCH(بيانات_العملاء4[[#This Row],[رمز شريك الأعمال]],'SAP Customer Data '!B:B,0),CELL("col",Table_Customer_Data[[#Headers],[CreateDate]]))</f>
        <v>44830</v>
      </c>
      <c r="AU122" s="30"/>
      <c r="AV122" s="11"/>
      <c r="AW122" s="6" t="s">
        <v>846</v>
      </c>
      <c r="AX122" s="6"/>
    </row>
    <row r="123" spans="1:50" x14ac:dyDescent="0.25">
      <c r="A123" s="17" t="str" cm="1">
        <f t="array" aca="1" ref="A123" ca="1">INDEX('SAP Customer Data '!$A:$AC,MATCH(بيانات_العملاء4[[#This Row],[رمز شريك الأعمال]],'SAP Customer Data '!$B:$B,0),CELL("col",Table_Customer_Data[[#Headers],[GroupName]]))</f>
        <v>CS01</v>
      </c>
      <c r="B123" s="8" t="s">
        <v>250</v>
      </c>
      <c r="C123" s="18" t="str" cm="1">
        <f t="array" aca="1" ref="C123" ca="1">INDEX('SAP Customer Data '!$A:$AC,MATCH(بيانات_العملاء4[[#This Row],[رمز شريك الأعمال]],'SAP Customer Data '!$B:$B,0),CELL("col",Table_Customer_Data[[#Headers],[CardName]]))</f>
        <v>مؤسسة عبدالعزيز حسن المقبل للتجارة</v>
      </c>
      <c r="D123" s="26" t="str">
        <f ca="1">IF(بيانات_العملاء4[[#This Row],[حد الائتمان على SAP]]&gt;0,"آجل","نقدى")</f>
        <v>آجل</v>
      </c>
      <c r="E123" s="6" t="s">
        <v>346</v>
      </c>
      <c r="F123" s="26" t="s">
        <v>385</v>
      </c>
      <c r="G123" s="26" t="s">
        <v>54</v>
      </c>
      <c r="H12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3" s="26" t="s">
        <v>54</v>
      </c>
      <c r="J123" s="9">
        <v>44570</v>
      </c>
      <c r="K123" s="27" t="s">
        <v>55</v>
      </c>
      <c r="L123" s="19" t="str">
        <f ca="1">IF(AND(بيانات_العملاء4[[#This Row],[السجل التجارى]]="موجود",TODAY()+'Other Data'!$B$23&lt;J123,بيانات_العملاء4[[#This Row],[مطابقة اسم العميل بالاسم بالسجل التجارى]]="مطابق"), "سارى", "يجب اعادة طلبه")</f>
        <v>يجب اعادة طلبه</v>
      </c>
      <c r="M123" s="28" t="s">
        <v>56</v>
      </c>
      <c r="N123" s="13" t="str" cm="1">
        <f t="array" aca="1" ref="N123" ca="1">INDEX('SAP Customer Data '!A:Z,MATCH(بيانات_العملاء4[[#This Row],[رمز شريك الأعمال]],'SAP Customer Data '!B:B,0),CELL("col",Table_Customer_Data[[#Headers],[LicTradNum]]))</f>
        <v>300580958400003</v>
      </c>
      <c r="O12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23" s="26" t="s">
        <v>56</v>
      </c>
      <c r="Q123" s="9"/>
      <c r="R12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3" s="26" t="s">
        <v>54</v>
      </c>
      <c r="T123" s="10">
        <v>50000</v>
      </c>
      <c r="U123" s="11">
        <v>44768</v>
      </c>
      <c r="V123" s="20">
        <f>IF(بيانات_العملاء4[[#This Row],[تاريخ انشاء سند الامر او الاستثناء]]="","",بيانات_العملاء4[[#This Row],[تاريخ انشاء سند الامر او الاستثناء]]+365*3)</f>
        <v>45863</v>
      </c>
      <c r="W12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23" s="18" cm="1">
        <f t="array" aca="1" ref="X123" ca="1">INDEX('SAP Customer Data '!$A:$AC,MATCH(بيانات_العملاء4[[#This Row],[رمز شريك الأعمال]],'SAP Customer Data '!$B:$B,0),CELL("col",Table_Customer_Data[[#Headers],[CreditLine]]))</f>
        <v>25000</v>
      </c>
      <c r="Y12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3" s="26" t="s">
        <v>55</v>
      </c>
      <c r="AA12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23" s="26" t="s">
        <v>54</v>
      </c>
      <c r="AC123" s="16">
        <v>50498</v>
      </c>
      <c r="AD12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3" s="26" t="s">
        <v>54</v>
      </c>
      <c r="AF123" s="16">
        <v>44650</v>
      </c>
      <c r="AG12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3" s="26" t="s">
        <v>54</v>
      </c>
      <c r="AI123" s="6">
        <v>44365</v>
      </c>
      <c r="AJ12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3" s="26" t="s">
        <v>54</v>
      </c>
      <c r="AL123" s="9">
        <v>37864</v>
      </c>
      <c r="AM12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3" s="26" t="s">
        <v>56</v>
      </c>
      <c r="AO123" s="11"/>
      <c r="AP12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3" s="26" t="s">
        <v>56</v>
      </c>
      <c r="AR123" s="6"/>
      <c r="AS12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3" s="22" cm="1">
        <f t="array" aca="1" ref="AT123" ca="1">INDEX('SAP Customer Data '!A:Z,MATCH(بيانات_العملاء4[[#This Row],[رمز شريك الأعمال]],'SAP Customer Data '!B:B,0),CELL("col",Table_Customer_Data[[#Headers],[CreateDate]]))</f>
        <v>44865</v>
      </c>
      <c r="AU123" s="30"/>
      <c r="AV123" s="11" t="s">
        <v>347</v>
      </c>
      <c r="AW123" s="6" t="s">
        <v>846</v>
      </c>
      <c r="AX123" s="6"/>
    </row>
    <row r="124" spans="1:50" x14ac:dyDescent="0.25">
      <c r="A124" s="17" t="str" cm="1">
        <f t="array" aca="1" ref="A124" ca="1">INDEX('SAP Customer Data '!$A:$AC,MATCH(بيانات_العملاء4[[#This Row],[رمز شريك الأعمال]],'SAP Customer Data '!$B:$B,0),CELL("col",Table_Customer_Data[[#Headers],[GroupName]]))</f>
        <v>CS01</v>
      </c>
      <c r="B124" s="8" t="s">
        <v>252</v>
      </c>
      <c r="C124" s="18" t="str" cm="1">
        <f t="array" aca="1" ref="C124" ca="1">INDEX('SAP Customer Data '!$A:$AC,MATCH(بيانات_العملاء4[[#This Row],[رمز شريك الأعمال]],'SAP Customer Data '!$B:$B,0),CELL("col",Table_Customer_Data[[#Headers],[CardName]]))</f>
        <v>مجموعة صالح محمد صالح الخليفي التجارية -نقدي</v>
      </c>
      <c r="D124" s="26" t="str">
        <f ca="1">IF(بيانات_العملاء4[[#This Row],[حد الائتمان على SAP]]&gt;0,"آجل","نقدى")</f>
        <v>نقدى</v>
      </c>
      <c r="E124" s="6" t="s">
        <v>830</v>
      </c>
      <c r="F124" s="26" t="s">
        <v>385</v>
      </c>
      <c r="G124" s="26" t="s">
        <v>56</v>
      </c>
      <c r="H12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24" s="26" t="s">
        <v>54</v>
      </c>
      <c r="J124" s="9">
        <v>44762</v>
      </c>
      <c r="K124" s="27" t="s">
        <v>55</v>
      </c>
      <c r="L124" s="19" t="str">
        <f ca="1">IF(AND(بيانات_العملاء4[[#This Row],[السجل التجارى]]="موجود",TODAY()+'Other Data'!$B$23&lt;J124,بيانات_العملاء4[[#This Row],[مطابقة اسم العميل بالاسم بالسجل التجارى]]="مطابق"), "سارى", "يجب اعادة طلبه")</f>
        <v>يجب اعادة طلبه</v>
      </c>
      <c r="M124" s="28" t="s">
        <v>54</v>
      </c>
      <c r="N124" s="13" t="str" cm="1">
        <f t="array" aca="1" ref="N124" ca="1">INDEX('SAP Customer Data '!A:Z,MATCH(بيانات_العملاء4[[#This Row],[رمز شريك الأعمال]],'SAP Customer Data '!B:B,0),CELL("col",Table_Customer_Data[[#Headers],[LicTradNum]]))</f>
        <v>302205665500003</v>
      </c>
      <c r="O12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4" s="26" t="s">
        <v>56</v>
      </c>
      <c r="Q124" s="9"/>
      <c r="R12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4" s="26" t="s">
        <v>56</v>
      </c>
      <c r="T124" s="10"/>
      <c r="U124" s="11"/>
      <c r="V12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2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24" s="18" cm="1">
        <f t="array" aca="1" ref="X124" ca="1">INDEX('SAP Customer Data '!$A:$AC,MATCH(بيانات_العملاء4[[#This Row],[رمز شريك الأعمال]],'SAP Customer Data '!$B:$B,0),CELL("col",Table_Customer_Data[[#Headers],[CreditLine]]))</f>
        <v>0</v>
      </c>
      <c r="Y12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4" s="26"/>
      <c r="AA12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24" s="26" t="s">
        <v>56</v>
      </c>
      <c r="AC124" s="16"/>
      <c r="AD12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4" s="26" t="s">
        <v>56</v>
      </c>
      <c r="AF124" s="16"/>
      <c r="AG12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4" s="26" t="s">
        <v>56</v>
      </c>
      <c r="AI124" s="6"/>
      <c r="AJ12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4" s="26" t="s">
        <v>56</v>
      </c>
      <c r="AL124" s="9"/>
      <c r="AM12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4" s="26" t="s">
        <v>56</v>
      </c>
      <c r="AO124" s="11"/>
      <c r="AP12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4" s="26" t="s">
        <v>56</v>
      </c>
      <c r="AR124" s="6"/>
      <c r="AS12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4" s="22" cm="1">
        <f t="array" aca="1" ref="AT124" ca="1">INDEX('SAP Customer Data '!A:Z,MATCH(بيانات_العملاء4[[#This Row],[رمز شريك الأعمال]],'SAP Customer Data '!B:B,0),CELL("col",Table_Customer_Data[[#Headers],[CreateDate]]))</f>
        <v>44892</v>
      </c>
      <c r="AU124" s="30"/>
      <c r="AV124" s="11"/>
      <c r="AW124" s="6" t="s">
        <v>846</v>
      </c>
      <c r="AX124" s="6"/>
    </row>
    <row r="125" spans="1:50" x14ac:dyDescent="0.25">
      <c r="A125" s="17" t="str" cm="1">
        <f t="array" aca="1" ref="A125" ca="1">INDEX('SAP Customer Data '!$A:$AC,MATCH(بيانات_العملاء4[[#This Row],[رمز شريك الأعمال]],'SAP Customer Data '!$B:$B,0),CELL("col",Table_Customer_Data[[#Headers],[GroupName]]))</f>
        <v>CS02</v>
      </c>
      <c r="B125" s="8" t="s">
        <v>254</v>
      </c>
      <c r="C125" s="18" t="str" cm="1">
        <f t="array" aca="1" ref="C125" ca="1">INDEX('SAP Customer Data '!$A:$AC,MATCH(بيانات_العملاء4[[#This Row],[رمز شريك الأعمال]],'SAP Customer Data '!$B:$B,0),CELL("col",Table_Customer_Data[[#Headers],[CardName]]))</f>
        <v>مؤسسة عبدالعزيز يوسف بن عبده حزام للتجارة</v>
      </c>
      <c r="D125" s="26" t="str">
        <f ca="1">IF(بيانات_العملاء4[[#This Row],[حد الائتمان على SAP]]&gt;0,"آجل","نقدى")</f>
        <v>آجل</v>
      </c>
      <c r="E125" s="6" t="s">
        <v>377</v>
      </c>
      <c r="F125" s="26" t="s">
        <v>385</v>
      </c>
      <c r="G125" s="26" t="s">
        <v>54</v>
      </c>
      <c r="H12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5" s="26" t="s">
        <v>54</v>
      </c>
      <c r="J125" s="9">
        <v>44774</v>
      </c>
      <c r="K125" s="27" t="s">
        <v>55</v>
      </c>
      <c r="L125" s="19" t="str">
        <f ca="1">IF(AND(بيانات_العملاء4[[#This Row],[السجل التجارى]]="موجود",TODAY()+'Other Data'!$B$23&lt;J125,بيانات_العملاء4[[#This Row],[مطابقة اسم العميل بالاسم بالسجل التجارى]]="مطابق"), "سارى", "يجب اعادة طلبه")</f>
        <v>يجب اعادة طلبه</v>
      </c>
      <c r="M125" s="28" t="s">
        <v>54</v>
      </c>
      <c r="N125" s="13" t="str" cm="1">
        <f t="array" aca="1" ref="N125" ca="1">INDEX('SAP Customer Data '!A:Z,MATCH(بيانات_العملاء4[[#This Row],[رمز شريك الأعمال]],'SAP Customer Data '!B:B,0),CELL("col",Table_Customer_Data[[#Headers],[LicTradNum]]))</f>
        <v>310273645200003</v>
      </c>
      <c r="O12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5" s="26" t="s">
        <v>56</v>
      </c>
      <c r="Q125" s="9"/>
      <c r="R12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5" s="26" t="s">
        <v>54</v>
      </c>
      <c r="T125" s="10">
        <v>400000</v>
      </c>
      <c r="U125" s="11">
        <v>44584</v>
      </c>
      <c r="V125" s="20">
        <f>IF(بيانات_العملاء4[[#This Row],[تاريخ انشاء سند الامر او الاستثناء]]="","",بيانات_العملاء4[[#This Row],[تاريخ انشاء سند الامر او الاستثناء]]+365*3)</f>
        <v>45679</v>
      </c>
      <c r="W12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200000</v>
      </c>
      <c r="X125" s="18" cm="1">
        <f t="array" aca="1" ref="X125" ca="1">INDEX('SAP Customer Data '!$A:$AC,MATCH(بيانات_العملاء4[[#This Row],[رمز شريك الأعمال]],'SAP Customer Data '!$B:$B,0),CELL("col",Table_Customer_Data[[#Headers],[CreditLine]]))</f>
        <v>150000</v>
      </c>
      <c r="Y12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25" s="26" t="s">
        <v>55</v>
      </c>
      <c r="AA12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25" s="26" t="s">
        <v>54</v>
      </c>
      <c r="AC125" s="16">
        <v>45174</v>
      </c>
      <c r="AD12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5" s="26" t="s">
        <v>54</v>
      </c>
      <c r="AF125" s="16">
        <v>45174</v>
      </c>
      <c r="AG12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5" s="26" t="s">
        <v>54</v>
      </c>
      <c r="AI125" s="6"/>
      <c r="AJ12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5" s="26" t="s">
        <v>54</v>
      </c>
      <c r="AL125" s="9"/>
      <c r="AM12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5" s="26" t="s">
        <v>54</v>
      </c>
      <c r="AO125" s="11"/>
      <c r="AP12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5" s="26" t="s">
        <v>56</v>
      </c>
      <c r="AR125" s="6"/>
      <c r="AS12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5" s="22" cm="1">
        <f t="array" aca="1" ref="AT125" ca="1">INDEX('SAP Customer Data '!A:Z,MATCH(بيانات_العملاء4[[#This Row],[رمز شريك الأعمال]],'SAP Customer Data '!B:B,0),CELL("col",Table_Customer_Data[[#Headers],[CreateDate]]))</f>
        <v>44590</v>
      </c>
      <c r="AU125" s="30"/>
      <c r="AV125" s="11"/>
      <c r="AW125" s="6" t="s">
        <v>846</v>
      </c>
      <c r="AX125" s="6"/>
    </row>
    <row r="126" spans="1:50" x14ac:dyDescent="0.25">
      <c r="A126" s="17" t="str" cm="1">
        <f t="array" aca="1" ref="A126" ca="1">INDEX('SAP Customer Data '!$A:$AC,MATCH(بيانات_العملاء4[[#This Row],[رمز شريك الأعمال]],'SAP Customer Data '!$B:$B,0),CELL("col",Table_Customer_Data[[#Headers],[GroupName]]))</f>
        <v>CS02</v>
      </c>
      <c r="B126" s="8" t="s">
        <v>258</v>
      </c>
      <c r="C126" s="18" t="str" cm="1">
        <f t="array" aca="1" ref="C126" ca="1">INDEX('SAP Customer Data '!$A:$AC,MATCH(بيانات_العملاء4[[#This Row],[رمز شريك الأعمال]],'SAP Customer Data '!$B:$B,0),CELL("col",Table_Customer_Data[[#Headers],[CardName]]))</f>
        <v>مؤسسة حسين محمد حسن مبارك التجارية</v>
      </c>
      <c r="D126" s="26" t="str">
        <f ca="1">IF(بيانات_العملاء4[[#This Row],[حد الائتمان على SAP]]&gt;0,"آجل","نقدى")</f>
        <v>آجل</v>
      </c>
      <c r="E126" s="6" t="s">
        <v>378</v>
      </c>
      <c r="F126" s="26" t="s">
        <v>385</v>
      </c>
      <c r="G126" s="26" t="s">
        <v>54</v>
      </c>
      <c r="H12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6" s="26" t="s">
        <v>54</v>
      </c>
      <c r="J126" s="9">
        <v>44797</v>
      </c>
      <c r="K126" s="27" t="s">
        <v>55</v>
      </c>
      <c r="L126" s="19" t="str">
        <f ca="1">IF(AND(بيانات_العملاء4[[#This Row],[السجل التجارى]]="موجود",TODAY()+'Other Data'!$B$23&lt;J126,بيانات_العملاء4[[#This Row],[مطابقة اسم العميل بالاسم بالسجل التجارى]]="مطابق"), "سارى", "يجب اعادة طلبه")</f>
        <v>يجب اعادة طلبه</v>
      </c>
      <c r="M126" s="28" t="s">
        <v>54</v>
      </c>
      <c r="N126" s="13" t="str" cm="1">
        <f t="array" aca="1" ref="N126" ca="1">INDEX('SAP Customer Data '!A:Z,MATCH(بيانات_العملاء4[[#This Row],[رمز شريك الأعمال]],'SAP Customer Data '!B:B,0),CELL("col",Table_Customer_Data[[#Headers],[LicTradNum]]))</f>
        <v>300979482100003</v>
      </c>
      <c r="O12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6" s="26" t="s">
        <v>56</v>
      </c>
      <c r="Q126" s="9"/>
      <c r="R12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6" s="26" t="s">
        <v>54</v>
      </c>
      <c r="T126" s="10">
        <v>100000</v>
      </c>
      <c r="U126" s="11">
        <v>44644</v>
      </c>
      <c r="V126" s="20">
        <f>IF(بيانات_العملاء4[[#This Row],[تاريخ انشاء سند الامر او الاستثناء]]="","",بيانات_العملاء4[[#This Row],[تاريخ انشاء سند الامر او الاستثناء]]+365*3)</f>
        <v>45739</v>
      </c>
      <c r="W12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126" s="18" cm="1">
        <f t="array" aca="1" ref="X126" ca="1">INDEX('SAP Customer Data '!$A:$AC,MATCH(بيانات_العملاء4[[#This Row],[رمز شريك الأعمال]],'SAP Customer Data '!$B:$B,0),CELL("col",Table_Customer_Data[[#Headers],[CreditLine]]))</f>
        <v>50000</v>
      </c>
      <c r="Y12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6" s="26" t="s">
        <v>55</v>
      </c>
      <c r="AA12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26" s="26" t="s">
        <v>56</v>
      </c>
      <c r="AC126" s="16"/>
      <c r="AD12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6" s="26" t="s">
        <v>54</v>
      </c>
      <c r="AF126" s="16">
        <v>44916</v>
      </c>
      <c r="AG12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6" s="26" t="s">
        <v>54</v>
      </c>
      <c r="AI126" s="6"/>
      <c r="AJ12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6" s="26" t="s">
        <v>54</v>
      </c>
      <c r="AL126" s="9"/>
      <c r="AM12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6" s="26" t="s">
        <v>54</v>
      </c>
      <c r="AO126" s="11"/>
      <c r="AP12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6" s="26" t="s">
        <v>56</v>
      </c>
      <c r="AR126" s="6"/>
      <c r="AS12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6" s="22" cm="1">
        <f t="array" aca="1" ref="AT126" ca="1">INDEX('SAP Customer Data '!A:Z,MATCH(بيانات_العملاء4[[#This Row],[رمز شريك الأعمال]],'SAP Customer Data '!B:B,0),CELL("col",Table_Customer_Data[[#Headers],[CreateDate]]))</f>
        <v>44644</v>
      </c>
      <c r="AU126" s="30"/>
      <c r="AV126" s="11"/>
      <c r="AW126" s="6" t="s">
        <v>846</v>
      </c>
      <c r="AX126" s="6"/>
    </row>
    <row r="127" spans="1:50" x14ac:dyDescent="0.25">
      <c r="A127" s="17" t="str" cm="1">
        <f t="array" aca="1" ref="A127" ca="1">INDEX('SAP Customer Data '!$A:$AC,MATCH(بيانات_العملاء4[[#This Row],[رمز شريك الأعمال]],'SAP Customer Data '!$B:$B,0),CELL("col",Table_Customer_Data[[#Headers],[GroupName]]))</f>
        <v>CS14</v>
      </c>
      <c r="B127" s="8" t="s">
        <v>260</v>
      </c>
      <c r="C127" s="18" t="str" cm="1">
        <f t="array" aca="1" ref="C127" ca="1">INDEX('SAP Customer Data '!$A:$AC,MATCH(بيانات_العملاء4[[#This Row],[رمز شريك الأعمال]],'SAP Customer Data '!$B:$B,0),CELL("col",Table_Customer_Data[[#Headers],[CardName]]))</f>
        <v>شركة اركان الموسى للتجارة</v>
      </c>
      <c r="D127" s="26" t="str">
        <f ca="1">IF(بيانات_العملاء4[[#This Row],[حد الائتمان على SAP]]&gt;0,"آجل","نقدى")</f>
        <v>آجل</v>
      </c>
      <c r="E127" s="6"/>
      <c r="F127" s="26" t="s">
        <v>309</v>
      </c>
      <c r="G127" s="26" t="s">
        <v>54</v>
      </c>
      <c r="H12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7" s="26" t="s">
        <v>54</v>
      </c>
      <c r="J127" s="9">
        <v>45908</v>
      </c>
      <c r="K127" s="27" t="s">
        <v>55</v>
      </c>
      <c r="L127" s="19" t="str">
        <f ca="1">IF(AND(بيانات_العملاء4[[#This Row],[السجل التجارى]]="موجود",TODAY()+'Other Data'!$B$23&lt;J127,بيانات_العملاء4[[#This Row],[مطابقة اسم العميل بالاسم بالسجل التجارى]]="مطابق"), "سارى", "يجب اعادة طلبه")</f>
        <v>سارى</v>
      </c>
      <c r="M127" s="28" t="s">
        <v>54</v>
      </c>
      <c r="N127" s="13" t="str" cm="1">
        <f t="array" aca="1" ref="N127" ca="1">INDEX('SAP Customer Data '!A:Z,MATCH(بيانات_العملاء4[[#This Row],[رمز شريك الأعمال]],'SAP Customer Data '!B:B,0),CELL("col",Table_Customer_Data[[#Headers],[LicTradNum]]))</f>
        <v>310811284500003</v>
      </c>
      <c r="O12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7" s="26" t="s">
        <v>54</v>
      </c>
      <c r="Q127" s="9">
        <v>44866</v>
      </c>
      <c r="R12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7" s="26" t="s">
        <v>54</v>
      </c>
      <c r="T127" s="10">
        <v>500000</v>
      </c>
      <c r="U127" s="11">
        <v>44577</v>
      </c>
      <c r="V127" s="20">
        <f>IF(بيانات_العملاء4[[#This Row],[تاريخ انشاء سند الامر او الاستثناء]]="","",بيانات_العملاء4[[#This Row],[تاريخ انشاء سند الامر او الاستثناء]]+365*3)</f>
        <v>45672</v>
      </c>
      <c r="W12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250000</v>
      </c>
      <c r="X127" s="18" cm="1">
        <f t="array" aca="1" ref="X127" ca="1">INDEX('SAP Customer Data '!$A:$AC,MATCH(بيانات_العملاء4[[#This Row],[رمز شريك الأعمال]],'SAP Customer Data '!$B:$B,0),CELL("col",Table_Customer_Data[[#Headers],[CreditLine]]))</f>
        <v>250000</v>
      </c>
      <c r="Y12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7" s="26" t="s">
        <v>55</v>
      </c>
      <c r="AA12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27" s="26" t="s">
        <v>56</v>
      </c>
      <c r="AC127" s="16"/>
      <c r="AD12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7" s="26" t="s">
        <v>54</v>
      </c>
      <c r="AF127" s="16">
        <v>51120</v>
      </c>
      <c r="AG12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7" s="26" t="s">
        <v>54</v>
      </c>
      <c r="AI127" s="6"/>
      <c r="AJ12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7" s="26" t="s">
        <v>54</v>
      </c>
      <c r="AL127" s="9"/>
      <c r="AM12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7" s="26" t="s">
        <v>54</v>
      </c>
      <c r="AO127" s="11"/>
      <c r="AP12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7" s="26" t="s">
        <v>56</v>
      </c>
      <c r="AR127" s="6"/>
      <c r="AS12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7" s="22" cm="1">
        <f t="array" aca="1" ref="AT127" ca="1">INDEX('SAP Customer Data '!A:Z,MATCH(بيانات_العملاء4[[#This Row],[رمز شريك الأعمال]],'SAP Customer Data '!B:B,0),CELL("col",Table_Customer_Data[[#Headers],[CreateDate]]))</f>
        <v>44646</v>
      </c>
      <c r="AU127" s="30"/>
      <c r="AV127" s="11"/>
      <c r="AW127" s="6" t="s">
        <v>846</v>
      </c>
      <c r="AX127" s="6"/>
    </row>
    <row r="128" spans="1:50" x14ac:dyDescent="0.25">
      <c r="A128" s="17" t="str" cm="1">
        <f t="array" aca="1" ref="A128" ca="1">INDEX('SAP Customer Data '!$A:$AC,MATCH(بيانات_العملاء4[[#This Row],[رمز شريك الأعمال]],'SAP Customer Data '!$B:$B,0),CELL("col",Table_Customer_Data[[#Headers],[GroupName]]))</f>
        <v>CS02</v>
      </c>
      <c r="B128" s="8" t="s">
        <v>264</v>
      </c>
      <c r="C128" s="18" t="str" cm="1">
        <f t="array" aca="1" ref="C128" ca="1">INDEX('SAP Customer Data '!$A:$AC,MATCH(بيانات_العملاء4[[#This Row],[رمز شريك الأعمال]],'SAP Customer Data '!$B:$B,0),CELL("col",Table_Customer_Data[[#Headers],[CardName]]))</f>
        <v>مؤسسة فالح سعد حمود الحتارشة للتجارة</v>
      </c>
      <c r="D128" s="26" t="str">
        <f ca="1">IF(بيانات_العملاء4[[#This Row],[حد الائتمان على SAP]]&gt;0,"آجل","نقدى")</f>
        <v>آجل</v>
      </c>
      <c r="E128" s="6" t="s">
        <v>380</v>
      </c>
      <c r="F128" s="26" t="s">
        <v>385</v>
      </c>
      <c r="G128" s="26" t="s">
        <v>54</v>
      </c>
      <c r="H12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8" s="26" t="s">
        <v>54</v>
      </c>
      <c r="J128" s="9">
        <v>44801</v>
      </c>
      <c r="K128" s="27" t="s">
        <v>55</v>
      </c>
      <c r="L128" s="19" t="str">
        <f ca="1">IF(AND(بيانات_العملاء4[[#This Row],[السجل التجارى]]="موجود",TODAY()+'Other Data'!$B$23&lt;J128,بيانات_العملاء4[[#This Row],[مطابقة اسم العميل بالاسم بالسجل التجارى]]="مطابق"), "سارى", "يجب اعادة طلبه")</f>
        <v>يجب اعادة طلبه</v>
      </c>
      <c r="M128" s="28" t="s">
        <v>54</v>
      </c>
      <c r="N128" s="13" t="str" cm="1">
        <f t="array" aca="1" ref="N128" ca="1">INDEX('SAP Customer Data '!A:Z,MATCH(بيانات_العملاء4[[#This Row],[رمز شريك الأعمال]],'SAP Customer Data '!B:B,0),CELL("col",Table_Customer_Data[[#Headers],[LicTradNum]]))</f>
        <v>300847198100003</v>
      </c>
      <c r="O12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8" s="26" t="s">
        <v>56</v>
      </c>
      <c r="Q128" s="9"/>
      <c r="R12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8" s="26" t="s">
        <v>54</v>
      </c>
      <c r="T128" s="10">
        <v>150000</v>
      </c>
      <c r="U128" s="11">
        <v>44557</v>
      </c>
      <c r="V128" s="20">
        <f>IF(بيانات_العملاء4[[#This Row],[تاريخ انشاء سند الامر او الاستثناء]]="","",بيانات_العملاء4[[#This Row],[تاريخ انشاء سند الامر او الاستثناء]]+365*3)</f>
        <v>45652</v>
      </c>
      <c r="W12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75000</v>
      </c>
      <c r="X128" s="18" cm="1">
        <f t="array" aca="1" ref="X128" ca="1">INDEX('SAP Customer Data '!$A:$AC,MATCH(بيانات_العملاء4[[#This Row],[رمز شريك الأعمال]],'SAP Customer Data '!$B:$B,0),CELL("col",Table_Customer_Data[[#Headers],[CreditLine]]))</f>
        <v>75000</v>
      </c>
      <c r="Y12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8" s="26" t="s">
        <v>55</v>
      </c>
      <c r="AA12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28" s="26" t="s">
        <v>54</v>
      </c>
      <c r="AC128" s="16">
        <v>51532</v>
      </c>
      <c r="AD12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8" s="26" t="s">
        <v>54</v>
      </c>
      <c r="AF128" s="16">
        <v>46485</v>
      </c>
      <c r="AG12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8" s="26" t="s">
        <v>54</v>
      </c>
      <c r="AI128" s="6"/>
      <c r="AJ12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8" s="26"/>
      <c r="AL128" s="9"/>
      <c r="AM12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8" s="26" t="s">
        <v>54</v>
      </c>
      <c r="AO128" s="11">
        <v>44698</v>
      </c>
      <c r="AP12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8" s="26" t="s">
        <v>56</v>
      </c>
      <c r="AR128" s="6"/>
      <c r="AS12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8" s="22" cm="1">
        <f t="array" aca="1" ref="AT128" ca="1">INDEX('SAP Customer Data '!A:Z,MATCH(بيانات_العملاء4[[#This Row],[رمز شريك الأعمال]],'SAP Customer Data '!B:B,0),CELL("col",Table_Customer_Data[[#Headers],[CreateDate]]))</f>
        <v>44651</v>
      </c>
      <c r="AU128" s="30"/>
      <c r="AV128" s="11"/>
      <c r="AW128" s="6" t="s">
        <v>846</v>
      </c>
      <c r="AX128" s="6"/>
    </row>
    <row r="129" spans="1:50" x14ac:dyDescent="0.25">
      <c r="A129" s="17" t="str" cm="1">
        <f t="array" aca="1" ref="A129" ca="1">INDEX('SAP Customer Data '!$A:$AC,MATCH(بيانات_العملاء4[[#This Row],[رمز شريك الأعمال]],'SAP Customer Data '!$B:$B,0),CELL("col",Table_Customer_Data[[#Headers],[GroupName]]))</f>
        <v>CS02</v>
      </c>
      <c r="B129" s="8" t="s">
        <v>271</v>
      </c>
      <c r="C129" s="18" t="str" cm="1">
        <f t="array" aca="1" ref="C129" ca="1">INDEX('SAP Customer Data '!$A:$AC,MATCH(بيانات_العملاء4[[#This Row],[رمز شريك الأعمال]],'SAP Customer Data '!$B:$B,0),CELL("col",Table_Customer_Data[[#Headers],[CardName]]))</f>
        <v>شركة محفوظ المميز الرئيسي للتجارة</v>
      </c>
      <c r="D129" s="26" t="str">
        <f ca="1">IF(بيانات_العملاء4[[#This Row],[حد الائتمان على SAP]]&gt;0,"آجل","نقدى")</f>
        <v>آجل</v>
      </c>
      <c r="E129" s="6"/>
      <c r="F129" s="26" t="s">
        <v>330</v>
      </c>
      <c r="G129" s="26" t="s">
        <v>54</v>
      </c>
      <c r="H12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9" s="26" t="s">
        <v>54</v>
      </c>
      <c r="J129" s="9">
        <v>45046</v>
      </c>
      <c r="K129" s="27" t="s">
        <v>55</v>
      </c>
      <c r="L129" s="19" t="str">
        <f ca="1">IF(AND(بيانات_العملاء4[[#This Row],[السجل التجارى]]="موجود",TODAY()+'Other Data'!$B$23&lt;J129,بيانات_العملاء4[[#This Row],[مطابقة اسم العميل بالاسم بالسجل التجارى]]="مطابق"), "سارى", "يجب اعادة طلبه")</f>
        <v>يجب اعادة طلبه</v>
      </c>
      <c r="M129" s="28" t="s">
        <v>54</v>
      </c>
      <c r="N129" s="13" t="str" cm="1">
        <f t="array" aca="1" ref="N129" ca="1">INDEX('SAP Customer Data '!A:Z,MATCH(بيانات_العملاء4[[#This Row],[رمز شريك الأعمال]],'SAP Customer Data '!B:B,0),CELL("col",Table_Customer_Data[[#Headers],[LicTradNum]]))</f>
        <v>311288866100003</v>
      </c>
      <c r="O12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9" s="26" t="s">
        <v>54</v>
      </c>
      <c r="Q129" s="9">
        <v>44725</v>
      </c>
      <c r="R12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9" s="26" t="s">
        <v>54</v>
      </c>
      <c r="T129" s="10">
        <v>200000</v>
      </c>
      <c r="U129" s="11">
        <v>44776</v>
      </c>
      <c r="V129" s="20">
        <f>IF(بيانات_العملاء4[[#This Row],[تاريخ انشاء سند الامر او الاستثناء]]="","",بيانات_العملاء4[[#This Row],[تاريخ انشاء سند الامر او الاستثناء]]+365*3)</f>
        <v>45871</v>
      </c>
      <c r="W12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129" s="18" cm="1">
        <f t="array" aca="1" ref="X129" ca="1">INDEX('SAP Customer Data '!$A:$AC,MATCH(بيانات_العملاء4[[#This Row],[رمز شريك الأعمال]],'SAP Customer Data '!$B:$B,0),CELL("col",Table_Customer_Data[[#Headers],[CreditLine]]))</f>
        <v>80000</v>
      </c>
      <c r="Y12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29" s="26" t="s">
        <v>55</v>
      </c>
      <c r="AA12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29" s="26" t="s">
        <v>56</v>
      </c>
      <c r="AC129" s="16"/>
      <c r="AD12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9" s="26" t="s">
        <v>54</v>
      </c>
      <c r="AF129" s="16"/>
      <c r="AG12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9" s="26" t="s">
        <v>54</v>
      </c>
      <c r="AI129" s="6">
        <v>46820</v>
      </c>
      <c r="AJ12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29" s="26" t="s">
        <v>54</v>
      </c>
      <c r="AL129" s="9"/>
      <c r="AM12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9" s="26" t="s">
        <v>56</v>
      </c>
      <c r="AO129" s="11"/>
      <c r="AP12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9" s="26" t="s">
        <v>56</v>
      </c>
      <c r="AR129" s="6"/>
      <c r="AS12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9" s="22" cm="1">
        <f t="array" aca="1" ref="AT129" ca="1">INDEX('SAP Customer Data '!A:Z,MATCH(بيانات_العملاء4[[#This Row],[رمز شريك الأعمال]],'SAP Customer Data '!B:B,0),CELL("col",Table_Customer_Data[[#Headers],[CreateDate]]))</f>
        <v>44740</v>
      </c>
      <c r="AU129" s="30"/>
      <c r="AV129" s="11"/>
      <c r="AW129" s="6" t="s">
        <v>846</v>
      </c>
      <c r="AX129" s="6"/>
    </row>
    <row r="130" spans="1:50" x14ac:dyDescent="0.25">
      <c r="A130" s="17" t="str" cm="1">
        <f t="array" aca="1" ref="A130" ca="1">INDEX('SAP Customer Data '!$A:$AC,MATCH(بيانات_العملاء4[[#This Row],[رمز شريك الأعمال]],'SAP Customer Data '!$B:$B,0),CELL("col",Table_Customer_Data[[#Headers],[GroupName]]))</f>
        <v>CS02</v>
      </c>
      <c r="B130" s="8" t="s">
        <v>274</v>
      </c>
      <c r="C130" s="18" t="str" cm="1">
        <f t="array" aca="1" ref="C130" ca="1">INDEX('SAP Customer Data '!$A:$AC,MATCH(بيانات_العملاء4[[#This Row],[رمز شريك الأعمال]],'SAP Customer Data '!$B:$B,0),CELL("col",Table_Customer_Data[[#Headers],[CardName]]))</f>
        <v>مؤسسة مرام عمر ابراهيم الكديسي لمواد البناء</v>
      </c>
      <c r="D130" s="26" t="str">
        <f ca="1">IF(بيانات_العملاء4[[#This Row],[حد الائتمان على SAP]]&gt;0,"آجل","نقدى")</f>
        <v>آجل</v>
      </c>
      <c r="E130" s="6" t="s">
        <v>384</v>
      </c>
      <c r="F130" s="26" t="s">
        <v>385</v>
      </c>
      <c r="G130" s="26" t="s">
        <v>54</v>
      </c>
      <c r="H13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30" s="26" t="s">
        <v>54</v>
      </c>
      <c r="J130" s="9">
        <v>45144</v>
      </c>
      <c r="K130" s="27" t="s">
        <v>55</v>
      </c>
      <c r="L130" s="19" t="str">
        <f ca="1">IF(AND(بيانات_العملاء4[[#This Row],[السجل التجارى]]="موجود",TODAY()+'Other Data'!$B$23&lt;J130,بيانات_العملاء4[[#This Row],[مطابقة اسم العميل بالاسم بالسجل التجارى]]="مطابق"), "سارى", "يجب اعادة طلبه")</f>
        <v>سارى</v>
      </c>
      <c r="M130" s="28" t="s">
        <v>54</v>
      </c>
      <c r="N130" s="13" t="str" cm="1">
        <f t="array" aca="1" ref="N130" ca="1">INDEX('SAP Customer Data '!A:Z,MATCH(بيانات_العملاء4[[#This Row],[رمز شريك الأعمال]],'SAP Customer Data '!B:B,0),CELL("col",Table_Customer_Data[[#Headers],[LicTradNum]]))</f>
        <v>300829676200003</v>
      </c>
      <c r="O13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0" s="26" t="s">
        <v>54</v>
      </c>
      <c r="Q130" s="9">
        <v>45642</v>
      </c>
      <c r="R13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30" s="26" t="s">
        <v>54</v>
      </c>
      <c r="T130" s="10">
        <v>250000</v>
      </c>
      <c r="U130" s="11">
        <v>44692</v>
      </c>
      <c r="V130" s="20">
        <f>IF(بيانات_العملاء4[[#This Row],[تاريخ انشاء سند الامر او الاستثناء]]="","",بيانات_العملاء4[[#This Row],[تاريخ انشاء سند الامر او الاستثناء]]+365*3)</f>
        <v>45787</v>
      </c>
      <c r="W13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125000</v>
      </c>
      <c r="X130" s="18" cm="1">
        <f t="array" aca="1" ref="X130" ca="1">INDEX('SAP Customer Data '!$A:$AC,MATCH(بيانات_العملاء4[[#This Row],[رمز شريك الأعمال]],'SAP Customer Data '!$B:$B,0),CELL("col",Table_Customer_Data[[#Headers],[CreditLine]]))</f>
        <v>90000</v>
      </c>
      <c r="Y13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30" s="26" t="s">
        <v>55</v>
      </c>
      <c r="AA13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30" s="26" t="s">
        <v>54</v>
      </c>
      <c r="AC130" s="16">
        <v>46933</v>
      </c>
      <c r="AD13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30" s="26" t="s">
        <v>54</v>
      </c>
      <c r="AF130" s="16">
        <v>46842</v>
      </c>
      <c r="AG13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30" s="26" t="s">
        <v>54</v>
      </c>
      <c r="AI130" s="6"/>
      <c r="AJ13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30" s="26" t="s">
        <v>54</v>
      </c>
      <c r="AL130" s="9"/>
      <c r="AM13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0" s="26" t="s">
        <v>56</v>
      </c>
      <c r="AO130" s="11"/>
      <c r="AP13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0" s="26" t="s">
        <v>56</v>
      </c>
      <c r="AR130" s="6"/>
      <c r="AS13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0" s="22" cm="1">
        <f t="array" aca="1" ref="AT130" ca="1">INDEX('SAP Customer Data '!A:Z,MATCH(بيانات_العملاء4[[#This Row],[رمز شريك الأعمال]],'SAP Customer Data '!B:B,0),CELL("col",Table_Customer_Data[[#Headers],[CreateDate]]))</f>
        <v>44741</v>
      </c>
      <c r="AU130" s="30"/>
      <c r="AV130" s="11"/>
      <c r="AW130" s="6" t="s">
        <v>846</v>
      </c>
      <c r="AX130" s="6"/>
    </row>
    <row r="131" spans="1:50" x14ac:dyDescent="0.25">
      <c r="A131" s="17" t="str" cm="1">
        <f t="array" aca="1" ref="A131" ca="1">INDEX('SAP Customer Data '!$A:$AC,MATCH(بيانات_العملاء4[[#This Row],[رمز شريك الأعمال]],'SAP Customer Data '!$B:$B,0),CELL("col",Table_Customer_Data[[#Headers],[GroupName]]))</f>
        <v>CS02</v>
      </c>
      <c r="B131" s="8" t="s">
        <v>276</v>
      </c>
      <c r="C131" s="18" t="str" cm="1">
        <f t="array" aca="1" ref="C131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صبيا</v>
      </c>
      <c r="D131" s="26" t="str">
        <f ca="1">IF(بيانات_العملاء4[[#This Row],[حد الائتمان على SAP]]&gt;0,"آجل","نقدى")</f>
        <v>آجل</v>
      </c>
      <c r="E131" s="6"/>
      <c r="F131" s="26" t="s">
        <v>330</v>
      </c>
      <c r="G131" s="26" t="s">
        <v>54</v>
      </c>
      <c r="H13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31" s="26" t="s">
        <v>56</v>
      </c>
      <c r="J131" s="9"/>
      <c r="K131" s="27"/>
      <c r="L131" s="19" t="str">
        <f ca="1">IF(AND(بيانات_العملاء4[[#This Row],[السجل التجارى]]="موجود",TODAY()+'Other Data'!$B$23&lt;J131,بيانات_العملاء4[[#This Row],[مطابقة اسم العميل بالاسم بالسجل التجارى]]="مطابق"), "سارى", "يجب اعادة طلبه")</f>
        <v>يجب اعادة طلبه</v>
      </c>
      <c r="M131" s="28" t="s">
        <v>54</v>
      </c>
      <c r="N131" s="13" t="str" cm="1">
        <f t="array" aca="1" ref="N131" ca="1">INDEX('SAP Customer Data '!A:Z,MATCH(بيانات_العملاء4[[#This Row],[رمز شريك الأعمال]],'SAP Customer Data '!B:B,0),CELL("col",Table_Customer_Data[[#Headers],[LicTradNum]]))</f>
        <v>311030439900003</v>
      </c>
      <c r="O13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1" s="26" t="s">
        <v>56</v>
      </c>
      <c r="Q131" s="9"/>
      <c r="R13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31" s="26" t="s">
        <v>54</v>
      </c>
      <c r="T131" s="10">
        <v>200000</v>
      </c>
      <c r="U131" s="11">
        <v>44776</v>
      </c>
      <c r="V131" s="20">
        <f>IF(بيانات_العملاء4[[#This Row],[تاريخ انشاء سند الامر او الاستثناء]]="","",بيانات_العملاء4[[#This Row],[تاريخ انشاء سند الامر او الاستثناء]]+365*3)</f>
        <v>45871</v>
      </c>
      <c r="W13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131" s="18" cm="1">
        <f t="array" aca="1" ref="X131" ca="1">INDEX('SAP Customer Data '!$A:$AC,MATCH(بيانات_العملاء4[[#This Row],[رمز شريك الأعمال]],'SAP Customer Data '!$B:$B,0),CELL("col",Table_Customer_Data[[#Headers],[CreditLine]]))</f>
        <v>100000</v>
      </c>
      <c r="Y13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1" s="26" t="s">
        <v>55</v>
      </c>
      <c r="AA13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31" s="26" t="s">
        <v>56</v>
      </c>
      <c r="AC131" s="16"/>
      <c r="AD13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1" s="26" t="s">
        <v>54</v>
      </c>
      <c r="AF131" s="16"/>
      <c r="AG13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31" s="26" t="s">
        <v>54</v>
      </c>
      <c r="AI131" s="6">
        <v>46820</v>
      </c>
      <c r="AJ13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31" s="26" t="s">
        <v>54</v>
      </c>
      <c r="AL131" s="9"/>
      <c r="AM13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1" s="26" t="s">
        <v>56</v>
      </c>
      <c r="AO131" s="11"/>
      <c r="AP13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1" s="26" t="s">
        <v>56</v>
      </c>
      <c r="AR131" s="6"/>
      <c r="AS13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1" s="22" cm="1">
        <f t="array" aca="1" ref="AT131" ca="1">INDEX('SAP Customer Data '!A:Z,MATCH(بيانات_العملاء4[[#This Row],[رمز شريك الأعمال]],'SAP Customer Data '!B:B,0),CELL("col",Table_Customer_Data[[#Headers],[CreateDate]]))</f>
        <v>44748</v>
      </c>
      <c r="AU131" s="30"/>
      <c r="AV131" s="11"/>
      <c r="AW131" s="6" t="s">
        <v>845</v>
      </c>
      <c r="AX131" s="6">
        <v>1200000</v>
      </c>
    </row>
    <row r="132" spans="1:50" x14ac:dyDescent="0.25">
      <c r="A132" s="17" t="str" cm="1">
        <f t="array" aca="1" ref="A132" ca="1">INDEX('SAP Customer Data '!$A:$AC,MATCH(بيانات_العملاء4[[#This Row],[رمز شريك الأعمال]],'SAP Customer Data '!$B:$B,0),CELL("col",Table_Customer_Data[[#Headers],[GroupName]]))</f>
        <v>CS14</v>
      </c>
      <c r="B132" s="8" t="s">
        <v>286</v>
      </c>
      <c r="C132" s="18" t="str" cm="1">
        <f t="array" aca="1" ref="C132" ca="1">INDEX('SAP Customer Data '!$A:$AC,MATCH(بيانات_العملاء4[[#This Row],[رمز شريك الأعمال]],'SAP Customer Data '!$B:$B,0),CELL("col",Table_Customer_Data[[#Headers],[CardName]]))</f>
        <v>مؤسسة العاصمة الرائدة- نقدي</v>
      </c>
      <c r="D132" s="26" t="str">
        <f ca="1">IF(بيانات_العملاء4[[#This Row],[حد الائتمان على SAP]]&gt;0,"آجل","نقدى")</f>
        <v>نقدى</v>
      </c>
      <c r="E132" s="6" t="s">
        <v>847</v>
      </c>
      <c r="F132" s="26" t="s">
        <v>385</v>
      </c>
      <c r="G132" s="26" t="s">
        <v>56</v>
      </c>
      <c r="H132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2" s="26" t="s">
        <v>54</v>
      </c>
      <c r="J132" s="9">
        <v>44938</v>
      </c>
      <c r="K132" s="27" t="s">
        <v>55</v>
      </c>
      <c r="L132" s="19" t="str">
        <f ca="1">IF(AND(بيانات_العملاء4[[#This Row],[السجل التجارى]]="موجود",TODAY()+'Other Data'!$B$23&lt;J132,بيانات_العملاء4[[#This Row],[مطابقة اسم العميل بالاسم بالسجل التجارى]]="مطابق"), "سارى", "يجب اعادة طلبه")</f>
        <v>يجب اعادة طلبه</v>
      </c>
      <c r="M132" s="28" t="s">
        <v>54</v>
      </c>
      <c r="N132" s="13" t="str" cm="1">
        <f t="array" aca="1" ref="N132" ca="1">INDEX('SAP Customer Data '!A:Z,MATCH(بيانات_العملاء4[[#This Row],[رمز شريك الأعمال]],'SAP Customer Data '!B:B,0),CELL("col",Table_Customer_Data[[#Headers],[LicTradNum]]))</f>
        <v>300550874100003</v>
      </c>
      <c r="O13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2" s="26" t="s">
        <v>56</v>
      </c>
      <c r="Q132" s="9"/>
      <c r="R13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32" s="26" t="s">
        <v>56</v>
      </c>
      <c r="T132" s="10"/>
      <c r="U132" s="11"/>
      <c r="V13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2" s="18" cm="1">
        <f t="array" aca="1" ref="X132" ca="1">INDEX('SAP Customer Data '!$A:$AC,MATCH(بيانات_العملاء4[[#This Row],[رمز شريك الأعمال]],'SAP Customer Data '!$B:$B,0),CELL("col",Table_Customer_Data[[#Headers],[CreditLine]]))</f>
        <v>0</v>
      </c>
      <c r="Y13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2" s="26"/>
      <c r="AA13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32" s="26" t="s">
        <v>56</v>
      </c>
      <c r="AC132" s="16"/>
      <c r="AD13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2" s="26" t="s">
        <v>56</v>
      </c>
      <c r="AF132" s="16"/>
      <c r="AG13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32" s="26" t="s">
        <v>56</v>
      </c>
      <c r="AI132" s="6"/>
      <c r="AJ13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32" s="26"/>
      <c r="AL132" s="9"/>
      <c r="AM13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2" s="26" t="s">
        <v>56</v>
      </c>
      <c r="AO132" s="11"/>
      <c r="AP13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2" s="26" t="s">
        <v>56</v>
      </c>
      <c r="AR132" s="6"/>
      <c r="AS13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2" s="22" cm="1">
        <f t="array" aca="1" ref="AT132" ca="1">INDEX('SAP Customer Data '!A:Z,MATCH(بيانات_العملاء4[[#This Row],[رمز شريك الأعمال]],'SAP Customer Data '!B:B,0),CELL("col",Table_Customer_Data[[#Headers],[CreateDate]]))</f>
        <v>44817</v>
      </c>
      <c r="AU132" s="30"/>
      <c r="AV132" s="11"/>
      <c r="AW132" s="6" t="s">
        <v>846</v>
      </c>
      <c r="AX132" s="6"/>
    </row>
    <row r="133" spans="1:50" x14ac:dyDescent="0.25">
      <c r="A133" s="17" t="str" cm="1">
        <f t="array" aca="1" ref="A133" ca="1">INDEX('SAP Customer Data '!$A:$AC,MATCH(بيانات_العملاء4[[#This Row],[رمز شريك الأعمال]],'SAP Customer Data '!$B:$B,0),CELL("col",Table_Customer_Data[[#Headers],[GroupName]]))</f>
        <v>CS02</v>
      </c>
      <c r="B133" s="8" t="s">
        <v>288</v>
      </c>
      <c r="C133" s="18" t="str" cm="1">
        <f t="array" aca="1" ref="C133" ca="1">INDEX('SAP Customer Data '!$A:$AC,MATCH(بيانات_العملاء4[[#This Row],[رمز شريك الأعمال]],'SAP Customer Data '!$B:$B,0),CELL("col",Table_Customer_Data[[#Headers],[CardName]]))</f>
        <v>مؤسسة جملة الدائر لمواد البناء</v>
      </c>
      <c r="D133" s="26" t="str">
        <f ca="1">IF(بيانات_العملاء4[[#This Row],[حد الائتمان على SAP]]&gt;0,"آجل","نقدى")</f>
        <v>آجل</v>
      </c>
      <c r="E133" s="6" t="s">
        <v>373</v>
      </c>
      <c r="F133" s="26" t="s">
        <v>385</v>
      </c>
      <c r="G133" s="26" t="s">
        <v>54</v>
      </c>
      <c r="H13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33" s="26" t="s">
        <v>54</v>
      </c>
      <c r="J133" s="9">
        <v>44964</v>
      </c>
      <c r="K133" s="27" t="s">
        <v>55</v>
      </c>
      <c r="L133" s="19" t="str">
        <f ca="1">IF(AND(بيانات_العملاء4[[#This Row],[السجل التجارى]]="موجود",TODAY()+'Other Data'!$B$23&lt;J133,بيانات_العملاء4[[#This Row],[مطابقة اسم العميل بالاسم بالسجل التجارى]]="مطابق"), "سارى", "يجب اعادة طلبه")</f>
        <v>يجب اعادة طلبه</v>
      </c>
      <c r="M133" s="28" t="s">
        <v>54</v>
      </c>
      <c r="N133" s="13" t="str" cm="1">
        <f t="array" aca="1" ref="N133" ca="1">INDEX('SAP Customer Data '!A:Z,MATCH(بيانات_العملاء4[[#This Row],[رمز شريك الأعمال]],'SAP Customer Data '!B:B,0),CELL("col",Table_Customer_Data[[#Headers],[LicTradNum]]))</f>
        <v>311029147100003</v>
      </c>
      <c r="O13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3" s="26" t="s">
        <v>54</v>
      </c>
      <c r="Q133" s="9">
        <v>45386</v>
      </c>
      <c r="R13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33" s="26" t="s">
        <v>54</v>
      </c>
      <c r="T133" s="10">
        <v>200000</v>
      </c>
      <c r="U133" s="11">
        <v>44698</v>
      </c>
      <c r="V133" s="20">
        <f>IF(بيانات_العملاء4[[#This Row],[تاريخ انشاء سند الامر او الاستثناء]]="","",بيانات_العملاء4[[#This Row],[تاريخ انشاء سند الامر او الاستثناء]]+365*3)</f>
        <v>45793</v>
      </c>
      <c r="W13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133" s="18" cm="1">
        <f t="array" aca="1" ref="X133" ca="1">INDEX('SAP Customer Data '!$A:$AC,MATCH(بيانات_العملاء4[[#This Row],[رمز شريك الأعمال]],'SAP Customer Data '!$B:$B,0),CELL("col",Table_Customer_Data[[#Headers],[CreditLine]]))</f>
        <v>100000</v>
      </c>
      <c r="Y13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3" s="26" t="s">
        <v>55</v>
      </c>
      <c r="AA13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33" s="26" t="s">
        <v>54</v>
      </c>
      <c r="AC133" s="16">
        <v>47212</v>
      </c>
      <c r="AD13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33" s="26" t="s">
        <v>54</v>
      </c>
      <c r="AF133" s="16">
        <v>47212</v>
      </c>
      <c r="AG13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33" s="26" t="s">
        <v>54</v>
      </c>
      <c r="AI133" s="6"/>
      <c r="AJ13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33" s="26" t="s">
        <v>54</v>
      </c>
      <c r="AL133" s="9"/>
      <c r="AM13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3" s="26" t="s">
        <v>54</v>
      </c>
      <c r="AO133" s="11">
        <v>44965</v>
      </c>
      <c r="AP13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3" s="26" t="s">
        <v>56</v>
      </c>
      <c r="AR133" s="6"/>
      <c r="AS13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3" s="22" cm="1">
        <f t="array" aca="1" ref="AT133" ca="1">INDEX('SAP Customer Data '!A:Z,MATCH(بيانات_العملاء4[[#This Row],[رمز شريك الأعمال]],'SAP Customer Data '!B:B,0),CELL("col",Table_Customer_Data[[#Headers],[CreateDate]]))</f>
        <v>44863</v>
      </c>
      <c r="AU133" s="30"/>
      <c r="AV133" s="11"/>
      <c r="AW133" s="6" t="s">
        <v>846</v>
      </c>
      <c r="AX133" s="6"/>
    </row>
    <row r="134" spans="1:50" x14ac:dyDescent="0.25">
      <c r="A134" s="17" t="str" cm="1">
        <f t="array" aca="1" ref="A134" ca="1">INDEX('SAP Customer Data '!$A:$AC,MATCH(بيانات_العملاء4[[#This Row],[رمز شريك الأعمال]],'SAP Customer Data '!$B:$B,0),CELL("col",Table_Customer_Data[[#Headers],[GroupName]]))</f>
        <v>CS01</v>
      </c>
      <c r="B134" s="8" t="s">
        <v>443</v>
      </c>
      <c r="C134" s="18" t="str" cm="1">
        <f t="array" aca="1" ref="C134" ca="1">INDEX('SAP Customer Data '!$A:$AC,MATCH(بيانات_العملاء4[[#This Row],[رمز شريك الأعمال]],'SAP Customer Data '!$B:$B,0),CELL("col",Table_Customer_Data[[#Headers],[CardName]]))</f>
        <v>عميل بضمان المندوب CS01</v>
      </c>
      <c r="D134" s="26"/>
      <c r="E134" s="6"/>
      <c r="F134" s="26"/>
      <c r="G134" s="26"/>
      <c r="H13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4" s="26"/>
      <c r="J134" s="9"/>
      <c r="K134" s="27"/>
      <c r="L134" s="19" t="str">
        <f ca="1">IF(AND(بيانات_العملاء4[[#This Row],[السجل التجارى]]="موجود",TODAY()+'Other Data'!$B$23&lt;J134,بيانات_العملاء4[[#This Row],[مطابقة اسم العميل بالاسم بالسجل التجارى]]="مطابق"), "سارى", "يجب اعادة طلبه")</f>
        <v>يجب اعادة طلبه</v>
      </c>
      <c r="M134" s="28"/>
      <c r="N134" s="13" cm="1">
        <f t="array" aca="1" ref="N134" ca="1">INDEX('SAP Customer Data '!A:Z,MATCH(بيانات_العملاء4[[#This Row],[رمز شريك الأعمال]],'SAP Customer Data '!B:B,0),CELL("col",Table_Customer_Data[[#Headers],[LicTradNum]]))</f>
        <v>0</v>
      </c>
      <c r="O13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4" s="26"/>
      <c r="Q134" s="9"/>
      <c r="R134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4" s="26"/>
      <c r="T134" s="10"/>
      <c r="U134" s="11"/>
      <c r="V13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4" s="18" cm="1">
        <f t="array" aca="1" ref="X134" ca="1">INDEX('SAP Customer Data '!$A:$AC,MATCH(بيانات_العملاء4[[#This Row],[رمز شريك الأعمال]],'SAP Customer Data '!$B:$B,0),CELL("col",Table_Customer_Data[[#Headers],[CreditLine]]))</f>
        <v>0</v>
      </c>
      <c r="Y13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4" s="26"/>
      <c r="AA13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34" s="26"/>
      <c r="AC134" s="16"/>
      <c r="AD134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4" s="26"/>
      <c r="AF134" s="16"/>
      <c r="AG13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4" s="26"/>
      <c r="AI134" s="6"/>
      <c r="AJ13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4" s="26"/>
      <c r="AL134" s="9"/>
      <c r="AM13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4" s="26"/>
      <c r="AO134" s="11"/>
      <c r="AP13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4" s="26"/>
      <c r="AR134" s="6"/>
      <c r="AS13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4" s="22" cm="1">
        <f t="array" aca="1" ref="AT134" ca="1">INDEX('SAP Customer Data '!A:Z,MATCH(بيانات_العملاء4[[#This Row],[رمز شريك الأعمال]],'SAP Customer Data '!B:B,0),CELL("col",Table_Customer_Data[[#Headers],[CreateDate]]))</f>
        <v>44871</v>
      </c>
      <c r="AU134" s="30"/>
      <c r="AV134" s="11"/>
      <c r="AW134" s="6" t="s">
        <v>846</v>
      </c>
      <c r="AX134" s="6"/>
    </row>
    <row r="135" spans="1:50" x14ac:dyDescent="0.25">
      <c r="A135" s="17" t="str" cm="1">
        <f t="array" aca="1" ref="A135" ca="1">INDEX('SAP Customer Data '!$A:$AC,MATCH(بيانات_العملاء4[[#This Row],[رمز شريك الأعمال]],'SAP Customer Data '!$B:$B,0),CELL("col",Table_Customer_Data[[#Headers],[GroupName]]))</f>
        <v>CS03</v>
      </c>
      <c r="B135" s="8" t="s">
        <v>447</v>
      </c>
      <c r="C135" s="18" t="str" cm="1">
        <f t="array" aca="1" ref="C135" ca="1">INDEX('SAP Customer Data '!$A:$AC,MATCH(بيانات_العملاء4[[#This Row],[رمز شريك الأعمال]],'SAP Customer Data '!$B:$B,0),CELL("col",Table_Customer_Data[[#Headers],[CardName]]))</f>
        <v>عميل بضمان المندوب CS03</v>
      </c>
      <c r="D135" s="26"/>
      <c r="E135" s="6"/>
      <c r="F135" s="26"/>
      <c r="G135" s="26"/>
      <c r="H135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5" s="26"/>
      <c r="J135" s="9"/>
      <c r="K135" s="27"/>
      <c r="L135" s="19" t="str">
        <f ca="1">IF(AND(بيانات_العملاء4[[#This Row],[السجل التجارى]]="موجود",TODAY()+'Other Data'!$B$23&lt;J135,بيانات_العملاء4[[#This Row],[مطابقة اسم العميل بالاسم بالسجل التجارى]]="مطابق"), "سارى", "يجب اعادة طلبه")</f>
        <v>يجب اعادة طلبه</v>
      </c>
      <c r="M135" s="28"/>
      <c r="N135" s="13" t="str" cm="1">
        <f t="array" aca="1" ref="N135" ca="1">INDEX('SAP Customer Data '!A:Z,MATCH(بيانات_العملاء4[[#This Row],[رمز شريك الأعمال]],'SAP Customer Data '!B:B,0),CELL("col",Table_Customer_Data[[#Headers],[LicTradNum]]))</f>
        <v>عمر</v>
      </c>
      <c r="O13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5" s="26"/>
      <c r="Q135" s="9"/>
      <c r="R135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5" s="26"/>
      <c r="T135" s="10"/>
      <c r="U135" s="11"/>
      <c r="V135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5" s="18" cm="1">
        <f t="array" aca="1" ref="X135" ca="1">INDEX('SAP Customer Data '!$A:$AC,MATCH(بيانات_العملاء4[[#This Row],[رمز شريك الأعمال]],'SAP Customer Data '!$B:$B,0),CELL("col",Table_Customer_Data[[#Headers],[CreditLine]]))</f>
        <v>0</v>
      </c>
      <c r="Y13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5" s="26"/>
      <c r="AA13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35" s="26"/>
      <c r="AC135" s="16"/>
      <c r="AD135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5" s="26"/>
      <c r="AF135" s="16"/>
      <c r="AG13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5" s="26"/>
      <c r="AI135" s="6"/>
      <c r="AJ13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5" s="26"/>
      <c r="AL135" s="9"/>
      <c r="AM13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5" s="26"/>
      <c r="AO135" s="11"/>
      <c r="AP13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5" s="26"/>
      <c r="AR135" s="6"/>
      <c r="AS13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5" s="22" cm="1">
        <f t="array" aca="1" ref="AT135" ca="1">INDEX('SAP Customer Data '!A:Z,MATCH(بيانات_العملاء4[[#This Row],[رمز شريك الأعمال]],'SAP Customer Data '!B:B,0),CELL("col",Table_Customer_Data[[#Headers],[CreateDate]]))</f>
        <v>44871</v>
      </c>
      <c r="AU135" s="30"/>
      <c r="AV135" s="11"/>
      <c r="AW135" s="6" t="s">
        <v>846</v>
      </c>
      <c r="AX135" s="6"/>
    </row>
    <row r="136" spans="1:50" x14ac:dyDescent="0.25">
      <c r="A136" s="17" t="str" cm="1">
        <f t="array" aca="1" ref="A136" ca="1">INDEX('SAP Customer Data '!$A:$AC,MATCH(بيانات_العملاء4[[#This Row],[رمز شريك الأعمال]],'SAP Customer Data '!$B:$B,0),CELL("col",Table_Customer_Data[[#Headers],[GroupName]]))</f>
        <v>CS02</v>
      </c>
      <c r="B136" s="8" t="s">
        <v>463</v>
      </c>
      <c r="C136" s="18" t="str" cm="1">
        <f t="array" aca="1" ref="C136" ca="1">INDEX('SAP Customer Data '!$A:$AC,MATCH(بيانات_العملاء4[[#This Row],[رمز شريك الأعمال]],'SAP Customer Data '!$B:$B,0),CELL("col",Table_Customer_Data[[#Headers],[CardName]]))</f>
        <v>عميل بضمان المندوب CS02</v>
      </c>
      <c r="D136" s="26"/>
      <c r="E136" s="6"/>
      <c r="F136" s="26"/>
      <c r="G136" s="26"/>
      <c r="H136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6" s="26"/>
      <c r="J136" s="9"/>
      <c r="K136" s="27"/>
      <c r="L136" s="19" t="str">
        <f ca="1">IF(AND(بيانات_العملاء4[[#This Row],[السجل التجارى]]="موجود",TODAY()+'Other Data'!$B$23&lt;J136,بيانات_العملاء4[[#This Row],[مطابقة اسم العميل بالاسم بالسجل التجارى]]="مطابق"), "سارى", "يجب اعادة طلبه")</f>
        <v>يجب اعادة طلبه</v>
      </c>
      <c r="M136" s="28"/>
      <c r="N136" s="13" t="str" cm="1">
        <f t="array" aca="1" ref="N136" ca="1">INDEX('SAP Customer Data '!A:Z,MATCH(بيانات_العملاء4[[#This Row],[رمز شريك الأعمال]],'SAP Customer Data '!B:B,0),CELL("col",Table_Customer_Data[[#Headers],[LicTradNum]]))</f>
        <v>محمد رمضان</v>
      </c>
      <c r="O13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6" s="26"/>
      <c r="Q136" s="9"/>
      <c r="R136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6" s="26"/>
      <c r="T136" s="10"/>
      <c r="U136" s="11"/>
      <c r="V136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6" s="18" cm="1">
        <f t="array" aca="1" ref="X136" ca="1">INDEX('SAP Customer Data '!$A:$AC,MATCH(بيانات_العملاء4[[#This Row],[رمز شريك الأعمال]],'SAP Customer Data '!$B:$B,0),CELL("col",Table_Customer_Data[[#Headers],[CreditLine]]))</f>
        <v>0</v>
      </c>
      <c r="Y13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6" s="26"/>
      <c r="AA13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36" s="26"/>
      <c r="AC136" s="16"/>
      <c r="AD136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6" s="26"/>
      <c r="AF136" s="16"/>
      <c r="AG13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6" s="26"/>
      <c r="AI136" s="6"/>
      <c r="AJ13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6" s="26"/>
      <c r="AL136" s="9"/>
      <c r="AM13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6" s="26"/>
      <c r="AO136" s="11"/>
      <c r="AP13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6" s="26"/>
      <c r="AR136" s="6"/>
      <c r="AS13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6" s="22" cm="1">
        <f t="array" aca="1" ref="AT136" ca="1">INDEX('SAP Customer Data '!A:Z,MATCH(بيانات_العملاء4[[#This Row],[رمز شريك الأعمال]],'SAP Customer Data '!B:B,0),CELL("col",Table_Customer_Data[[#Headers],[CreateDate]]))</f>
        <v>44871</v>
      </c>
      <c r="AU136" s="30"/>
      <c r="AV136" s="11"/>
      <c r="AW136" s="6" t="s">
        <v>846</v>
      </c>
      <c r="AX136" s="6"/>
    </row>
    <row r="137" spans="1:50" x14ac:dyDescent="0.25">
      <c r="A137" s="17" t="str" cm="1">
        <f t="array" aca="1" ref="A137" ca="1">INDEX('SAP Customer Data '!$A:$AC,MATCH(بيانات_العملاء4[[#This Row],[رمز شريك الأعمال]],'SAP Customer Data '!$B:$B,0),CELL("col",Table_Customer_Data[[#Headers],[GroupName]]))</f>
        <v>CS06</v>
      </c>
      <c r="B137" s="8" t="s">
        <v>469</v>
      </c>
      <c r="C137" s="18" t="str" cm="1">
        <f t="array" aca="1" ref="C137" ca="1">INDEX('SAP Customer Data '!$A:$AC,MATCH(بيانات_العملاء4[[#This Row],[رمز شريك الأعمال]],'SAP Customer Data '!$B:$B,0),CELL("col",Table_Customer_Data[[#Headers],[CardName]]))</f>
        <v>عميل بضمان المندوب CS06</v>
      </c>
      <c r="D137" s="26"/>
      <c r="E137" s="6"/>
      <c r="F137" s="26"/>
      <c r="G137" s="26"/>
      <c r="H137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7" s="26"/>
      <c r="J137" s="9"/>
      <c r="K137" s="27"/>
      <c r="L137" s="19" t="str">
        <f ca="1">IF(AND(بيانات_العملاء4[[#This Row],[السجل التجارى]]="موجود",TODAY()+'Other Data'!$B$23&lt;J137,بيانات_العملاء4[[#This Row],[مطابقة اسم العميل بالاسم بالسجل التجارى]]="مطابق"), "سارى", "يجب اعادة طلبه")</f>
        <v>يجب اعادة طلبه</v>
      </c>
      <c r="M137" s="28"/>
      <c r="N137" s="13" cm="1">
        <f t="array" aca="1" ref="N137" ca="1">INDEX('SAP Customer Data '!A:Z,MATCH(بيانات_العملاء4[[#This Row],[رمز شريك الأعمال]],'SAP Customer Data '!B:B,0),CELL("col",Table_Customer_Data[[#Headers],[LicTradNum]]))</f>
        <v>0</v>
      </c>
      <c r="O13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7" s="26"/>
      <c r="Q137" s="9"/>
      <c r="R137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7" s="26"/>
      <c r="T137" s="10"/>
      <c r="U137" s="11"/>
      <c r="V137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7" s="18" cm="1">
        <f t="array" aca="1" ref="X137" ca="1">INDEX('SAP Customer Data '!$A:$AC,MATCH(بيانات_العملاء4[[#This Row],[رمز شريك الأعمال]],'SAP Customer Data '!$B:$B,0),CELL("col",Table_Customer_Data[[#Headers],[CreditLine]]))</f>
        <v>0</v>
      </c>
      <c r="Y13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7" s="26"/>
      <c r="AA13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37" s="26"/>
      <c r="AC137" s="16"/>
      <c r="AD137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7" s="26"/>
      <c r="AF137" s="16"/>
      <c r="AG13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7" s="26"/>
      <c r="AI137" s="6"/>
      <c r="AJ13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7" s="26"/>
      <c r="AL137" s="9"/>
      <c r="AM13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7" s="26"/>
      <c r="AO137" s="11"/>
      <c r="AP13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7" s="26"/>
      <c r="AR137" s="6"/>
      <c r="AS13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7" s="22" cm="1">
        <f t="array" aca="1" ref="AT137" ca="1">INDEX('SAP Customer Data '!A:Z,MATCH(بيانات_العملاء4[[#This Row],[رمز شريك الأعمال]],'SAP Customer Data '!B:B,0),CELL("col",Table_Customer_Data[[#Headers],[CreateDate]]))</f>
        <v>44871</v>
      </c>
      <c r="AU137" s="30"/>
      <c r="AV137" s="11"/>
      <c r="AW137" s="6" t="s">
        <v>846</v>
      </c>
      <c r="AX137" s="6"/>
    </row>
    <row r="138" spans="1:50" x14ac:dyDescent="0.25">
      <c r="A138" s="17" t="str" cm="1">
        <f t="array" aca="1" ref="A138" ca="1">INDEX('SAP Customer Data '!$A:$AC,MATCH(بيانات_العملاء4[[#This Row],[رمز شريك الأعمال]],'SAP Customer Data '!$B:$B,0),CELL("col",Table_Customer_Data[[#Headers],[GroupName]]))</f>
        <v>CS14</v>
      </c>
      <c r="B138" s="8" t="s">
        <v>477</v>
      </c>
      <c r="C138" s="18" t="str" cm="1">
        <f t="array" aca="1" ref="C138" ca="1">INDEX('SAP Customer Data '!$A:$AC,MATCH(بيانات_العملاء4[[#This Row],[رمز شريك الأعمال]],'SAP Customer Data '!$B:$B,0),CELL("col",Table_Customer_Data[[#Headers],[CardName]]))</f>
        <v>CS14 - عمبل بضمان المندوب</v>
      </c>
      <c r="D138" s="26"/>
      <c r="E138" s="6"/>
      <c r="F138" s="26"/>
      <c r="G138" s="26"/>
      <c r="H138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8" s="26"/>
      <c r="J138" s="9"/>
      <c r="K138" s="27"/>
      <c r="L138" s="19" t="str">
        <f ca="1">IF(AND(بيانات_العملاء4[[#This Row],[السجل التجارى]]="موجود",TODAY()+'Other Data'!$B$23&lt;J138,بيانات_العملاء4[[#This Row],[مطابقة اسم العميل بالاسم بالسجل التجارى]]="مطابق"), "سارى", "يجب اعادة طلبه")</f>
        <v>يجب اعادة طلبه</v>
      </c>
      <c r="M138" s="28"/>
      <c r="N138" s="13" t="str" cm="1">
        <f t="array" aca="1" ref="N138" ca="1">INDEX('SAP Customer Data '!A:Z,MATCH(بيانات_العملاء4[[#This Row],[رمز شريك الأعمال]],'SAP Customer Data '!B:B,0),CELL("col",Table_Customer_Data[[#Headers],[LicTradNum]]))</f>
        <v>عمر الديب</v>
      </c>
      <c r="O13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8" s="26"/>
      <c r="Q138" s="9"/>
      <c r="R138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8" s="26"/>
      <c r="T138" s="10"/>
      <c r="U138" s="11"/>
      <c r="V13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8" s="18" cm="1">
        <f t="array" aca="1" ref="X138" ca="1">INDEX('SAP Customer Data '!$A:$AC,MATCH(بيانات_العملاء4[[#This Row],[رمز شريك الأعمال]],'SAP Customer Data '!$B:$B,0),CELL("col",Table_Customer_Data[[#Headers],[CreditLine]]))</f>
        <v>0</v>
      </c>
      <c r="Y13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8" s="26"/>
      <c r="AA13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38" s="26"/>
      <c r="AC138" s="16"/>
      <c r="AD138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8" s="26"/>
      <c r="AF138" s="16"/>
      <c r="AG13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8" s="26"/>
      <c r="AI138" s="6"/>
      <c r="AJ13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8" s="26"/>
      <c r="AL138" s="9"/>
      <c r="AM13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8" s="26"/>
      <c r="AO138" s="11"/>
      <c r="AP13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8" s="26"/>
      <c r="AR138" s="6"/>
      <c r="AS13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8" s="22" cm="1">
        <f t="array" aca="1" ref="AT138" ca="1">INDEX('SAP Customer Data '!A:Z,MATCH(بيانات_العملاء4[[#This Row],[رمز شريك الأعمال]],'SAP Customer Data '!B:B,0),CELL("col",Table_Customer_Data[[#Headers],[CreateDate]]))</f>
        <v>45012</v>
      </c>
      <c r="AU138" s="30"/>
      <c r="AV138" s="11"/>
      <c r="AW138" s="6" t="s">
        <v>846</v>
      </c>
      <c r="AX138" s="6"/>
    </row>
    <row r="139" spans="1:50" x14ac:dyDescent="0.25">
      <c r="A139" s="17" t="str" cm="1">
        <f t="array" aca="1" ref="A139" ca="1">INDEX('SAP Customer Data '!$A:$AC,MATCH(بيانات_العملاء4[[#This Row],[رمز شريك الأعمال]],'SAP Customer Data '!$B:$B,0),CELL("col",Table_Customer_Data[[#Headers],[GroupName]]))</f>
        <v>CS09</v>
      </c>
      <c r="B139" s="8" t="s">
        <v>480</v>
      </c>
      <c r="C139" s="18" t="str" cm="1">
        <f t="array" aca="1" ref="C139" ca="1">INDEX('SAP Customer Data '!$A:$AC,MATCH(بيانات_العملاء4[[#This Row],[رمز شريك الأعمال]],'SAP Customer Data '!$B:$B,0),CELL("col",Table_Customer_Data[[#Headers],[CardName]]))</f>
        <v>عميل بضمان المندوب -CS09</v>
      </c>
      <c r="D139" s="26"/>
      <c r="E139" s="6"/>
      <c r="F139" s="26"/>
      <c r="G139" s="26"/>
      <c r="H139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9" s="26"/>
      <c r="J139" s="9"/>
      <c r="K139" s="27"/>
      <c r="L139" s="19" t="str">
        <f ca="1">IF(AND(بيانات_العملاء4[[#This Row],[السجل التجارى]]="موجود",TODAY()+'Other Data'!$B$23&lt;J139,بيانات_العملاء4[[#This Row],[مطابقة اسم العميل بالاسم بالسجل التجارى]]="مطابق"), "سارى", "يجب اعادة طلبه")</f>
        <v>يجب اعادة طلبه</v>
      </c>
      <c r="M139" s="28"/>
      <c r="N139" s="13" cm="1">
        <f t="array" aca="1" ref="N139" ca="1">INDEX('SAP Customer Data '!A:Z,MATCH(بيانات_العملاء4[[#This Row],[رمز شريك الأعمال]],'SAP Customer Data '!B:B,0),CELL("col",Table_Customer_Data[[#Headers],[LicTradNum]]))</f>
        <v>0</v>
      </c>
      <c r="O13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9" s="26"/>
      <c r="Q139" s="9"/>
      <c r="R139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9" s="26"/>
      <c r="T139" s="10"/>
      <c r="U139" s="11"/>
      <c r="V139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9" s="18" cm="1">
        <f t="array" aca="1" ref="X139" ca="1">INDEX('SAP Customer Data '!$A:$AC,MATCH(بيانات_العملاء4[[#This Row],[رمز شريك الأعمال]],'SAP Customer Data '!$B:$B,0),CELL("col",Table_Customer_Data[[#Headers],[CreditLine]]))</f>
        <v>0</v>
      </c>
      <c r="Y13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9" s="26"/>
      <c r="AA13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39" s="26"/>
      <c r="AC139" s="16"/>
      <c r="AD139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9" s="26"/>
      <c r="AF139" s="16"/>
      <c r="AG13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9" s="26"/>
      <c r="AI139" s="6"/>
      <c r="AJ13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9" s="26"/>
      <c r="AL139" s="9"/>
      <c r="AM13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9" s="26"/>
      <c r="AO139" s="11"/>
      <c r="AP13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9" s="26"/>
      <c r="AR139" s="6"/>
      <c r="AS13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9" s="22" cm="1">
        <f t="array" aca="1" ref="AT139" ca="1">INDEX('SAP Customer Data '!A:Z,MATCH(بيانات_العملاء4[[#This Row],[رمز شريك الأعمال]],'SAP Customer Data '!B:B,0),CELL("col",Table_Customer_Data[[#Headers],[CreateDate]]))</f>
        <v>44871</v>
      </c>
      <c r="AU139" s="30"/>
      <c r="AV139" s="11"/>
      <c r="AW139" s="6" t="s">
        <v>846</v>
      </c>
      <c r="AX139" s="6"/>
    </row>
    <row r="140" spans="1:50" x14ac:dyDescent="0.25">
      <c r="A140" s="17" t="str" cm="1">
        <f t="array" aca="1" ref="A140" ca="1">INDEX('SAP Customer Data '!$A:$AC,MATCH(بيانات_العملاء4[[#This Row],[رمز شريك الأعمال]],'SAP Customer Data '!$B:$B,0),CELL("col",Table_Customer_Data[[#Headers],[GroupName]]))</f>
        <v>LB01</v>
      </c>
      <c r="B140" s="8" t="s">
        <v>512</v>
      </c>
      <c r="C140" s="18" t="str" cm="1">
        <f t="array" aca="1" ref="C140" ca="1">INDEX('SAP Customer Data '!$A:$AC,MATCH(بيانات_العملاء4[[#This Row],[رمز شريك الأعمال]],'SAP Customer Data '!$B:$B,0),CELL("col",Table_Customer_Data[[#Headers],[CardName]]))</f>
        <v>عميل بضمان المندوب LB01</v>
      </c>
      <c r="D140" s="26"/>
      <c r="E140" s="6"/>
      <c r="F140" s="26"/>
      <c r="G140" s="26"/>
      <c r="H140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0" s="26"/>
      <c r="J140" s="9"/>
      <c r="K140" s="27"/>
      <c r="L140" s="19" t="str">
        <f ca="1">IF(AND(بيانات_العملاء4[[#This Row],[السجل التجارى]]="موجود",TODAY()+'Other Data'!$B$23&lt;J140,بيانات_العملاء4[[#This Row],[مطابقة اسم العميل بالاسم بالسجل التجارى]]="مطابق"), "سارى", "يجب اعادة طلبه")</f>
        <v>يجب اعادة طلبه</v>
      </c>
      <c r="M140" s="28"/>
      <c r="N140" s="13" cm="1">
        <f t="array" aca="1" ref="N140" ca="1">INDEX('SAP Customer Data '!A:Z,MATCH(بيانات_العملاء4[[#This Row],[رمز شريك الأعمال]],'SAP Customer Data '!B:B,0),CELL("col",Table_Customer_Data[[#Headers],[LicTradNum]]))</f>
        <v>0</v>
      </c>
      <c r="O14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0" s="26"/>
      <c r="Q140" s="9"/>
      <c r="R140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0" s="26"/>
      <c r="T140" s="10"/>
      <c r="U140" s="11"/>
      <c r="V14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0" s="18" cm="1">
        <f t="array" aca="1" ref="X140" ca="1">INDEX('SAP Customer Data '!$A:$AC,MATCH(بيانات_العملاء4[[#This Row],[رمز شريك الأعمال]],'SAP Customer Data '!$B:$B,0),CELL("col",Table_Customer_Data[[#Headers],[CreditLine]]))</f>
        <v>0</v>
      </c>
      <c r="Y14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0" s="26"/>
      <c r="AA14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0" s="26"/>
      <c r="AC140" s="16"/>
      <c r="AD140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0" s="26"/>
      <c r="AF140" s="16"/>
      <c r="AG14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0" s="26"/>
      <c r="AI140" s="6"/>
      <c r="AJ14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0" s="26"/>
      <c r="AL140" s="9"/>
      <c r="AM14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0" s="26"/>
      <c r="AO140" s="11"/>
      <c r="AP14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0" s="26"/>
      <c r="AR140" s="6"/>
      <c r="AS14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0" s="22" cm="1">
        <f t="array" aca="1" ref="AT140" ca="1">INDEX('SAP Customer Data '!A:Z,MATCH(بيانات_العملاء4[[#This Row],[رمز شريك الأعمال]],'SAP Customer Data '!B:B,0),CELL("col",Table_Customer_Data[[#Headers],[CreateDate]]))</f>
        <v>44649</v>
      </c>
      <c r="AU140" s="30"/>
      <c r="AV140" s="11"/>
      <c r="AW140" s="6" t="s">
        <v>846</v>
      </c>
      <c r="AX140" s="6"/>
    </row>
    <row r="141" spans="1:50" x14ac:dyDescent="0.25">
      <c r="A141" s="17" t="str" cm="1">
        <f t="array" aca="1" ref="A141" ca="1">INDEX('SAP Customer Data '!$A:$AC,MATCH(بيانات_العملاء4[[#This Row],[رمز شريك الأعمال]],'SAP Customer Data '!$B:$B,0),CELL("col",Table_Customer_Data[[#Headers],[GroupName]]))</f>
        <v>LB02</v>
      </c>
      <c r="B141" s="8" t="s">
        <v>516</v>
      </c>
      <c r="C141" s="18" t="str" cm="1">
        <f t="array" aca="1" ref="C141" ca="1">INDEX('SAP Customer Data '!$A:$AC,MATCH(بيانات_العملاء4[[#This Row],[رمز شريك الأعمال]],'SAP Customer Data '!$B:$B,0),CELL("col",Table_Customer_Data[[#Headers],[CardName]]))</f>
        <v>عميل بضمان المندوب LB02</v>
      </c>
      <c r="D141" s="26"/>
      <c r="E141" s="6"/>
      <c r="F141" s="26"/>
      <c r="G141" s="26"/>
      <c r="H141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1" s="26"/>
      <c r="J141" s="9"/>
      <c r="K141" s="27"/>
      <c r="L141" s="19" t="str">
        <f ca="1">IF(AND(بيانات_العملاء4[[#This Row],[السجل التجارى]]="موجود",TODAY()+'Other Data'!$B$23&lt;J141,بيانات_العملاء4[[#This Row],[مطابقة اسم العميل بالاسم بالسجل التجارى]]="مطابق"), "سارى", "يجب اعادة طلبه")</f>
        <v>يجب اعادة طلبه</v>
      </c>
      <c r="M141" s="28"/>
      <c r="N141" s="13" cm="1">
        <f t="array" aca="1" ref="N141" ca="1">INDEX('SAP Customer Data '!A:Z,MATCH(بيانات_العملاء4[[#This Row],[رمز شريك الأعمال]],'SAP Customer Data '!B:B,0),CELL("col",Table_Customer_Data[[#Headers],[LicTradNum]]))</f>
        <v>0</v>
      </c>
      <c r="O14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1" s="26"/>
      <c r="Q141" s="9"/>
      <c r="R141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1" s="26"/>
      <c r="T141" s="10"/>
      <c r="U141" s="11"/>
      <c r="V141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1" s="18" cm="1">
        <f t="array" aca="1" ref="X141" ca="1">INDEX('SAP Customer Data '!$A:$AC,MATCH(بيانات_العملاء4[[#This Row],[رمز شريك الأعمال]],'SAP Customer Data '!$B:$B,0),CELL("col",Table_Customer_Data[[#Headers],[CreditLine]]))</f>
        <v>0</v>
      </c>
      <c r="Y14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1" s="26"/>
      <c r="AA14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1" s="26"/>
      <c r="AC141" s="16"/>
      <c r="AD141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1" s="26"/>
      <c r="AF141" s="16"/>
      <c r="AG14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1" s="26"/>
      <c r="AI141" s="6"/>
      <c r="AJ14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1" s="26"/>
      <c r="AL141" s="9"/>
      <c r="AM14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1" s="26"/>
      <c r="AO141" s="11"/>
      <c r="AP14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1" s="26"/>
      <c r="AR141" s="6"/>
      <c r="AS14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1" s="22" cm="1">
        <f t="array" aca="1" ref="AT141" ca="1">INDEX('SAP Customer Data '!A:Z,MATCH(بيانات_العملاء4[[#This Row],[رمز شريك الأعمال]],'SAP Customer Data '!B:B,0),CELL("col",Table_Customer_Data[[#Headers],[CreateDate]]))</f>
        <v>44649</v>
      </c>
      <c r="AU141" s="30"/>
      <c r="AV141" s="11"/>
      <c r="AW141" s="6" t="s">
        <v>846</v>
      </c>
      <c r="AX141" s="6"/>
    </row>
    <row r="142" spans="1:50" x14ac:dyDescent="0.25">
      <c r="A142" s="17" t="str" cm="1">
        <f t="array" aca="1" ref="A142" ca="1">INDEX('SAP Customer Data '!$A:$AC,MATCH(بيانات_العملاء4[[#This Row],[رمز شريك الأعمال]],'SAP Customer Data '!$B:$B,0),CELL("col",Table_Customer_Data[[#Headers],[GroupName]]))</f>
        <v>LB10</v>
      </c>
      <c r="B142" s="8" t="s">
        <v>529</v>
      </c>
      <c r="C142" s="18" t="str" cm="1">
        <f t="array" aca="1" ref="C142" ca="1">INDEX('SAP Customer Data '!$A:$AC,MATCH(بيانات_العملاء4[[#This Row],[رمز شريك الأعمال]],'SAP Customer Data '!$B:$B,0),CELL("col",Table_Customer_Data[[#Headers],[CardName]]))</f>
        <v>عميل بضمان المندوب LB10</v>
      </c>
      <c r="D142" s="26"/>
      <c r="E142" s="6"/>
      <c r="F142" s="26"/>
      <c r="G142" s="26"/>
      <c r="H142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2" s="26"/>
      <c r="J142" s="9"/>
      <c r="K142" s="27"/>
      <c r="L142" s="19" t="str">
        <f ca="1">IF(AND(بيانات_العملاء4[[#This Row],[السجل التجارى]]="موجود",TODAY()+'Other Data'!$B$23&lt;J142,بيانات_العملاء4[[#This Row],[مطابقة اسم العميل بالاسم بالسجل التجارى]]="مطابق"), "سارى", "يجب اعادة طلبه")</f>
        <v>يجب اعادة طلبه</v>
      </c>
      <c r="M142" s="28"/>
      <c r="N142" s="13" cm="1">
        <f t="array" aca="1" ref="N142" ca="1">INDEX('SAP Customer Data '!A:Z,MATCH(بيانات_العملاء4[[#This Row],[رمز شريك الأعمال]],'SAP Customer Data '!B:B,0),CELL("col",Table_Customer_Data[[#Headers],[LicTradNum]]))</f>
        <v>0</v>
      </c>
      <c r="O14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2" s="26"/>
      <c r="Q142" s="9"/>
      <c r="R142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2" s="26"/>
      <c r="T142" s="10"/>
      <c r="U142" s="11"/>
      <c r="V14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2" s="18" cm="1">
        <f t="array" aca="1" ref="X142" ca="1">INDEX('SAP Customer Data '!$A:$AC,MATCH(بيانات_العملاء4[[#This Row],[رمز شريك الأعمال]],'SAP Customer Data '!$B:$B,0),CELL("col",Table_Customer_Data[[#Headers],[CreditLine]]))</f>
        <v>0</v>
      </c>
      <c r="Y14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2" s="26"/>
      <c r="AA14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2" s="26"/>
      <c r="AC142" s="16"/>
      <c r="AD142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2" s="26"/>
      <c r="AF142" s="16"/>
      <c r="AG14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2" s="26"/>
      <c r="AI142" s="6"/>
      <c r="AJ14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2" s="26"/>
      <c r="AL142" s="9"/>
      <c r="AM14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2" s="26"/>
      <c r="AO142" s="11"/>
      <c r="AP14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2" s="26"/>
      <c r="AR142" s="6"/>
      <c r="AS14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2" s="22" cm="1">
        <f t="array" aca="1" ref="AT142" ca="1">INDEX('SAP Customer Data '!A:Z,MATCH(بيانات_العملاء4[[#This Row],[رمز شريك الأعمال]],'SAP Customer Data '!B:B,0),CELL("col",Table_Customer_Data[[#Headers],[CreateDate]]))</f>
        <v>44703</v>
      </c>
      <c r="AU142" s="30"/>
      <c r="AV142" s="11"/>
      <c r="AW142" s="6" t="s">
        <v>846</v>
      </c>
      <c r="AX142" s="6"/>
    </row>
    <row r="143" spans="1:50" x14ac:dyDescent="0.25">
      <c r="A143" s="17" t="str" cm="1">
        <f t="array" aca="1" ref="A143" ca="1">INDEX('SAP Customer Data '!$A:$AC,MATCH(بيانات_العملاء4[[#This Row],[رمز شريك الأعمال]],'SAP Customer Data '!$B:$B,0),CELL("col",Table_Customer_Data[[#Headers],[GroupName]]))</f>
        <v>LB04</v>
      </c>
      <c r="B143" s="8" t="s">
        <v>537</v>
      </c>
      <c r="C143" s="18" t="str" cm="1">
        <f t="array" aca="1" ref="C143" ca="1">INDEX('SAP Customer Data '!$A:$AC,MATCH(بيانات_العملاء4[[#This Row],[رمز شريك الأعمال]],'SAP Customer Data '!$B:$B,0),CELL("col",Table_Customer_Data[[#Headers],[CardName]]))</f>
        <v>عميل بضمان المندوب LB04</v>
      </c>
      <c r="D143" s="26"/>
      <c r="E143" s="6"/>
      <c r="F143" s="26"/>
      <c r="G143" s="26"/>
      <c r="H143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3" s="26"/>
      <c r="J143" s="9"/>
      <c r="K143" s="27"/>
      <c r="L143" s="19" t="str">
        <f ca="1">IF(AND(بيانات_العملاء4[[#This Row],[السجل التجارى]]="موجود",TODAY()+'Other Data'!$B$23&lt;J143,بيانات_العملاء4[[#This Row],[مطابقة اسم العميل بالاسم بالسجل التجارى]]="مطابق"), "سارى", "يجب اعادة طلبه")</f>
        <v>يجب اعادة طلبه</v>
      </c>
      <c r="M143" s="28"/>
      <c r="N143" s="13" cm="1">
        <f t="array" aca="1" ref="N143" ca="1">INDEX('SAP Customer Data '!A:Z,MATCH(بيانات_العملاء4[[#This Row],[رمز شريك الأعمال]],'SAP Customer Data '!B:B,0),CELL("col",Table_Customer_Data[[#Headers],[LicTradNum]]))</f>
        <v>0</v>
      </c>
      <c r="O14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3" s="26"/>
      <c r="Q143" s="9"/>
      <c r="R143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3" s="26"/>
      <c r="T143" s="10"/>
      <c r="U143" s="11"/>
      <c r="V143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3" s="18" cm="1">
        <f t="array" aca="1" ref="X143" ca="1">INDEX('SAP Customer Data '!$A:$AC,MATCH(بيانات_العملاء4[[#This Row],[رمز شريك الأعمال]],'SAP Customer Data '!$B:$B,0),CELL("col",Table_Customer_Data[[#Headers],[CreditLine]]))</f>
        <v>0</v>
      </c>
      <c r="Y14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3" s="26"/>
      <c r="AA14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3" s="26"/>
      <c r="AC143" s="16"/>
      <c r="AD143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3" s="26"/>
      <c r="AF143" s="16"/>
      <c r="AG14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3" s="26"/>
      <c r="AI143" s="6"/>
      <c r="AJ14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3" s="26"/>
      <c r="AL143" s="9"/>
      <c r="AM14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3" s="26"/>
      <c r="AO143" s="11"/>
      <c r="AP14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3" s="26"/>
      <c r="AR143" s="6"/>
      <c r="AS14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3" s="22" cm="1">
        <f t="array" aca="1" ref="AT143" ca="1">INDEX('SAP Customer Data '!A:Z,MATCH(بيانات_العملاء4[[#This Row],[رمز شريك الأعمال]],'SAP Customer Data '!B:B,0),CELL("col",Table_Customer_Data[[#Headers],[CreateDate]]))</f>
        <v>44649</v>
      </c>
      <c r="AU143" s="30"/>
      <c r="AV143" s="11"/>
      <c r="AW143" s="6" t="s">
        <v>846</v>
      </c>
      <c r="AX143" s="6"/>
    </row>
    <row r="144" spans="1:50" x14ac:dyDescent="0.25">
      <c r="A144" s="17" t="str" cm="1">
        <f t="array" aca="1" ref="A144" ca="1">INDEX('SAP Customer Data '!$A:$AC,MATCH(بيانات_العملاء4[[#This Row],[رمز شريك الأعمال]],'SAP Customer Data '!$B:$B,0),CELL("col",Table_Customer_Data[[#Headers],[GroupName]]))</f>
        <v>LB04</v>
      </c>
      <c r="B144" s="8" t="s">
        <v>541</v>
      </c>
      <c r="C144" s="18" t="str" cm="1">
        <f t="array" aca="1" ref="C144" ca="1">INDEX('SAP Customer Data '!$A:$AC,MATCH(بيانات_العملاء4[[#This Row],[رمز شريك الأعمال]],'SAP Customer Data '!$B:$B,0),CELL("col",Table_Customer_Data[[#Headers],[CardName]]))</f>
        <v>عميل بضمان المندوب LB06</v>
      </c>
      <c r="D144" s="26"/>
      <c r="E144" s="6"/>
      <c r="F144" s="26"/>
      <c r="G144" s="26"/>
      <c r="H14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4" s="26"/>
      <c r="J144" s="9"/>
      <c r="K144" s="27"/>
      <c r="L144" s="19" t="str">
        <f ca="1">IF(AND(بيانات_العملاء4[[#This Row],[السجل التجارى]]="موجود",TODAY()+'Other Data'!$B$23&lt;J144,بيانات_العملاء4[[#This Row],[مطابقة اسم العميل بالاسم بالسجل التجارى]]="مطابق"), "سارى", "يجب اعادة طلبه")</f>
        <v>يجب اعادة طلبه</v>
      </c>
      <c r="M144" s="28"/>
      <c r="N144" s="13" cm="1">
        <f t="array" aca="1" ref="N144" ca="1">INDEX('SAP Customer Data '!A:Z,MATCH(بيانات_العملاء4[[#This Row],[رمز شريك الأعمال]],'SAP Customer Data '!B:B,0),CELL("col",Table_Customer_Data[[#Headers],[LicTradNum]]))</f>
        <v>0</v>
      </c>
      <c r="O14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4" s="26"/>
      <c r="Q144" s="9"/>
      <c r="R144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4" s="26"/>
      <c r="T144" s="10"/>
      <c r="U144" s="11"/>
      <c r="V14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4" s="18" cm="1">
        <f t="array" aca="1" ref="X144" ca="1">INDEX('SAP Customer Data '!$A:$AC,MATCH(بيانات_العملاء4[[#This Row],[رمز شريك الأعمال]],'SAP Customer Data '!$B:$B,0),CELL("col",Table_Customer_Data[[#Headers],[CreditLine]]))</f>
        <v>0</v>
      </c>
      <c r="Y14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4" s="26"/>
      <c r="AA14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4" s="26"/>
      <c r="AC144" s="16"/>
      <c r="AD144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4" s="26"/>
      <c r="AF144" s="16"/>
      <c r="AG14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4" s="26"/>
      <c r="AI144" s="6"/>
      <c r="AJ14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4" s="26"/>
      <c r="AL144" s="9"/>
      <c r="AM14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4" s="26"/>
      <c r="AO144" s="11"/>
      <c r="AP14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4" s="26"/>
      <c r="AR144" s="6"/>
      <c r="AS14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4" s="22" cm="1">
        <f t="array" aca="1" ref="AT144" ca="1">INDEX('SAP Customer Data '!A:Z,MATCH(بيانات_العملاء4[[#This Row],[رمز شريك الأعمال]],'SAP Customer Data '!B:B,0),CELL("col",Table_Customer_Data[[#Headers],[CreateDate]]))</f>
        <v>44656</v>
      </c>
      <c r="AU144" s="30"/>
      <c r="AV144" s="11"/>
      <c r="AW144" s="6" t="s">
        <v>846</v>
      </c>
      <c r="AX144" s="6"/>
    </row>
    <row r="145" spans="1:50" x14ac:dyDescent="0.25">
      <c r="A145" s="17" t="str" cm="1">
        <f t="array" aca="1" ref="A145" ca="1">INDEX('SAP Customer Data '!$A:$AC,MATCH(بيانات_العملاء4[[#This Row],[رمز شريك الأعمال]],'SAP Customer Data '!$B:$B,0),CELL("col",Table_Customer_Data[[#Headers],[GroupName]]))</f>
        <v>LB07</v>
      </c>
      <c r="B145" s="8" t="s">
        <v>907</v>
      </c>
      <c r="C145" s="18" t="s">
        <v>908</v>
      </c>
      <c r="D145" s="26" t="s">
        <v>391</v>
      </c>
      <c r="E145" s="6" t="s">
        <v>909</v>
      </c>
      <c r="F145" s="26" t="s">
        <v>385</v>
      </c>
      <c r="G145" s="26" t="s">
        <v>56</v>
      </c>
      <c r="H145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5" s="26" t="s">
        <v>54</v>
      </c>
      <c r="J145" s="9">
        <v>44432</v>
      </c>
      <c r="K145" s="27" t="s">
        <v>55</v>
      </c>
      <c r="L145" s="19" t="str">
        <f ca="1">IF(AND(بيانات_العملاء4[[#This Row],[السجل التجارى]]="موجود",TODAY()+'Other Data'!$B$23&lt;J145,بيانات_العملاء4[[#This Row],[مطابقة اسم العميل بالاسم بالسجل التجارى]]="مطابق"), "سارى", "يجب اعادة طلبه")</f>
        <v>يجب اعادة طلبه</v>
      </c>
      <c r="M145" s="28" t="s">
        <v>54</v>
      </c>
      <c r="N145" s="13" t="str" cm="1">
        <f t="array" aca="1" ref="N145" ca="1">INDEX('SAP Customer Data '!A:Z,MATCH(بيانات_العملاء4[[#This Row],[رمز شريك الأعمال]],'SAP Customer Data '!B:B,0),CELL("col",Table_Customer_Data[[#Headers],[LicTradNum]]))</f>
        <v>310440088200003</v>
      </c>
      <c r="O14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45" s="26" t="s">
        <v>56</v>
      </c>
      <c r="Q145" s="9"/>
      <c r="R145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5" s="26" t="s">
        <v>56</v>
      </c>
      <c r="T145" s="10"/>
      <c r="U145" s="11"/>
      <c r="V145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5" s="18" cm="1">
        <f t="array" aca="1" ref="X145" ca="1">INDEX('SAP Customer Data '!$A:$AC,MATCH(بيانات_العملاء4[[#This Row],[رمز شريك الأعمال]],'SAP Customer Data '!$B:$B,0),CELL("col",Table_Customer_Data[[#Headers],[CreditLine]]))</f>
        <v>0</v>
      </c>
      <c r="Y14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5" s="26"/>
      <c r="AA14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5" s="26" t="s">
        <v>56</v>
      </c>
      <c r="AC145" s="16"/>
      <c r="AD145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5" s="26" t="s">
        <v>56</v>
      </c>
      <c r="AF145" s="16"/>
      <c r="AG14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5" s="26" t="s">
        <v>56</v>
      </c>
      <c r="AI145" s="6"/>
      <c r="AJ14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5" s="26" t="s">
        <v>56</v>
      </c>
      <c r="AL145" s="9"/>
      <c r="AM14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5" s="26" t="s">
        <v>56</v>
      </c>
      <c r="AO145" s="11"/>
      <c r="AP14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5" s="26" t="s">
        <v>56</v>
      </c>
      <c r="AR145" s="6"/>
      <c r="AS14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5" s="22" cm="1">
        <f t="array" aca="1" ref="AT145" ca="1">INDEX('SAP Customer Data '!A:Z,MATCH(بيانات_العملاء4[[#This Row],[رمز شريك الأعمال]],'SAP Customer Data '!B:B,0),CELL("col",Table_Customer_Data[[#Headers],[CreateDate]]))</f>
        <v>45097</v>
      </c>
      <c r="AU145" s="30"/>
      <c r="AV145" s="11"/>
      <c r="AW145" s="6"/>
      <c r="AX145" s="6"/>
    </row>
    <row r="146" spans="1:50" x14ac:dyDescent="0.25">
      <c r="A146" s="17" t="str" cm="1">
        <f t="array" aca="1" ref="A146" ca="1">INDEX('SAP Customer Data '!$A:$AC,MATCH(بيانات_العملاء4[[#This Row],[رمز شريك الأعمال]],'SAP Customer Data '!$B:$B,0),CELL("col",Table_Customer_Data[[#Headers],[GroupName]]))</f>
        <v>LB07</v>
      </c>
      <c r="B146" s="8" t="s">
        <v>548</v>
      </c>
      <c r="C146" s="18" t="str" cm="1">
        <f t="array" aca="1" ref="C146" ca="1">INDEX('SAP Customer Data '!$A:$AC,MATCH(بيانات_العملاء4[[#This Row],[رمز شريك الأعمال]],'SAP Customer Data '!$B:$B,0),CELL("col",Table_Customer_Data[[#Headers],[CardName]]))</f>
        <v>عميل بضمان المندوب LB07</v>
      </c>
      <c r="D146" s="26"/>
      <c r="E146" s="6"/>
      <c r="F146" s="26"/>
      <c r="G146" s="26"/>
      <c r="H146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6" s="26"/>
      <c r="J146" s="9"/>
      <c r="K146" s="27"/>
      <c r="L146" s="19" t="str">
        <f ca="1">IF(AND(بيانات_العملاء4[[#This Row],[السجل التجارى]]="موجود",TODAY()+'Other Data'!$B$23&lt;J146,بيانات_العملاء4[[#This Row],[مطابقة اسم العميل بالاسم بالسجل التجارى]]="مطابق"), "سارى", "يجب اعادة طلبه")</f>
        <v>يجب اعادة طلبه</v>
      </c>
      <c r="M146" s="28"/>
      <c r="N146" s="13" t="str" cm="1">
        <f t="array" aca="1" ref="N146" ca="1">INDEX('SAP Customer Data '!A:Z,MATCH(بيانات_العملاء4[[#This Row],[رمز شريك الأعمال]],'SAP Customer Data '!B:B,0),CELL("col",Table_Customer_Data[[#Headers],[LicTradNum]]))</f>
        <v>حسام شيحة</v>
      </c>
      <c r="O14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6" s="26"/>
      <c r="Q146" s="9"/>
      <c r="R146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6" s="26"/>
      <c r="T146" s="10"/>
      <c r="U146" s="11"/>
      <c r="V146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6" s="18" cm="1">
        <f t="array" aca="1" ref="X146" ca="1">INDEX('SAP Customer Data '!$A:$AC,MATCH(بيانات_العملاء4[[#This Row],[رمز شريك الأعمال]],'SAP Customer Data '!$B:$B,0),CELL("col",Table_Customer_Data[[#Headers],[CreditLine]]))</f>
        <v>0</v>
      </c>
      <c r="Y14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6" s="26"/>
      <c r="AA14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6" s="26"/>
      <c r="AC146" s="16"/>
      <c r="AD146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6" s="26"/>
      <c r="AF146" s="16"/>
      <c r="AG14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6" s="26"/>
      <c r="AI146" s="6"/>
      <c r="AJ14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6" s="26"/>
      <c r="AL146" s="9"/>
      <c r="AM14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6" s="26"/>
      <c r="AO146" s="11"/>
      <c r="AP14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6" s="26"/>
      <c r="AR146" s="6"/>
      <c r="AS14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6" s="22" cm="1">
        <f t="array" aca="1" ref="AT146" ca="1">INDEX('SAP Customer Data '!A:Z,MATCH(بيانات_العملاء4[[#This Row],[رمز شريك الأعمال]],'SAP Customer Data '!B:B,0),CELL("col",Table_Customer_Data[[#Headers],[CreateDate]]))</f>
        <v>44843</v>
      </c>
      <c r="AU146" s="30"/>
      <c r="AV146" s="11"/>
      <c r="AW146" s="6" t="s">
        <v>846</v>
      </c>
      <c r="AX146" s="6"/>
    </row>
    <row r="147" spans="1:50" x14ac:dyDescent="0.25">
      <c r="A147" s="17" t="str" cm="1">
        <f t="array" aca="1" ref="A147" ca="1">INDEX('SAP Customer Data '!$A:$AC,MATCH(بيانات_العملاء4[[#This Row],[رمز شريك الأعمال]],'SAP Customer Data '!$B:$B,0),CELL("col",Table_Customer_Data[[#Headers],[GroupName]]))</f>
        <v>LB09</v>
      </c>
      <c r="B147" s="8" t="s">
        <v>551</v>
      </c>
      <c r="C147" s="18" t="str" cm="1">
        <f t="array" aca="1" ref="C147" ca="1">INDEX('SAP Customer Data '!$A:$AC,MATCH(بيانات_العملاء4[[#This Row],[رمز شريك الأعمال]],'SAP Customer Data '!$B:$B,0),CELL("col",Table_Customer_Data[[#Headers],[CardName]]))</f>
        <v>عميل بضمان المندوب LB09</v>
      </c>
      <c r="D147" s="26"/>
      <c r="E147" s="6"/>
      <c r="F147" s="26"/>
      <c r="G147" s="26"/>
      <c r="H147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7" s="26"/>
      <c r="J147" s="9"/>
      <c r="K147" s="27"/>
      <c r="L147" s="19" t="str">
        <f ca="1">IF(AND(بيانات_العملاء4[[#This Row],[السجل التجارى]]="موجود",TODAY()+'Other Data'!$B$23&lt;J147,بيانات_العملاء4[[#This Row],[مطابقة اسم العميل بالاسم بالسجل التجارى]]="مطابق"), "سارى", "يجب اعادة طلبه")</f>
        <v>يجب اعادة طلبه</v>
      </c>
      <c r="M147" s="28"/>
      <c r="N147" s="13" t="str" cm="1">
        <f t="array" aca="1" ref="N147" ca="1">INDEX('SAP Customer Data '!A:Z,MATCH(بيانات_العملاء4[[#This Row],[رمز شريك الأعمال]],'SAP Customer Data '!B:B,0),CELL("col",Table_Customer_Data[[#Headers],[LicTradNum]]))</f>
        <v>كريم</v>
      </c>
      <c r="O14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7" s="26"/>
      <c r="Q147" s="9"/>
      <c r="R147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7" s="26"/>
      <c r="T147" s="10"/>
      <c r="U147" s="11"/>
      <c r="V147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7" s="18" cm="1">
        <f t="array" aca="1" ref="X147" ca="1">INDEX('SAP Customer Data '!$A:$AC,MATCH(بيانات_العملاء4[[#This Row],[رمز شريك الأعمال]],'SAP Customer Data '!$B:$B,0),CELL("col",Table_Customer_Data[[#Headers],[CreditLine]]))</f>
        <v>0</v>
      </c>
      <c r="Y14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7" s="26"/>
      <c r="AA14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7" s="26"/>
      <c r="AC147" s="16"/>
      <c r="AD147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7" s="26"/>
      <c r="AF147" s="16"/>
      <c r="AG14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7" s="26"/>
      <c r="AI147" s="6"/>
      <c r="AJ14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7" s="26"/>
      <c r="AL147" s="9"/>
      <c r="AM14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7" s="26"/>
      <c r="AO147" s="11"/>
      <c r="AP14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7" s="26"/>
      <c r="AR147" s="6"/>
      <c r="AS14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7" s="22" cm="1">
        <f t="array" aca="1" ref="AT147" ca="1">INDEX('SAP Customer Data '!A:Z,MATCH(بيانات_العملاء4[[#This Row],[رمز شريك الأعمال]],'SAP Customer Data '!B:B,0),CELL("col",Table_Customer_Data[[#Headers],[CreateDate]]))</f>
        <v>44847</v>
      </c>
      <c r="AU147" s="30"/>
      <c r="AV147" s="11"/>
      <c r="AW147" s="6" t="s">
        <v>846</v>
      </c>
      <c r="AX147" s="6"/>
    </row>
    <row r="148" spans="1:50" x14ac:dyDescent="0.25">
      <c r="A148" s="17" t="str" cm="1">
        <f t="array" aca="1" ref="A148" ca="1">INDEX('SAP Customer Data '!$A:$AC,MATCH(بيانات_العملاء4[[#This Row],[رمز شريك الأعمال]],'SAP Customer Data '!$B:$B,0),CELL("col",Table_Customer_Data[[#Headers],[GroupName]]))</f>
        <v>LB08</v>
      </c>
      <c r="B148" s="8" t="s">
        <v>591</v>
      </c>
      <c r="C148" s="18" t="str" cm="1">
        <f t="array" aca="1" ref="C148" ca="1">INDEX('SAP Customer Data '!$A:$AC,MATCH(بيانات_العملاء4[[#This Row],[رمز شريك الأعمال]],'SAP Customer Data '!$B:$B,0),CELL("col",Table_Customer_Data[[#Headers],[CardName]]))</f>
        <v>عميل بضمان المندوب LB08</v>
      </c>
      <c r="D148" s="26"/>
      <c r="E148" s="6"/>
      <c r="F148" s="26"/>
      <c r="G148" s="26"/>
      <c r="H148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8" s="26"/>
      <c r="J148" s="9"/>
      <c r="K148" s="27"/>
      <c r="L148" s="19" t="str">
        <f ca="1">IF(AND(بيانات_العملاء4[[#This Row],[السجل التجارى]]="موجود",TODAY()+'Other Data'!$B$23&lt;J148,بيانات_العملاء4[[#This Row],[مطابقة اسم العميل بالاسم بالسجل التجارى]]="مطابق"), "سارى", "يجب اعادة طلبه")</f>
        <v>يجب اعادة طلبه</v>
      </c>
      <c r="M148" s="28"/>
      <c r="N148" s="13" t="str" cm="1">
        <f t="array" aca="1" ref="N148" ca="1">INDEX('SAP Customer Data '!A:Z,MATCH(بيانات_العملاء4[[#This Row],[رمز شريك الأعمال]],'SAP Customer Data '!B:B,0),CELL("col",Table_Customer_Data[[#Headers],[LicTradNum]]))</f>
        <v>طارق الزحيلى</v>
      </c>
      <c r="O14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8" s="26"/>
      <c r="Q148" s="9"/>
      <c r="R148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8" s="26"/>
      <c r="T148" s="10"/>
      <c r="U148" s="11"/>
      <c r="V14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8" s="18" cm="1">
        <f t="array" aca="1" ref="X148" ca="1">INDEX('SAP Customer Data '!$A:$AC,MATCH(بيانات_العملاء4[[#This Row],[رمز شريك الأعمال]],'SAP Customer Data '!$B:$B,0),CELL("col",Table_Customer_Data[[#Headers],[CreditLine]]))</f>
        <v>0</v>
      </c>
      <c r="Y14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8" s="26"/>
      <c r="AA14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8" s="26"/>
      <c r="AC148" s="16"/>
      <c r="AD148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8" s="26"/>
      <c r="AF148" s="16"/>
      <c r="AG14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8" s="26"/>
      <c r="AI148" s="6"/>
      <c r="AJ14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8" s="26"/>
      <c r="AL148" s="9"/>
      <c r="AM14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8" s="26"/>
      <c r="AO148" s="11"/>
      <c r="AP14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8" s="26"/>
      <c r="AR148" s="6"/>
      <c r="AS14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8" s="22" cm="1">
        <f t="array" aca="1" ref="AT148" ca="1">INDEX('SAP Customer Data '!A:Z,MATCH(بيانات_العملاء4[[#This Row],[رمز شريك الأعمال]],'SAP Customer Data '!B:B,0),CELL("col",Table_Customer_Data[[#Headers],[CreateDate]]))</f>
        <v>44962</v>
      </c>
      <c r="AU148" s="30"/>
      <c r="AV148" s="11"/>
      <c r="AW148" s="6" t="s">
        <v>846</v>
      </c>
      <c r="AX148" s="6"/>
    </row>
    <row r="149" spans="1:50" x14ac:dyDescent="0.25">
      <c r="A149" s="17" t="str" cm="1">
        <f t="array" aca="1" ref="A149" ca="1">INDEX('SAP Customer Data '!$A:$AC,MATCH(بيانات_العملاء4[[#This Row],[رمز شريك الأعمال]],'SAP Customer Data '!$B:$B,0),CELL("col",Table_Customer_Data[[#Headers],[GroupName]]))</f>
        <v>CS01</v>
      </c>
      <c r="B149" s="8" t="s">
        <v>596</v>
      </c>
      <c r="C149" s="18" t="str" cm="1">
        <f t="array" aca="1" ref="C149" ca="1">INDEX('SAP Customer Data '!$A:$AC,MATCH(بيانات_العملاء4[[#This Row],[رمز شريك الأعمال]],'SAP Customer Data '!$B:$B,0),CELL("col",Table_Customer_Data[[#Headers],[CardName]]))</f>
        <v>عميل بضمان المندوب LB05</v>
      </c>
      <c r="D149" s="26"/>
      <c r="E149" s="6"/>
      <c r="F149" s="26"/>
      <c r="G149" s="26"/>
      <c r="H149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9" s="26"/>
      <c r="J149" s="9"/>
      <c r="K149" s="27"/>
      <c r="L149" s="19" t="str">
        <f ca="1">IF(AND(بيانات_العملاء4[[#This Row],[السجل التجارى]]="موجود",TODAY()+'Other Data'!$B$23&lt;J149,بيانات_العملاء4[[#This Row],[مطابقة اسم العميل بالاسم بالسجل التجارى]]="مطابق"), "سارى", "يجب اعادة طلبه")</f>
        <v>يجب اعادة طلبه</v>
      </c>
      <c r="M149" s="28"/>
      <c r="N149" s="13" cm="1">
        <f t="array" aca="1" ref="N149" ca="1">INDEX('SAP Customer Data '!A:Z,MATCH(بيانات_العملاء4[[#This Row],[رمز شريك الأعمال]],'SAP Customer Data '!B:B,0),CELL("col",Table_Customer_Data[[#Headers],[LicTradNum]]))</f>
        <v>0</v>
      </c>
      <c r="O14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9" s="26"/>
      <c r="Q149" s="9"/>
      <c r="R149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9" s="26"/>
      <c r="T149" s="10"/>
      <c r="U149" s="11"/>
      <c r="V149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9" s="18" cm="1">
        <f t="array" aca="1" ref="X149" ca="1">INDEX('SAP Customer Data '!$A:$AC,MATCH(بيانات_العملاء4[[#This Row],[رمز شريك الأعمال]],'SAP Customer Data '!$B:$B,0),CELL("col",Table_Customer_Data[[#Headers],[CreditLine]]))</f>
        <v>0</v>
      </c>
      <c r="Y14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9" s="26"/>
      <c r="AA14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49" s="26"/>
      <c r="AC149" s="16"/>
      <c r="AD149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9" s="26"/>
      <c r="AF149" s="16"/>
      <c r="AG14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9" s="26"/>
      <c r="AI149" s="6"/>
      <c r="AJ14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9" s="26"/>
      <c r="AL149" s="9"/>
      <c r="AM14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9" s="26"/>
      <c r="AO149" s="11"/>
      <c r="AP14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9" s="26"/>
      <c r="AR149" s="6"/>
      <c r="AS14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9" s="22" cm="1">
        <f t="array" aca="1" ref="AT149" ca="1">INDEX('SAP Customer Data '!A:Z,MATCH(بيانات_العملاء4[[#This Row],[رمز شريك الأعمال]],'SAP Customer Data '!B:B,0),CELL("col",Table_Customer_Data[[#Headers],[CreateDate]]))</f>
        <v>44649</v>
      </c>
      <c r="AU149" s="30"/>
      <c r="AV149" s="11"/>
      <c r="AW149" s="6" t="s">
        <v>846</v>
      </c>
      <c r="AX149" s="6"/>
    </row>
    <row r="150" spans="1:50" x14ac:dyDescent="0.25">
      <c r="A150" s="17" t="str" cm="1">
        <f t="array" aca="1" ref="A150" ca="1">INDEX('SAP Customer Data '!$A:$AC,MATCH(بيانات_العملاء4[[#This Row],[رمز شريك الأعمال]],'SAP Customer Data '!$B:$B,0),CELL("col",Table_Customer_Data[[#Headers],[GroupName]]))</f>
        <v>LB03</v>
      </c>
      <c r="B150" s="8" t="s">
        <v>619</v>
      </c>
      <c r="C150" s="18" t="str" cm="1">
        <f t="array" aca="1" ref="C150" ca="1">INDEX('SAP Customer Data '!$A:$AC,MATCH(بيانات_العملاء4[[#This Row],[رمز شريك الأعمال]],'SAP Customer Data '!$B:$B,0),CELL("col",Table_Customer_Data[[#Headers],[CardName]]))</f>
        <v>عميل بضمان المندوب LB03</v>
      </c>
      <c r="D150" s="26"/>
      <c r="E150" s="6"/>
      <c r="F150" s="26"/>
      <c r="G150" s="26"/>
      <c r="H150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0" s="26"/>
      <c r="J150" s="9"/>
      <c r="K150" s="27"/>
      <c r="L150" s="19" t="str">
        <f ca="1">IF(AND(بيانات_العملاء4[[#This Row],[السجل التجارى]]="موجود",TODAY()+'Other Data'!$B$23&lt;J150,بيانات_العملاء4[[#This Row],[مطابقة اسم العميل بالاسم بالسجل التجارى]]="مطابق"), "سارى", "يجب اعادة طلبه")</f>
        <v>يجب اعادة طلبه</v>
      </c>
      <c r="M150" s="28"/>
      <c r="N150" s="13" cm="1">
        <f t="array" aca="1" ref="N150" ca="1">INDEX('SAP Customer Data '!A:Z,MATCH(بيانات_العملاء4[[#This Row],[رمز شريك الأعمال]],'SAP Customer Data '!B:B,0),CELL("col",Table_Customer_Data[[#Headers],[LicTradNum]]))</f>
        <v>0</v>
      </c>
      <c r="O15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50" s="26"/>
      <c r="Q150" s="9"/>
      <c r="R150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50" s="26"/>
      <c r="T150" s="10"/>
      <c r="U150" s="11"/>
      <c r="V15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0" s="18" cm="1">
        <f t="array" aca="1" ref="X150" ca="1">INDEX('SAP Customer Data '!$A:$AC,MATCH(بيانات_العملاء4[[#This Row],[رمز شريك الأعمال]],'SAP Customer Data '!$B:$B,0),CELL("col",Table_Customer_Data[[#Headers],[CreditLine]]))</f>
        <v>0</v>
      </c>
      <c r="Y15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0" s="26"/>
      <c r="AA15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0" s="26"/>
      <c r="AC150" s="16"/>
      <c r="AD150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0" s="26"/>
      <c r="AF150" s="16"/>
      <c r="AG15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50" s="26"/>
      <c r="AI150" s="6"/>
      <c r="AJ15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50" s="26"/>
      <c r="AL150" s="9"/>
      <c r="AM15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0" s="26"/>
      <c r="AO150" s="11"/>
      <c r="AP15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0" s="26"/>
      <c r="AR150" s="6"/>
      <c r="AS15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50" s="22" cm="1">
        <f t="array" aca="1" ref="AT150" ca="1">INDEX('SAP Customer Data '!A:Z,MATCH(بيانات_العملاء4[[#This Row],[رمز شريك الأعمال]],'SAP Customer Data '!B:B,0),CELL("col",Table_Customer_Data[[#Headers],[CreateDate]]))</f>
        <v>44649</v>
      </c>
      <c r="AU150" s="30"/>
      <c r="AV150" s="11"/>
      <c r="AW150" s="6" t="s">
        <v>846</v>
      </c>
      <c r="AX150" s="6"/>
    </row>
    <row r="151" spans="1:50" x14ac:dyDescent="0.25">
      <c r="A151" s="17" t="str" cm="1">
        <f t="array" aca="1" ref="A151" ca="1">INDEX('SAP Customer Data '!$A:$AC,MATCH(بيانات_العملاء4[[#This Row],[رمز شريك الأعمال]],'SAP Customer Data '!$B:$B,0),CELL("col",Table_Customer_Data[[#Headers],[GroupName]]))</f>
        <v>LB00</v>
      </c>
      <c r="B151" s="8" t="s">
        <v>640</v>
      </c>
      <c r="C151" s="18" t="str" cm="1">
        <f t="array" aca="1" ref="C151" ca="1">INDEX('SAP Customer Data '!$A:$AC,MATCH(بيانات_العملاء4[[#This Row],[رمز شريك الأعمال]],'SAP Customer Data '!$B:$B,0),CELL("col",Table_Customer_Data[[#Headers],[CardName]]))</f>
        <v>عميل بضمان المشرفLB00</v>
      </c>
      <c r="D151" s="26"/>
      <c r="E151" s="6"/>
      <c r="F151" s="26"/>
      <c r="G151" s="26"/>
      <c r="H151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1" s="26"/>
      <c r="J151" s="9"/>
      <c r="K151" s="27"/>
      <c r="L151" s="19" t="str">
        <f ca="1">IF(AND(بيانات_العملاء4[[#This Row],[السجل التجارى]]="موجود",TODAY()+'Other Data'!$B$23&lt;J151,بيانات_العملاء4[[#This Row],[مطابقة اسم العميل بالاسم بالسجل التجارى]]="مطابق"), "سارى", "يجب اعادة طلبه")</f>
        <v>يجب اعادة طلبه</v>
      </c>
      <c r="M151" s="28"/>
      <c r="N151" s="13" cm="1">
        <f t="array" aca="1" ref="N151" ca="1">INDEX('SAP Customer Data '!A:Z,MATCH(بيانات_العملاء4[[#This Row],[رمز شريك الأعمال]],'SAP Customer Data '!B:B,0),CELL("col",Table_Customer_Data[[#Headers],[LicTradNum]]))</f>
        <v>0</v>
      </c>
      <c r="O15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51" s="26"/>
      <c r="Q151" s="9"/>
      <c r="R151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51" s="26"/>
      <c r="T151" s="10"/>
      <c r="U151" s="11"/>
      <c r="V151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1" s="18" cm="1">
        <f t="array" aca="1" ref="X151" ca="1">INDEX('SAP Customer Data '!$A:$AC,MATCH(بيانات_العملاء4[[#This Row],[رمز شريك الأعمال]],'SAP Customer Data '!$B:$B,0),CELL("col",Table_Customer_Data[[#Headers],[CreditLine]]))</f>
        <v>0</v>
      </c>
      <c r="Y15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1" s="26"/>
      <c r="AA15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1" s="26"/>
      <c r="AC151" s="16"/>
      <c r="AD151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1" s="26"/>
      <c r="AF151" s="16"/>
      <c r="AG15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51" s="26"/>
      <c r="AI151" s="6"/>
      <c r="AJ15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51" s="26"/>
      <c r="AL151" s="9"/>
      <c r="AM15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1" s="26"/>
      <c r="AO151" s="11"/>
      <c r="AP15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1" s="26"/>
      <c r="AR151" s="6"/>
      <c r="AS15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51" s="22" cm="1">
        <f t="array" aca="1" ref="AT151" ca="1">INDEX('SAP Customer Data '!A:Z,MATCH(بيانات_العملاء4[[#This Row],[رمز شريك الأعمال]],'SAP Customer Data '!B:B,0),CELL("col",Table_Customer_Data[[#Headers],[CreateDate]]))</f>
        <v>44704</v>
      </c>
      <c r="AU151" s="30"/>
      <c r="AV151" s="11"/>
      <c r="AW151" s="6" t="s">
        <v>846</v>
      </c>
      <c r="AX151" s="6"/>
    </row>
    <row r="152" spans="1:50" x14ac:dyDescent="0.25">
      <c r="A152" s="17" t="str" cm="1">
        <f t="array" aca="1" ref="A152" ca="1">INDEX('SAP Customer Data '!$A:$AC,MATCH(بيانات_العملاء4[[#This Row],[رمز شريك الأعمال]],'SAP Customer Data '!$B:$B,0),CELL("col",Table_Customer_Data[[#Headers],[GroupName]]))</f>
        <v>CS08</v>
      </c>
      <c r="B152" s="8" t="s">
        <v>644</v>
      </c>
      <c r="C152" s="18" t="str" cm="1">
        <f t="array" aca="1" ref="C152" ca="1">INDEX('SAP Customer Data '!$A:$AC,MATCH(بيانات_العملاء4[[#This Row],[رمز شريك الأعمال]],'SAP Customer Data '!$B:$B,0),CELL("col",Table_Customer_Data[[#Headers],[CardName]]))</f>
        <v>عميل بضمان المندوب -CS08</v>
      </c>
      <c r="D152" s="26"/>
      <c r="E152" s="6"/>
      <c r="F152" s="26"/>
      <c r="G152" s="26"/>
      <c r="H152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2" s="26"/>
      <c r="J152" s="9"/>
      <c r="K152" s="27"/>
      <c r="L152" s="19" t="str">
        <f ca="1">IF(AND(بيانات_العملاء4[[#This Row],[السجل التجارى]]="موجود",TODAY()+'Other Data'!$B$23&lt;J152,بيانات_العملاء4[[#This Row],[مطابقة اسم العميل بالاسم بالسجل التجارى]]="مطابق"), "سارى", "يجب اعادة طلبه")</f>
        <v>يجب اعادة طلبه</v>
      </c>
      <c r="M152" s="28"/>
      <c r="N152" s="13" t="str" cm="1">
        <f t="array" aca="1" ref="N152" ca="1">INDEX('SAP Customer Data '!A:Z,MATCH(بيانات_العملاء4[[#This Row],[رمز شريك الأعمال]],'SAP Customer Data '!B:B,0),CELL("col",Table_Customer_Data[[#Headers],[LicTradNum]]))</f>
        <v>سامر زيني</v>
      </c>
      <c r="O15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52" s="26"/>
      <c r="Q152" s="9"/>
      <c r="R152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52" s="26"/>
      <c r="T152" s="10"/>
      <c r="U152" s="11"/>
      <c r="V15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2" s="18" cm="1">
        <f t="array" aca="1" ref="X152" ca="1">INDEX('SAP Customer Data '!$A:$AC,MATCH(بيانات_العملاء4[[#This Row],[رمز شريك الأعمال]],'SAP Customer Data '!$B:$B,0),CELL("col",Table_Customer_Data[[#Headers],[CreditLine]]))</f>
        <v>0</v>
      </c>
      <c r="Y15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2" s="26"/>
      <c r="AA15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2" s="26"/>
      <c r="AC152" s="16"/>
      <c r="AD152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2" s="26"/>
      <c r="AF152" s="16"/>
      <c r="AG15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52" s="26"/>
      <c r="AI152" s="6"/>
      <c r="AJ15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52" s="26"/>
      <c r="AL152" s="9"/>
      <c r="AM15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2" s="26"/>
      <c r="AO152" s="11"/>
      <c r="AP15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2" s="26"/>
      <c r="AR152" s="6"/>
      <c r="AS15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52" s="22" cm="1">
        <f t="array" aca="1" ref="AT152" ca="1">INDEX('SAP Customer Data '!A:Z,MATCH(بيانات_العملاء4[[#This Row],[رمز شريك الأعمال]],'SAP Customer Data '!B:B,0),CELL("col",Table_Customer_Data[[#Headers],[CreateDate]]))</f>
        <v>44871</v>
      </c>
      <c r="AU152" s="30"/>
      <c r="AV152" s="11"/>
      <c r="AW152" s="6" t="s">
        <v>846</v>
      </c>
      <c r="AX152" s="6"/>
    </row>
    <row r="153" spans="1:50" x14ac:dyDescent="0.25">
      <c r="A153" s="17" t="str" cm="1">
        <f t="array" aca="1" ref="A153" ca="1">INDEX('SAP Customer Data '!$A:$AC,MATCH(بيانات_العملاء4[[#This Row],[رمز شريك الأعمال]],'SAP Customer Data '!$B:$B,0),CELL("col",Table_Customer_Data[[#Headers],[GroupName]]))</f>
        <v>CS14</v>
      </c>
      <c r="B153" s="8" t="s">
        <v>290</v>
      </c>
      <c r="C153" s="18" t="str" cm="1">
        <f t="array" aca="1" ref="C153" ca="1">INDEX('SAP Customer Data '!$A:$AC,MATCH(بيانات_العملاء4[[#This Row],[رمز شريك الأعمال]],'SAP Customer Data '!$B:$B,0),CELL("col",Table_Customer_Data[[#Headers],[CardName]]))</f>
        <v>مؤسسة انارة الخميس التجارية</v>
      </c>
      <c r="D153" s="26" t="str">
        <f ca="1">IF(بيانات_العملاء4[[#This Row],[حد الائتمان على SAP]]&gt;0,"آجل","نقدى")</f>
        <v>آجل</v>
      </c>
      <c r="E153" s="6" t="s">
        <v>374</v>
      </c>
      <c r="F153" s="26" t="s">
        <v>385</v>
      </c>
      <c r="G153" s="26" t="s">
        <v>54</v>
      </c>
      <c r="H15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3" s="26" t="s">
        <v>54</v>
      </c>
      <c r="J153" s="9">
        <v>44576</v>
      </c>
      <c r="K153" s="27" t="s">
        <v>55</v>
      </c>
      <c r="L153" s="19" t="str">
        <f ca="1">IF(AND(بيانات_العملاء4[[#This Row],[السجل التجارى]]="موجود",TODAY()+'Other Data'!$B$23&lt;J153,بيانات_العملاء4[[#This Row],[مطابقة اسم العميل بالاسم بالسجل التجارى]]="مطابق"), "سارى", "يجب اعادة طلبه")</f>
        <v>يجب اعادة طلبه</v>
      </c>
      <c r="M153" s="28" t="s">
        <v>54</v>
      </c>
      <c r="N153" s="13" t="str" cm="1">
        <f t="array" aca="1" ref="N153" ca="1">INDEX('SAP Customer Data '!A:Z,MATCH(بيانات_العملاء4[[#This Row],[رمز شريك الأعمال]],'SAP Customer Data '!B:B,0),CELL("col",Table_Customer_Data[[#Headers],[LicTradNum]]))</f>
        <v>310791775700003</v>
      </c>
      <c r="O15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3" s="26" t="s">
        <v>54</v>
      </c>
      <c r="Q153" s="9">
        <v>45224</v>
      </c>
      <c r="R15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53" s="26" t="s">
        <v>54</v>
      </c>
      <c r="T153" s="10">
        <v>50000</v>
      </c>
      <c r="U153" s="11">
        <v>44805</v>
      </c>
      <c r="V153" s="20">
        <f>IF(بيانات_العملاء4[[#This Row],[تاريخ انشاء سند الامر او الاستثناء]]="","",بيانات_العملاء4[[#This Row],[تاريخ انشاء سند الامر او الاستثناء]]+365*3)</f>
        <v>45900</v>
      </c>
      <c r="W15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53" s="18" cm="1">
        <f t="array" aca="1" ref="X153" ca="1">INDEX('SAP Customer Data '!$A:$AC,MATCH(بيانات_العملاء4[[#This Row],[رمز شريك الأعمال]],'SAP Customer Data '!$B:$B,0),CELL("col",Table_Customer_Data[[#Headers],[CreditLine]]))</f>
        <v>30000</v>
      </c>
      <c r="Y15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53" s="26" t="s">
        <v>55</v>
      </c>
      <c r="AA15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3" s="26" t="s">
        <v>56</v>
      </c>
      <c r="AC153" s="16"/>
      <c r="AD15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3" s="26" t="s">
        <v>54</v>
      </c>
      <c r="AF153" s="16">
        <v>45341</v>
      </c>
      <c r="AG15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53" s="26" t="s">
        <v>54</v>
      </c>
      <c r="AI153" s="6"/>
      <c r="AJ15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3" s="26" t="s">
        <v>54</v>
      </c>
      <c r="AL153" s="9"/>
      <c r="AM15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3" s="26" t="s">
        <v>56</v>
      </c>
      <c r="AO153" s="11"/>
      <c r="AP15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3" s="26" t="s">
        <v>56</v>
      </c>
      <c r="AR153" s="6"/>
      <c r="AS15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3" s="22" cm="1">
        <f t="array" aca="1" ref="AT153" ca="1">INDEX('SAP Customer Data '!A:Z,MATCH(بيانات_العملاء4[[#This Row],[رمز شريك الأعمال]],'SAP Customer Data '!B:B,0),CELL("col",Table_Customer_Data[[#Headers],[CreateDate]]))</f>
        <v>44873</v>
      </c>
      <c r="AU153" s="30"/>
      <c r="AV153" s="11"/>
      <c r="AW153" s="6" t="s">
        <v>846</v>
      </c>
      <c r="AX153" s="6"/>
    </row>
    <row r="154" spans="1:50" x14ac:dyDescent="0.25">
      <c r="A154" s="17" t="str" cm="1">
        <f t="array" aca="1" ref="A154" ca="1">INDEX('SAP Customer Data '!$A:$AC,MATCH(بيانات_العملاء4[[#This Row],[رمز شريك الأعمال]],'SAP Customer Data '!$B:$B,0),CELL("col",Table_Customer_Data[[#Headers],[GroupName]]))</f>
        <v>CS02</v>
      </c>
      <c r="B154" s="8" t="s">
        <v>292</v>
      </c>
      <c r="C154" s="18" t="str" cm="1">
        <f t="array" aca="1" ref="C154" ca="1">INDEX('SAP Customer Data '!$A:$AC,MATCH(بيانات_العملاء4[[#This Row],[رمز شريك الأعمال]],'SAP Customer Data '!$B:$B,0),CELL("col",Table_Customer_Data[[#Headers],[CardName]]))</f>
        <v>مؤسسة حمود محمد احمد عواجي للتجارة</v>
      </c>
      <c r="D154" s="26" t="str">
        <f ca="1">IF(بيانات_العملاء4[[#This Row],[حد الائتمان على SAP]]&gt;0,"آجل","نقدى")</f>
        <v>آجل</v>
      </c>
      <c r="E154" s="6" t="s">
        <v>375</v>
      </c>
      <c r="F154" s="26" t="s">
        <v>385</v>
      </c>
      <c r="G154" s="26" t="s">
        <v>56</v>
      </c>
      <c r="H154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4" s="26" t="s">
        <v>54</v>
      </c>
      <c r="J154" s="9">
        <v>45214</v>
      </c>
      <c r="K154" s="27" t="s">
        <v>55</v>
      </c>
      <c r="L154" s="19" t="str">
        <f ca="1">IF(AND(بيانات_العملاء4[[#This Row],[السجل التجارى]]="موجود",TODAY()+'Other Data'!$B$23&lt;J154,بيانات_العملاء4[[#This Row],[مطابقة اسم العميل بالاسم بالسجل التجارى]]="مطابق"), "سارى", "يجب اعادة طلبه")</f>
        <v>سارى</v>
      </c>
      <c r="M154" s="28" t="s">
        <v>54</v>
      </c>
      <c r="N154" s="13" t="str" cm="1">
        <f t="array" aca="1" ref="N154" ca="1">INDEX('SAP Customer Data '!A:Z,MATCH(بيانات_العملاء4[[#This Row],[رمز شريك الأعمال]],'SAP Customer Data '!B:B,0),CELL("col",Table_Customer_Data[[#Headers],[LicTradNum]]))</f>
        <v>300847537400003</v>
      </c>
      <c r="O15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4" s="26" t="s">
        <v>54</v>
      </c>
      <c r="Q154" s="9">
        <v>45074</v>
      </c>
      <c r="R154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4" s="26" t="s">
        <v>56</v>
      </c>
      <c r="T154" s="10"/>
      <c r="U154" s="11"/>
      <c r="V15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4" s="18" cm="1">
        <f t="array" aca="1" ref="X154" ca="1">INDEX('SAP Customer Data '!$A:$AC,MATCH(بيانات_العملاء4[[#This Row],[رمز شريك الأعمال]],'SAP Customer Data '!$B:$B,0),CELL("col",Table_Customer_Data[[#Headers],[CreditLine]]))</f>
        <v>50000</v>
      </c>
      <c r="Y15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154" s="26"/>
      <c r="AA15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4" s="26" t="s">
        <v>54</v>
      </c>
      <c r="AC154" s="16">
        <v>50635</v>
      </c>
      <c r="AD154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54" s="26" t="s">
        <v>56</v>
      </c>
      <c r="AF154" s="16"/>
      <c r="AG15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54" s="26" t="s">
        <v>56</v>
      </c>
      <c r="AI154" s="6"/>
      <c r="AJ15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4" s="26"/>
      <c r="AL154" s="9"/>
      <c r="AM15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4" s="26" t="s">
        <v>54</v>
      </c>
      <c r="AO154" s="11"/>
      <c r="AP15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4" s="26" t="s">
        <v>56</v>
      </c>
      <c r="AR154" s="6"/>
      <c r="AS15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4" s="22" cm="1">
        <f t="array" aca="1" ref="AT154" ca="1">INDEX('SAP Customer Data '!A:Z,MATCH(بيانات_العملاء4[[#This Row],[رمز شريك الأعمال]],'SAP Customer Data '!B:B,0),CELL("col",Table_Customer_Data[[#Headers],[CreateDate]]))</f>
        <v>44912</v>
      </c>
      <c r="AU154" s="30"/>
      <c r="AV154" s="11" t="s">
        <v>371</v>
      </c>
      <c r="AW154" s="6" t="s">
        <v>846</v>
      </c>
      <c r="AX154" s="6"/>
    </row>
    <row r="155" spans="1:50" x14ac:dyDescent="0.25">
      <c r="A155" s="17" t="str" cm="1">
        <f t="array" aca="1" ref="A155" ca="1">INDEX('SAP Customer Data '!$A:$AC,MATCH(بيانات_العملاء4[[#This Row],[رمز شريك الأعمال]],'SAP Customer Data '!$B:$B,0),CELL("col",Table_Customer_Data[[#Headers],[GroupName]]))</f>
        <v>CS14</v>
      </c>
      <c r="B155" s="8" t="s">
        <v>294</v>
      </c>
      <c r="C155" s="18" t="str" cm="1">
        <f t="array" aca="1" ref="C155" ca="1">INDEX('SAP Customer Data '!$A:$AC,MATCH(بيانات_العملاء4[[#This Row],[رمز شريك الأعمال]],'SAP Customer Data '!$B:$B,0),CELL("col",Table_Customer_Data[[#Headers],[CardName]]))</f>
        <v>مؤسسة قيمنا التجارية</v>
      </c>
      <c r="D155" s="26" t="str">
        <f ca="1">IF(بيانات_العملاء4[[#This Row],[حد الائتمان على SAP]]&gt;0,"آجل","نقدى")</f>
        <v>آجل</v>
      </c>
      <c r="E155" s="6" t="s">
        <v>376</v>
      </c>
      <c r="F155" s="26" t="s">
        <v>385</v>
      </c>
      <c r="G155" s="26" t="s">
        <v>54</v>
      </c>
      <c r="H155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5" s="26" t="s">
        <v>54</v>
      </c>
      <c r="J155" s="9">
        <v>45071</v>
      </c>
      <c r="K155" s="27" t="s">
        <v>55</v>
      </c>
      <c r="L155" s="19" t="str">
        <f ca="1">IF(AND(بيانات_العملاء4[[#This Row],[السجل التجارى]]="موجود",TODAY()+'Other Data'!$B$23&lt;J155,بيانات_العملاء4[[#This Row],[مطابقة اسم العميل بالاسم بالسجل التجارى]]="مطابق"), "سارى", "يجب اعادة طلبه")</f>
        <v>يجب اعادة طلبه</v>
      </c>
      <c r="M155" s="28" t="s">
        <v>54</v>
      </c>
      <c r="N155" s="13" t="str" cm="1">
        <f t="array" aca="1" ref="N155" ca="1">INDEX('SAP Customer Data '!A:Z,MATCH(بيانات_العملاء4[[#This Row],[رمز شريك الأعمال]],'SAP Customer Data '!B:B,0),CELL("col",Table_Customer_Data[[#Headers],[LicTradNum]]))</f>
        <v>311311123500003</v>
      </c>
      <c r="O15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5" s="26" t="s">
        <v>56</v>
      </c>
      <c r="Q155" s="9"/>
      <c r="R15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5" s="26" t="s">
        <v>54</v>
      </c>
      <c r="T155" s="10">
        <v>50000</v>
      </c>
      <c r="U155" s="11">
        <v>44854</v>
      </c>
      <c r="V155" s="20">
        <f>IF(بيانات_العملاء4[[#This Row],[تاريخ انشاء سند الامر او الاستثناء]]="","",بيانات_العملاء4[[#This Row],[تاريخ انشاء سند الامر او الاستثناء]]+365*3)</f>
        <v>45949</v>
      </c>
      <c r="W15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55" s="18" cm="1">
        <f t="array" aca="1" ref="X155" ca="1">INDEX('SAP Customer Data '!$A:$AC,MATCH(بيانات_العملاء4[[#This Row],[رمز شريك الأعمال]],'SAP Customer Data '!$B:$B,0),CELL("col",Table_Customer_Data[[#Headers],[CreditLine]]))</f>
        <v>25000</v>
      </c>
      <c r="Y15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5" s="26" t="s">
        <v>55</v>
      </c>
      <c r="AA15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55" s="26" t="s">
        <v>54</v>
      </c>
      <c r="AC155" s="16">
        <v>44936</v>
      </c>
      <c r="AD15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5" s="26" t="s">
        <v>54</v>
      </c>
      <c r="AF155" s="16">
        <v>44936</v>
      </c>
      <c r="AG15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55" s="26" t="s">
        <v>54</v>
      </c>
      <c r="AI155" s="6"/>
      <c r="AJ15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5" s="26" t="s">
        <v>54</v>
      </c>
      <c r="AL155" s="9">
        <v>44874</v>
      </c>
      <c r="AM15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5" s="26" t="s">
        <v>54</v>
      </c>
      <c r="AO155" s="11">
        <v>44953</v>
      </c>
      <c r="AP15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5" s="26" t="s">
        <v>56</v>
      </c>
      <c r="AR155" s="6"/>
      <c r="AS15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5" s="22" cm="1">
        <f t="array" aca="1" ref="AT155" ca="1">INDEX('SAP Customer Data '!A:Z,MATCH(بيانات_العملاء4[[#This Row],[رمز شريك الأعمال]],'SAP Customer Data '!B:B,0),CELL("col",Table_Customer_Data[[#Headers],[CreateDate]]))</f>
        <v>44915</v>
      </c>
      <c r="AU155" s="30"/>
      <c r="AV155" s="11"/>
      <c r="AW155" s="6" t="s">
        <v>846</v>
      </c>
      <c r="AX155" s="6"/>
    </row>
    <row r="156" spans="1:50" x14ac:dyDescent="0.25">
      <c r="A156" s="17" t="str" cm="1">
        <f t="array" aca="1" ref="A156" ca="1">INDEX('SAP Customer Data '!$A:$AC,MATCH(بيانات_العملاء4[[#This Row],[رمز شريك الأعمال]],'SAP Customer Data '!$B:$B,0),CELL("col",Table_Customer_Data[[#Headers],[GroupName]]))</f>
        <v>CS02</v>
      </c>
      <c r="B156" s="8" t="s">
        <v>296</v>
      </c>
      <c r="C156" s="18" t="str" cm="1">
        <f t="array" aca="1" ref="C156" ca="1">INDEX('SAP Customer Data '!$A:$AC,MATCH(بيانات_العملاء4[[#This Row],[رمز شريك الأعمال]],'SAP Customer Data '!$B:$B,0),CELL("col",Table_Customer_Data[[#Headers],[CardName]]))</f>
        <v>شركة سكني الحديث لمواد البناء</v>
      </c>
      <c r="D156" s="26" t="str">
        <f ca="1">IF(بيانات_العملاء4[[#This Row],[حد الائتمان على SAP]]&gt;0,"آجل","نقدى")</f>
        <v>آجل</v>
      </c>
      <c r="E156" s="6"/>
      <c r="F156" s="26" t="s">
        <v>370</v>
      </c>
      <c r="G156" s="26" t="s">
        <v>54</v>
      </c>
      <c r="H156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6" s="26" t="s">
        <v>54</v>
      </c>
      <c r="J156" s="9">
        <v>45129</v>
      </c>
      <c r="K156" s="27" t="s">
        <v>55</v>
      </c>
      <c r="L156" s="19" t="str">
        <f ca="1">IF(AND(بيانات_العملاء4[[#This Row],[السجل التجارى]]="موجود",TODAY()+'Other Data'!$B$23&lt;J156,بيانات_العملاء4[[#This Row],[مطابقة اسم العميل بالاسم بالسجل التجارى]]="مطابق"), "سارى", "يجب اعادة طلبه")</f>
        <v>يجب اعادة طلبه</v>
      </c>
      <c r="M156" s="28" t="s">
        <v>54</v>
      </c>
      <c r="N156" s="13" t="str" cm="1">
        <f t="array" aca="1" ref="N156" ca="1">INDEX('SAP Customer Data '!A:Z,MATCH(بيانات_العملاء4[[#This Row],[رمز شريك الأعمال]],'SAP Customer Data '!B:B,0),CELL("col",Table_Customer_Data[[#Headers],[LicTradNum]]))</f>
        <v>311388297800003</v>
      </c>
      <c r="O15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6" s="26" t="s">
        <v>56</v>
      </c>
      <c r="Q156" s="9"/>
      <c r="R15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6" s="26" t="s">
        <v>54</v>
      </c>
      <c r="T156" s="10">
        <v>100000</v>
      </c>
      <c r="U156" s="11">
        <v>44921</v>
      </c>
      <c r="V156" s="20">
        <f>IF(بيانات_العملاء4[[#This Row],[تاريخ انشاء سند الامر او الاستثناء]]="","",بيانات_العملاء4[[#This Row],[تاريخ انشاء سند الامر او الاستثناء]]+365*3)</f>
        <v>46016</v>
      </c>
      <c r="W15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156" s="18" cm="1">
        <f t="array" aca="1" ref="X156" ca="1">INDEX('SAP Customer Data '!$A:$AC,MATCH(بيانات_العملاء4[[#This Row],[رمز شريك الأعمال]],'SAP Customer Data '!$B:$B,0),CELL("col",Table_Customer_Data[[#Headers],[CreditLine]]))</f>
        <v>45000</v>
      </c>
      <c r="Y15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56" s="26" t="s">
        <v>55</v>
      </c>
      <c r="AA15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6" s="26" t="s">
        <v>56</v>
      </c>
      <c r="AC156" s="16"/>
      <c r="AD15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6" s="26" t="s">
        <v>56</v>
      </c>
      <c r="AF156" s="16"/>
      <c r="AG15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56" s="26" t="s">
        <v>54</v>
      </c>
      <c r="AI156" s="6"/>
      <c r="AJ15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6" s="26" t="s">
        <v>56</v>
      </c>
      <c r="AL156" s="9"/>
      <c r="AM15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6" s="26" t="s">
        <v>54</v>
      </c>
      <c r="AO156" s="11">
        <v>44694</v>
      </c>
      <c r="AP15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6" s="26" t="s">
        <v>56</v>
      </c>
      <c r="AR156" s="6"/>
      <c r="AS15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6" s="22" cm="1">
        <f t="array" aca="1" ref="AT156" ca="1">INDEX('SAP Customer Data '!A:Z,MATCH(بيانات_العملاء4[[#This Row],[رمز شريك الأعمال]],'SAP Customer Data '!B:B,0),CELL("col",Table_Customer_Data[[#Headers],[CreateDate]]))</f>
        <v>44923</v>
      </c>
      <c r="AU156" s="30"/>
      <c r="AV156" s="11"/>
      <c r="AW156" s="6" t="s">
        <v>846</v>
      </c>
      <c r="AX156" s="6"/>
    </row>
    <row r="157" spans="1:50" x14ac:dyDescent="0.25">
      <c r="A157" s="17" t="str" cm="1">
        <f t="array" aca="1" ref="A157" ca="1">INDEX('SAP Customer Data '!$A:$AC,MATCH(بيانات_العملاء4[[#This Row],[رمز شريك الأعمال]],'SAP Customer Data '!$B:$B,0),CELL("col",Table_Customer_Data[[#Headers],[GroupName]]))</f>
        <v>CS08</v>
      </c>
      <c r="B157" s="8" t="s">
        <v>24</v>
      </c>
      <c r="C157" s="18" t="str" cm="1">
        <f t="array" aca="1" ref="C157" ca="1">INDEX('SAP Customer Data '!$A:$AC,MATCH(بيانات_العملاء4[[#This Row],[رمز شريك الأعمال]],'SAP Customer Data '!$B:$B,0),CELL("col",Table_Customer_Data[[#Headers],[CardName]]))</f>
        <v>مؤسسة اضواء الرائد التجارية</v>
      </c>
      <c r="D157" s="26" t="str">
        <f ca="1">IF(بيانات_العملاء4[[#This Row],[حد الائتمان على SAP]]&gt;0,"آجل","نقدى")</f>
        <v>آجل</v>
      </c>
      <c r="E157" s="6" t="s">
        <v>678</v>
      </c>
      <c r="F157" s="26" t="s">
        <v>385</v>
      </c>
      <c r="G157" s="26" t="s">
        <v>54</v>
      </c>
      <c r="H157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7" s="26" t="s">
        <v>54</v>
      </c>
      <c r="J157" s="9">
        <v>45225</v>
      </c>
      <c r="K157" s="27" t="s">
        <v>55</v>
      </c>
      <c r="L157" s="19" t="str">
        <f ca="1">IF(AND(بيانات_العملاء4[[#This Row],[السجل التجارى]]="موجود",TODAY()+'Other Data'!$B$23&lt;J157,بيانات_العملاء4[[#This Row],[مطابقة اسم العميل بالاسم بالسجل التجارى]]="مطابق"), "سارى", "يجب اعادة طلبه")</f>
        <v>سارى</v>
      </c>
      <c r="M157" s="28" t="s">
        <v>54</v>
      </c>
      <c r="N157" s="13" t="str" cm="1">
        <f t="array" aca="1" ref="N157" ca="1">INDEX('SAP Customer Data '!A:Z,MATCH(بيانات_العملاء4[[#This Row],[رمز شريك الأعمال]],'SAP Customer Data '!B:B,0),CELL("col",Table_Customer_Data[[#Headers],[LicTradNum]]))</f>
        <v>311460950100003</v>
      </c>
      <c r="O15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7" s="26" t="s">
        <v>56</v>
      </c>
      <c r="Q157" s="9"/>
      <c r="R157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7" s="26" t="s">
        <v>54</v>
      </c>
      <c r="T157" s="10">
        <v>30000</v>
      </c>
      <c r="U157" s="11">
        <v>44950</v>
      </c>
      <c r="V157" s="20">
        <f>IF(بيانات_العملاء4[[#This Row],[تاريخ انشاء سند الامر او الاستثناء]]="","",بيانات_العملاء4[[#This Row],[تاريخ انشاء سند الامر او الاستثناء]]+365*3)</f>
        <v>46045</v>
      </c>
      <c r="W15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157" s="18" cm="1">
        <f t="array" aca="1" ref="X157" ca="1">INDEX('SAP Customer Data '!$A:$AC,MATCH(بيانات_العملاء4[[#This Row],[رمز شريك الأعمال]],'SAP Customer Data '!$B:$B,0),CELL("col",Table_Customer_Data[[#Headers],[CreditLine]]))</f>
        <v>17000</v>
      </c>
      <c r="Y15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57" s="26" t="s">
        <v>55</v>
      </c>
      <c r="AA15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7" s="26" t="s">
        <v>54</v>
      </c>
      <c r="AC157" s="16">
        <v>45590</v>
      </c>
      <c r="AD157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57" s="26" t="s">
        <v>54</v>
      </c>
      <c r="AF157" s="16">
        <v>45590</v>
      </c>
      <c r="AG15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57" s="26" t="s">
        <v>56</v>
      </c>
      <c r="AI157" s="6"/>
      <c r="AJ15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7" s="26" t="s">
        <v>56</v>
      </c>
      <c r="AL157" s="9"/>
      <c r="AM15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7" s="26" t="s">
        <v>56</v>
      </c>
      <c r="AO157" s="11"/>
      <c r="AP15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7" s="26" t="s">
        <v>56</v>
      </c>
      <c r="AR157" s="6"/>
      <c r="AS15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7" s="22" cm="1">
        <f t="array" aca="1" ref="AT157" ca="1">INDEX('SAP Customer Data '!A:Z,MATCH(بيانات_العملاء4[[#This Row],[رمز شريك الأعمال]],'SAP Customer Data '!B:B,0),CELL("col",Table_Customer_Data[[#Headers],[CreateDate]]))</f>
        <v>44950</v>
      </c>
      <c r="AU157" s="30"/>
      <c r="AV157" s="11"/>
      <c r="AW157" s="6" t="s">
        <v>846</v>
      </c>
      <c r="AX157" s="6"/>
    </row>
    <row r="158" spans="1:50" x14ac:dyDescent="0.25">
      <c r="A158" s="17" t="str" cm="1">
        <f t="array" aca="1" ref="A158" ca="1">INDEX('SAP Customer Data '!$A:$AC,MATCH(بيانات_العملاء4[[#This Row],[رمز شريك الأعمال]],'SAP Customer Data '!$B:$B,0),CELL("col",Table_Customer_Data[[#Headers],[GroupName]]))</f>
        <v>CS08</v>
      </c>
      <c r="B158" s="8" t="s">
        <v>25</v>
      </c>
      <c r="C158" s="18" t="str" cm="1">
        <f t="array" aca="1" ref="C158" ca="1">INDEX('SAP Customer Data '!$A:$AC,MATCH(بيانات_العملاء4[[#This Row],[رمز شريك الأعمال]],'SAP Customer Data '!$B:$B,0),CELL("col",Table_Customer_Data[[#Headers],[CardName]]))</f>
        <v>مؤسسة نواف سالم ابراهيم الشريف للادوات الصحية</v>
      </c>
      <c r="D158" s="26" t="str">
        <f ca="1">IF(بيانات_العملاء4[[#This Row],[حد الائتمان على SAP]]&gt;0,"آجل","نقدى")</f>
        <v>آجل</v>
      </c>
      <c r="E158" s="6" t="s">
        <v>679</v>
      </c>
      <c r="F158" s="26" t="s">
        <v>385</v>
      </c>
      <c r="G158" s="26" t="s">
        <v>54</v>
      </c>
      <c r="H158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8" s="26" t="s">
        <v>54</v>
      </c>
      <c r="J158" s="9">
        <v>45141</v>
      </c>
      <c r="K158" s="27" t="s">
        <v>55</v>
      </c>
      <c r="L158" s="19" t="str">
        <f ca="1">IF(AND(بيانات_العملاء4[[#This Row],[السجل التجارى]]="موجود",TODAY()+'Other Data'!$B$23&lt;J158,بيانات_العملاء4[[#This Row],[مطابقة اسم العميل بالاسم بالسجل التجارى]]="مطابق"), "سارى", "يجب اعادة طلبه")</f>
        <v>سارى</v>
      </c>
      <c r="M158" s="28" t="s">
        <v>54</v>
      </c>
      <c r="N158" s="13" t="str" cm="1">
        <f t="array" aca="1" ref="N158" ca="1">INDEX('SAP Customer Data '!A:Z,MATCH(بيانات_العملاء4[[#This Row],[رمز شريك الأعمال]],'SAP Customer Data '!B:B,0),CELL("col",Table_Customer_Data[[#Headers],[LicTradNum]]))</f>
        <v>311377014800003</v>
      </c>
      <c r="O15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8" s="26" t="s">
        <v>56</v>
      </c>
      <c r="Q158" s="9"/>
      <c r="R158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8" s="26" t="s">
        <v>54</v>
      </c>
      <c r="T158" s="10">
        <v>15000</v>
      </c>
      <c r="U158" s="11">
        <v>44978</v>
      </c>
      <c r="V158" s="20">
        <f>IF(بيانات_العملاء4[[#This Row],[تاريخ انشاء سند الامر او الاستثناء]]="","",بيانات_العملاء4[[#This Row],[تاريخ انشاء سند الامر او الاستثناء]]+365*3)</f>
        <v>46073</v>
      </c>
      <c r="W15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7500</v>
      </c>
      <c r="X158" s="18" cm="1">
        <f t="array" aca="1" ref="X158" ca="1">INDEX('SAP Customer Data '!$A:$AC,MATCH(بيانات_العملاء4[[#This Row],[رمز شريك الأعمال]],'SAP Customer Data '!$B:$B,0),CELL("col",Table_Customer_Data[[#Headers],[CreditLine]]))</f>
        <v>10000</v>
      </c>
      <c r="Y15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58" s="26" t="s">
        <v>55</v>
      </c>
      <c r="AA15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8" s="26" t="s">
        <v>54</v>
      </c>
      <c r="AC158" s="16">
        <v>46535</v>
      </c>
      <c r="AD158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58" s="26" t="s">
        <v>54</v>
      </c>
      <c r="AF158" s="16">
        <v>46535</v>
      </c>
      <c r="AG15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58" s="26" t="s">
        <v>56</v>
      </c>
      <c r="AI158" s="6"/>
      <c r="AJ15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8" s="26" t="s">
        <v>56</v>
      </c>
      <c r="AL158" s="9"/>
      <c r="AM15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8" s="26" t="s">
        <v>54</v>
      </c>
      <c r="AO158" s="11">
        <v>45124</v>
      </c>
      <c r="AP15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8" s="26" t="s">
        <v>56</v>
      </c>
      <c r="AR158" s="6"/>
      <c r="AS15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8" s="22" cm="1">
        <f t="array" aca="1" ref="AT158" ca="1">INDEX('SAP Customer Data '!A:Z,MATCH(بيانات_العملاء4[[#This Row],[رمز شريك الأعمال]],'SAP Customer Data '!B:B,0),CELL("col",Table_Customer_Data[[#Headers],[CreateDate]]))</f>
        <v>44978</v>
      </c>
      <c r="AU158" s="30"/>
      <c r="AV158" s="11" t="s">
        <v>916</v>
      </c>
      <c r="AW158" s="6" t="s">
        <v>846</v>
      </c>
      <c r="AX158" s="6"/>
    </row>
    <row r="159" spans="1:50" x14ac:dyDescent="0.25">
      <c r="A159" s="17" t="str" cm="1">
        <f t="array" aca="1" ref="A159" ca="1">INDEX('SAP Customer Data '!$A:$AC,MATCH(بيانات_العملاء4[[#This Row],[رمز شريك الأعمال]],'SAP Customer Data '!$B:$B,0),CELL("col",Table_Customer_Data[[#Headers],[GroupName]]))</f>
        <v>CS03</v>
      </c>
      <c r="B159" s="8" t="s">
        <v>26</v>
      </c>
      <c r="C159" s="18" t="str" cm="1">
        <f t="array" aca="1" ref="C159" ca="1">INDEX('SAP Customer Data '!$A:$AC,MATCH(بيانات_العملاء4[[#This Row],[رمز شريك الأعمال]],'SAP Customer Data '!$B:$B,0),CELL("col",Table_Customer_Data[[#Headers],[CardName]]))</f>
        <v>شركة شيخ الانارة للتجارة والمقاولات -نقدي</v>
      </c>
      <c r="D159" s="26" t="str">
        <f ca="1">IF(بيانات_العملاء4[[#This Row],[حد الائتمان على SAP]]&gt;0,"آجل","نقدى")</f>
        <v>نقدى</v>
      </c>
      <c r="E159" s="6"/>
      <c r="F159" s="26" t="s">
        <v>370</v>
      </c>
      <c r="G159" s="26" t="s">
        <v>62</v>
      </c>
      <c r="H159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9" s="26" t="s">
        <v>54</v>
      </c>
      <c r="J159" s="9">
        <v>45306</v>
      </c>
      <c r="K159" s="27" t="s">
        <v>55</v>
      </c>
      <c r="L159" s="19" t="str">
        <f ca="1">IF(AND(بيانات_العملاء4[[#This Row],[السجل التجارى]]="موجود",TODAY()+'Other Data'!$B$23&lt;J159,بيانات_العملاء4[[#This Row],[مطابقة اسم العميل بالاسم بالسجل التجارى]]="مطابق"), "سارى", "يجب اعادة طلبه")</f>
        <v>سارى</v>
      </c>
      <c r="M159" s="28" t="s">
        <v>54</v>
      </c>
      <c r="N159" s="13" t="str" cm="1">
        <f t="array" aca="1" ref="N159" ca="1">INDEX('SAP Customer Data '!A:Z,MATCH(بيانات_العملاء4[[#This Row],[رمز شريك الأعمال]],'SAP Customer Data '!B:B,0),CELL("col",Table_Customer_Data[[#Headers],[LicTradNum]]))</f>
        <v>310090548300003</v>
      </c>
      <c r="O15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9" s="26" t="s">
        <v>54</v>
      </c>
      <c r="Q159" s="9">
        <v>45026</v>
      </c>
      <c r="R159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9" s="26" t="s">
        <v>56</v>
      </c>
      <c r="T159" s="10"/>
      <c r="U159" s="11"/>
      <c r="V159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9" s="18" cm="1">
        <f t="array" aca="1" ref="X159" ca="1">INDEX('SAP Customer Data '!$A:$AC,MATCH(بيانات_العملاء4[[#This Row],[رمز شريك الأعمال]],'SAP Customer Data '!$B:$B,0),CELL("col",Table_Customer_Data[[#Headers],[CreditLine]]))</f>
        <v>0</v>
      </c>
      <c r="Y15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9" s="26"/>
      <c r="AA15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59" s="26" t="s">
        <v>56</v>
      </c>
      <c r="AC159" s="16"/>
      <c r="AD159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9" s="26" t="s">
        <v>56</v>
      </c>
      <c r="AF159" s="16"/>
      <c r="AG15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59" s="26" t="s">
        <v>56</v>
      </c>
      <c r="AI159" s="6"/>
      <c r="AJ15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9" s="26" t="s">
        <v>56</v>
      </c>
      <c r="AL159" s="9"/>
      <c r="AM15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9" s="26" t="s">
        <v>54</v>
      </c>
      <c r="AO159" s="11"/>
      <c r="AP15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9" s="26" t="s">
        <v>56</v>
      </c>
      <c r="AR159" s="6"/>
      <c r="AS15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9" s="22" cm="1">
        <f t="array" aca="1" ref="AT159" ca="1">INDEX('SAP Customer Data '!A:Z,MATCH(بيانات_العملاء4[[#This Row],[رمز شريك الأعمال]],'SAP Customer Data '!B:B,0),CELL("col",Table_Customer_Data[[#Headers],[CreateDate]]))</f>
        <v>44892</v>
      </c>
      <c r="AU159" s="30"/>
      <c r="AV159" s="11" t="s">
        <v>913</v>
      </c>
      <c r="AW159" s="6" t="s">
        <v>846</v>
      </c>
      <c r="AX159" s="6"/>
    </row>
    <row r="160" spans="1:50" x14ac:dyDescent="0.25">
      <c r="A160" s="17" t="str" cm="1">
        <f t="array" aca="1" ref="A160" ca="1">INDEX('SAP Customer Data '!$A:$AC,MATCH(بيانات_العملاء4[[#This Row],[رمز شريك الأعمال]],'SAP Customer Data '!$B:$B,0),CELL("col",Table_Customer_Data[[#Headers],[GroupName]]))</f>
        <v>CS03</v>
      </c>
      <c r="B160" s="8" t="s">
        <v>27</v>
      </c>
      <c r="C160" s="18" t="str" cm="1">
        <f t="array" aca="1" ref="C160" ca="1">INDEX('SAP Customer Data '!$A:$AC,MATCH(بيانات_العملاء4[[#This Row],[رمز شريك الأعمال]],'SAP Customer Data '!$B:$B,0),CELL("col",Table_Customer_Data[[#Headers],[CardName]]))</f>
        <v>شركة أنوار الجاهزية للتجارة</v>
      </c>
      <c r="D160" s="26" t="str">
        <f ca="1">IF(بيانات_العملاء4[[#This Row],[حد الائتمان على SAP]]&gt;0,"آجل","نقدى")</f>
        <v>آجل</v>
      </c>
      <c r="E160" s="6"/>
      <c r="F160" s="26" t="s">
        <v>309</v>
      </c>
      <c r="G160" s="26" t="s">
        <v>54</v>
      </c>
      <c r="H16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0" s="26" t="s">
        <v>54</v>
      </c>
      <c r="J160" s="9">
        <v>45050</v>
      </c>
      <c r="K160" s="27" t="s">
        <v>55</v>
      </c>
      <c r="L160" s="19" t="str">
        <f ca="1">IF(AND(بيانات_العملاء4[[#This Row],[السجل التجارى]]="موجود",TODAY()+'Other Data'!$B$23&lt;J160,بيانات_العملاء4[[#This Row],[مطابقة اسم العميل بالاسم بالسجل التجارى]]="مطابق"), "سارى", "يجب اعادة طلبه")</f>
        <v>يجب اعادة طلبه</v>
      </c>
      <c r="M160" s="28" t="s">
        <v>54</v>
      </c>
      <c r="N160" s="13" t="str" cm="1">
        <f t="array" aca="1" ref="N160" ca="1">INDEX('SAP Customer Data '!A:Z,MATCH(بيانات_العملاء4[[#This Row],[رمز شريك الأعمال]],'SAP Customer Data '!B:B,0),CELL("col",Table_Customer_Data[[#Headers],[LicTradNum]]))</f>
        <v>311295720300003</v>
      </c>
      <c r="O16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0" s="26" t="s">
        <v>54</v>
      </c>
      <c r="Q160" s="9">
        <v>44861</v>
      </c>
      <c r="R16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0" s="26" t="s">
        <v>54</v>
      </c>
      <c r="T160" s="10">
        <v>100000</v>
      </c>
      <c r="U160" s="11"/>
      <c r="V160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160" s="18" cm="1">
        <f t="array" aca="1" ref="X160" ca="1">INDEX('SAP Customer Data '!$A:$AC,MATCH(بيانات_العملاء4[[#This Row],[رمز شريك الأعمال]],'SAP Customer Data '!$B:$B,0),CELL("col",Table_Customer_Data[[#Headers],[CreditLine]]))</f>
        <v>50000</v>
      </c>
      <c r="Y16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0" s="26" t="s">
        <v>55</v>
      </c>
      <c r="AA16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60" s="26" t="s">
        <v>56</v>
      </c>
      <c r="AC160" s="16"/>
      <c r="AD16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0" s="26" t="s">
        <v>54</v>
      </c>
      <c r="AF160" s="16">
        <v>50834</v>
      </c>
      <c r="AG16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60" s="26" t="s">
        <v>56</v>
      </c>
      <c r="AI160" s="6"/>
      <c r="AJ16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0" s="26" t="s">
        <v>56</v>
      </c>
      <c r="AL160" s="9"/>
      <c r="AM16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0" s="26" t="s">
        <v>54</v>
      </c>
      <c r="AO160" s="11">
        <v>44882</v>
      </c>
      <c r="AP16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0" s="26" t="s">
        <v>56</v>
      </c>
      <c r="AR160" s="6"/>
      <c r="AS16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0" s="22" cm="1">
        <f t="array" aca="1" ref="AT160" ca="1">INDEX('SAP Customer Data '!A:Z,MATCH(بيانات_العملاء4[[#This Row],[رمز شريك الأعمال]],'SAP Customer Data '!B:B,0),CELL("col",Table_Customer_Data[[#Headers],[CreateDate]]))</f>
        <v>44896</v>
      </c>
      <c r="AU160" s="30"/>
      <c r="AV160" s="11"/>
      <c r="AW160" s="6" t="s">
        <v>846</v>
      </c>
      <c r="AX160" s="6"/>
    </row>
    <row r="161" spans="1:50" x14ac:dyDescent="0.25">
      <c r="A161" s="17" t="str" cm="1">
        <f t="array" aca="1" ref="A161" ca="1">INDEX('SAP Customer Data '!$A:$AC,MATCH(بيانات_العملاء4[[#This Row],[رمز شريك الأعمال]],'SAP Customer Data '!$B:$B,0),CELL("col",Table_Customer_Data[[#Headers],[GroupName]]))</f>
        <v>CS03</v>
      </c>
      <c r="B161" s="8" t="s">
        <v>28</v>
      </c>
      <c r="C161" s="18" t="str" cm="1">
        <f t="array" aca="1" ref="C161" ca="1">INDEX('SAP Customer Data '!$A:$AC,MATCH(بيانات_العملاء4[[#This Row],[رمز شريك الأعمال]],'SAP Customer Data '!$B:$B,0),CELL("col",Table_Customer_Data[[#Headers],[CardName]]))</f>
        <v>شركة نوارة التميز-نقدي</v>
      </c>
      <c r="D161" s="26" t="str">
        <f ca="1">IF(بيانات_العملاء4[[#This Row],[حد الائتمان على SAP]]&gt;0,"آجل","نقدى")</f>
        <v>نقدى</v>
      </c>
      <c r="E161" s="6"/>
      <c r="F161" s="26" t="s">
        <v>330</v>
      </c>
      <c r="G161" s="26" t="s">
        <v>56</v>
      </c>
      <c r="H161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1" s="26" t="s">
        <v>54</v>
      </c>
      <c r="J161" s="9">
        <v>45001</v>
      </c>
      <c r="K161" s="27" t="s">
        <v>55</v>
      </c>
      <c r="L161" s="19" t="str">
        <f ca="1">IF(AND(بيانات_العملاء4[[#This Row],[السجل التجارى]]="موجود",TODAY()+'Other Data'!$B$23&lt;J161,بيانات_العملاء4[[#This Row],[مطابقة اسم العميل بالاسم بالسجل التجارى]]="مطابق"), "سارى", "يجب اعادة طلبه")</f>
        <v>يجب اعادة طلبه</v>
      </c>
      <c r="M161" s="28" t="s">
        <v>54</v>
      </c>
      <c r="N161" s="13" t="str" cm="1">
        <f t="array" aca="1" ref="N161" ca="1">INDEX('SAP Customer Data '!A:Z,MATCH(بيانات_العملاء4[[#This Row],[رمز شريك الأعمال]],'SAP Customer Data '!B:B,0),CELL("col",Table_Customer_Data[[#Headers],[LicTradNum]]))</f>
        <v>311272528200003</v>
      </c>
      <c r="O16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1" s="26" t="s">
        <v>56</v>
      </c>
      <c r="Q161" s="9"/>
      <c r="R16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1" s="26" t="s">
        <v>56</v>
      </c>
      <c r="T161" s="10"/>
      <c r="U161" s="11"/>
      <c r="V161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1" s="18" cm="1">
        <f t="array" aca="1" ref="X161" ca="1">INDEX('SAP Customer Data '!$A:$AC,MATCH(بيانات_العملاء4[[#This Row],[رمز شريك الأعمال]],'SAP Customer Data '!$B:$B,0),CELL("col",Table_Customer_Data[[#Headers],[CreditLine]]))</f>
        <v>0</v>
      </c>
      <c r="Y16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1" s="26"/>
      <c r="AA16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1" s="26" t="s">
        <v>56</v>
      </c>
      <c r="AC161" s="16"/>
      <c r="AD16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1" s="26" t="s">
        <v>56</v>
      </c>
      <c r="AF161" s="16"/>
      <c r="AG16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1" s="26" t="s">
        <v>56</v>
      </c>
      <c r="AI161" s="6"/>
      <c r="AJ16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1" s="26" t="s">
        <v>56</v>
      </c>
      <c r="AL161" s="9"/>
      <c r="AM16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1" s="26" t="s">
        <v>54</v>
      </c>
      <c r="AO161" s="11">
        <v>44850</v>
      </c>
      <c r="AP16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1" s="26" t="s">
        <v>56</v>
      </c>
      <c r="AR161" s="6"/>
      <c r="AS16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1" s="22" cm="1">
        <f t="array" aca="1" ref="AT161" ca="1">INDEX('SAP Customer Data '!A:Z,MATCH(بيانات_العملاء4[[#This Row],[رمز شريك الأعمال]],'SAP Customer Data '!B:B,0),CELL("col",Table_Customer_Data[[#Headers],[CreateDate]]))</f>
        <v>44898</v>
      </c>
      <c r="AU161" s="30"/>
      <c r="AV161" s="11"/>
      <c r="AW161" s="6" t="s">
        <v>846</v>
      </c>
      <c r="AX161" s="6"/>
    </row>
    <row r="162" spans="1:50" x14ac:dyDescent="0.25">
      <c r="A162" s="17" t="str" cm="1">
        <f t="array" aca="1" ref="A162" ca="1">INDEX('SAP Customer Data '!$A:$AC,MATCH(بيانات_العملاء4[[#This Row],[رمز شريك الأعمال]],'SAP Customer Data '!$B:$B,0),CELL("col",Table_Customer_Data[[#Headers],[GroupName]]))</f>
        <v>CS03</v>
      </c>
      <c r="B162" s="8" t="s">
        <v>29</v>
      </c>
      <c r="C162" s="18" t="str" cm="1">
        <f t="array" aca="1" ref="C162" ca="1">INDEX('SAP Customer Data '!$A:$AC,MATCH(بيانات_العملاء4[[#This Row],[رمز شريك الأعمال]],'SAP Customer Data '!$B:$B,0),CELL("col",Table_Customer_Data[[#Headers],[CardName]]))</f>
        <v>شركة اعمال المختص للتجارة -نقدي</v>
      </c>
      <c r="D162" s="26" t="str">
        <f ca="1">IF(بيانات_العملاء4[[#This Row],[حد الائتمان على SAP]]&gt;0,"آجل","نقدى")</f>
        <v>نقدى</v>
      </c>
      <c r="E162" s="6"/>
      <c r="F162" s="26" t="s">
        <v>370</v>
      </c>
      <c r="G162" s="26" t="s">
        <v>56</v>
      </c>
      <c r="H162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2" s="26" t="s">
        <v>54</v>
      </c>
      <c r="J162" s="9">
        <v>44476</v>
      </c>
      <c r="K162" s="27" t="s">
        <v>55</v>
      </c>
      <c r="L162" s="19" t="str">
        <f ca="1">IF(AND(بيانات_العملاء4[[#This Row],[السجل التجارى]]="موجود",TODAY()+'Other Data'!$B$23&lt;J162,بيانات_العملاء4[[#This Row],[مطابقة اسم العميل بالاسم بالسجل التجارى]]="مطابق"), "سارى", "يجب اعادة طلبه")</f>
        <v>يجب اعادة طلبه</v>
      </c>
      <c r="M162" s="28" t="s">
        <v>54</v>
      </c>
      <c r="N162" s="13" t="str" cm="1">
        <f t="array" aca="1" ref="N162" ca="1">INDEX('SAP Customer Data '!A:Z,MATCH(بيانات_العملاء4[[#This Row],[رمز شريك الأعمال]],'SAP Customer Data '!B:B,0),CELL("col",Table_Customer_Data[[#Headers],[LicTradNum]]))</f>
        <v>310448142800003</v>
      </c>
      <c r="O16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2" s="26" t="s">
        <v>56</v>
      </c>
      <c r="Q162" s="9"/>
      <c r="R16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2" s="26"/>
      <c r="T162" s="10"/>
      <c r="U162" s="11"/>
      <c r="V16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2" s="18" cm="1">
        <f t="array" aca="1" ref="X162" ca="1">INDEX('SAP Customer Data '!$A:$AC,MATCH(بيانات_العملاء4[[#This Row],[رمز شريك الأعمال]],'SAP Customer Data '!$B:$B,0),CELL("col",Table_Customer_Data[[#Headers],[CreditLine]]))</f>
        <v>0</v>
      </c>
      <c r="Y16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2" s="26"/>
      <c r="AA16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2" s="26"/>
      <c r="AC162" s="16"/>
      <c r="AD16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2" s="26"/>
      <c r="AF162" s="16"/>
      <c r="AG16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2" s="26"/>
      <c r="AI162" s="6"/>
      <c r="AJ16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2" s="26"/>
      <c r="AL162" s="9"/>
      <c r="AM16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2" s="26" t="s">
        <v>54</v>
      </c>
      <c r="AO162" s="11"/>
      <c r="AP16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2" s="26"/>
      <c r="AR162" s="6"/>
      <c r="AS16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2" s="22" cm="1">
        <f t="array" aca="1" ref="AT162" ca="1">INDEX('SAP Customer Data '!A:Z,MATCH(بيانات_العملاء4[[#This Row],[رمز شريك الأعمال]],'SAP Customer Data '!B:B,0),CELL("col",Table_Customer_Data[[#Headers],[CreateDate]]))</f>
        <v>44907</v>
      </c>
      <c r="AU162" s="30"/>
      <c r="AV162" s="11"/>
      <c r="AW162" s="6" t="s">
        <v>846</v>
      </c>
      <c r="AX162" s="6"/>
    </row>
    <row r="163" spans="1:50" x14ac:dyDescent="0.25">
      <c r="A163" s="17" t="str" cm="1">
        <f t="array" aca="1" ref="A163" ca="1">INDEX('SAP Customer Data '!$A:$AC,MATCH(بيانات_العملاء4[[#This Row],[رمز شريك الأعمال]],'SAP Customer Data '!$B:$B,0),CELL("col",Table_Customer_Data[[#Headers],[GroupName]]))</f>
        <v>CS03</v>
      </c>
      <c r="B163" s="8" t="s">
        <v>69</v>
      </c>
      <c r="C163" s="18" t="str" cm="1">
        <f t="array" aca="1" ref="C163" ca="1">INDEX('SAP Customer Data '!$A:$AC,MATCH(بيانات_العملاء4[[#This Row],[رمز شريك الأعمال]],'SAP Customer Data '!$B:$B,0),CELL("col",Table_Customer_Data[[#Headers],[CardName]]))</f>
        <v>مؤسسة أنوار العاصمة للتجارة</v>
      </c>
      <c r="D163" s="26" t="str">
        <f ca="1">IF(بيانات_العملاء4[[#This Row],[حد الائتمان على SAP]]&gt;0,"آجل","نقدى")</f>
        <v>آجل</v>
      </c>
      <c r="E163" s="6" t="s">
        <v>337</v>
      </c>
      <c r="F163" s="26" t="s">
        <v>385</v>
      </c>
      <c r="G163" s="26" t="s">
        <v>54</v>
      </c>
      <c r="H163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3" s="26" t="s">
        <v>54</v>
      </c>
      <c r="J163" s="9">
        <v>45907</v>
      </c>
      <c r="K163" s="27" t="s">
        <v>55</v>
      </c>
      <c r="L163" s="19" t="str">
        <f ca="1">IF(AND(بيانات_العملاء4[[#This Row],[السجل التجارى]]="موجود",TODAY()+'Other Data'!$B$23&lt;J163,بيانات_العملاء4[[#This Row],[مطابقة اسم العميل بالاسم بالسجل التجارى]]="مطابق"), "سارى", "يجب اعادة طلبه")</f>
        <v>سارى</v>
      </c>
      <c r="M163" s="28" t="s">
        <v>54</v>
      </c>
      <c r="N163" s="13" t="str" cm="1">
        <f t="array" aca="1" ref="N163" ca="1">INDEX('SAP Customer Data '!A:Z,MATCH(بيانات_العملاء4[[#This Row],[رمز شريك الأعمال]],'SAP Customer Data '!B:B,0),CELL("col",Table_Customer_Data[[#Headers],[LicTradNum]]))</f>
        <v>300095531500003</v>
      </c>
      <c r="O163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3" s="26" t="s">
        <v>54</v>
      </c>
      <c r="Q163" s="9">
        <v>44935</v>
      </c>
      <c r="R163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3" s="26" t="s">
        <v>54</v>
      </c>
      <c r="T163" s="10">
        <v>25000</v>
      </c>
      <c r="U163" s="11"/>
      <c r="V163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12500</v>
      </c>
      <c r="X163" s="18" cm="1">
        <f t="array" aca="1" ref="X163" ca="1">INDEX('SAP Customer Data '!$A:$AC,MATCH(بيانات_العملاء4[[#This Row],[رمز شريك الأعمال]],'SAP Customer Data '!$B:$B,0),CELL("col",Table_Customer_Data[[#Headers],[CreditLine]]))</f>
        <v>13000</v>
      </c>
      <c r="Y163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63" s="26" t="s">
        <v>55</v>
      </c>
      <c r="AA163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3" s="26" t="s">
        <v>56</v>
      </c>
      <c r="AC163" s="16"/>
      <c r="AD163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3" s="26" t="s">
        <v>56</v>
      </c>
      <c r="AF163" s="16"/>
      <c r="AG163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3" s="26" t="s">
        <v>56</v>
      </c>
      <c r="AI163" s="6"/>
      <c r="AJ163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3" s="26"/>
      <c r="AL163" s="9"/>
      <c r="AM163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3" s="26" t="s">
        <v>56</v>
      </c>
      <c r="AO163" s="11"/>
      <c r="AP163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3" s="26" t="s">
        <v>56</v>
      </c>
      <c r="AR163" s="6"/>
      <c r="AS163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3" s="22" cm="1">
        <f t="array" aca="1" ref="AT163" ca="1">INDEX('SAP Customer Data '!A:Z,MATCH(بيانات_العملاء4[[#This Row],[رمز شريك الأعمال]],'SAP Customer Data '!B:B,0),CELL("col",Table_Customer_Data[[#Headers],[CreateDate]]))</f>
        <v>44943</v>
      </c>
      <c r="AU163" s="30"/>
      <c r="AV163" s="11"/>
      <c r="AW163" s="6" t="s">
        <v>846</v>
      </c>
      <c r="AX163" s="6"/>
    </row>
    <row r="164" spans="1:50" x14ac:dyDescent="0.25">
      <c r="A164" s="17" t="str" cm="1">
        <f t="array" aca="1" ref="A164" ca="1">INDEX('SAP Customer Data '!$A:$AC,MATCH(بيانات_العملاء4[[#This Row],[رمز شريك الأعمال]],'SAP Customer Data '!$B:$B,0),CELL("col",Table_Customer_Data[[#Headers],[GroupName]]))</f>
        <v>CS05</v>
      </c>
      <c r="B164" s="8" t="s">
        <v>688</v>
      </c>
      <c r="C164" s="18" t="str" cm="1">
        <f t="array" aca="1" ref="C164" ca="1">INDEX('SAP Customer Data '!$A:$AC,MATCH(بيانات_العملاء4[[#This Row],[رمز شريك الأعمال]],'SAP Customer Data '!$B:$B,0),CELL("col",Table_Customer_Data[[#Headers],[CardName]]))</f>
        <v>مؤسسة سهم الدر التجارية - نقدي</v>
      </c>
      <c r="D164" s="26" t="str">
        <f ca="1">IF(بيانات_العملاء4[[#This Row],[حد الائتمان على SAP]]&gt;0,"آجل","نقدى")</f>
        <v>نقدى</v>
      </c>
      <c r="E164" s="6" t="s">
        <v>689</v>
      </c>
      <c r="F164" s="26" t="s">
        <v>385</v>
      </c>
      <c r="G164" s="26" t="s">
        <v>54</v>
      </c>
      <c r="H164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4" s="26" t="s">
        <v>54</v>
      </c>
      <c r="J164" s="9">
        <v>45288</v>
      </c>
      <c r="K164" s="27" t="s">
        <v>55</v>
      </c>
      <c r="L164" s="19" t="str">
        <f ca="1">IF(AND(بيانات_العملاء4[[#This Row],[السجل التجارى]]="موجود",TODAY()+'Other Data'!$B$23&lt;J164,بيانات_العملاء4[[#This Row],[مطابقة اسم العميل بالاسم بالسجل التجارى]]="مطابق"), "سارى", "يجب اعادة طلبه")</f>
        <v>سارى</v>
      </c>
      <c r="M164" s="28" t="s">
        <v>54</v>
      </c>
      <c r="N164" s="13" t="str" cm="1">
        <f t="array" aca="1" ref="N164" ca="1">INDEX('SAP Customer Data '!A:Z,MATCH(بيانات_العملاء4[[#This Row],[رمز شريك الأعمال]],'SAP Customer Data '!B:B,0),CELL("col",Table_Customer_Data[[#Headers],[LicTradNum]]))</f>
        <v>300779176100003</v>
      </c>
      <c r="O164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4" s="26" t="s">
        <v>54</v>
      </c>
      <c r="Q164" s="9">
        <v>45917</v>
      </c>
      <c r="R164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164" s="26" t="s">
        <v>56</v>
      </c>
      <c r="T164" s="10"/>
      <c r="U164" s="11"/>
      <c r="V164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4" s="18" cm="1">
        <f t="array" aca="1" ref="X164" ca="1">INDEX('SAP Customer Data '!$A:$AC,MATCH(بيانات_العملاء4[[#This Row],[رمز شريك الأعمال]],'SAP Customer Data '!$B:$B,0),CELL("col",Table_Customer_Data[[#Headers],[CreditLine]]))</f>
        <v>0</v>
      </c>
      <c r="Y164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4" s="26"/>
      <c r="AA164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4" s="26" t="s">
        <v>54</v>
      </c>
      <c r="AC164" s="16">
        <v>47394</v>
      </c>
      <c r="AD164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64" s="26" t="s">
        <v>56</v>
      </c>
      <c r="AF164" s="16"/>
      <c r="AG164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64" s="26" t="s">
        <v>56</v>
      </c>
      <c r="AI164" s="6"/>
      <c r="AJ164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64" s="26" t="s">
        <v>56</v>
      </c>
      <c r="AL164" s="9"/>
      <c r="AM164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4" s="26" t="s">
        <v>54</v>
      </c>
      <c r="AO164" s="11">
        <v>44708</v>
      </c>
      <c r="AP164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4" s="26" t="s">
        <v>56</v>
      </c>
      <c r="AR164" s="6"/>
      <c r="AS164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64" s="22" cm="1">
        <f t="array" aca="1" ref="AT164" ca="1">INDEX('SAP Customer Data '!A:Z,MATCH(بيانات_العملاء4[[#This Row],[رمز شريك الأعمال]],'SAP Customer Data '!B:B,0),CELL("col",Table_Customer_Data[[#Headers],[CreateDate]]))</f>
        <v>45077</v>
      </c>
      <c r="AU164" s="30"/>
      <c r="AV164" s="11"/>
      <c r="AW164" s="6" t="s">
        <v>846</v>
      </c>
      <c r="AX164" s="6"/>
    </row>
    <row r="165" spans="1:50" x14ac:dyDescent="0.25">
      <c r="A165" s="17" t="str" cm="1">
        <f t="array" aca="1" ref="A165" ca="1">INDEX('SAP Customer Data '!$A:$AC,MATCH(بيانات_العملاء4[[#This Row],[رمز شريك الأعمال]],'SAP Customer Data '!$B:$B,0),CELL("col",Table_Customer_Data[[#Headers],[GroupName]]))</f>
        <v>CS03</v>
      </c>
      <c r="B165" s="8" t="s">
        <v>305</v>
      </c>
      <c r="C165" s="18" t="str" cm="1">
        <f t="array" aca="1" ref="C165" ca="1">INDEX('SAP Customer Data '!$A:$AC,MATCH(بيانات_العملاء4[[#This Row],[رمز شريك الأعمال]],'SAP Customer Data '!$B:$B,0),CELL("col",Table_Customer_Data[[#Headers],[CardName]]))</f>
        <v>شركة كهرباء المشاريع للتجارة شركة شخص</v>
      </c>
      <c r="D165" s="26" t="str">
        <f ca="1">IF(بيانات_العملاء4[[#This Row],[حد الائتمان على SAP]]&gt;0,"آجل","نقدى")</f>
        <v>آجل</v>
      </c>
      <c r="E165" s="6"/>
      <c r="F165" s="26" t="s">
        <v>386</v>
      </c>
      <c r="G165" s="26" t="s">
        <v>56</v>
      </c>
      <c r="H165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5" s="26" t="s">
        <v>56</v>
      </c>
      <c r="J165" s="9"/>
      <c r="K165" s="27"/>
      <c r="L165" s="19" t="str">
        <f ca="1">IF(AND(بيانات_العملاء4[[#This Row],[السجل التجارى]]="موجود",TODAY()+'Other Data'!$B$23&lt;J165,بيانات_العملاء4[[#This Row],[مطابقة اسم العميل بالاسم بالسجل التجارى]]="مطابق"), "سارى", "يجب اعادة طلبه")</f>
        <v>يجب اعادة طلبه</v>
      </c>
      <c r="M165" s="28" t="s">
        <v>56</v>
      </c>
      <c r="N165" s="13" t="str" cm="1">
        <f t="array" aca="1" ref="N165" ca="1">INDEX('SAP Customer Data '!A:Z,MATCH(بيانات_العملاء4[[#This Row],[رمز شريك الأعمال]],'SAP Customer Data '!B:B,0),CELL("col",Table_Customer_Data[[#Headers],[LicTradNum]]))</f>
        <v>310396822300003</v>
      </c>
      <c r="O165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65" s="26" t="s">
        <v>56</v>
      </c>
      <c r="Q165" s="9"/>
      <c r="R165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5" s="26" t="s">
        <v>56</v>
      </c>
      <c r="T165" s="10"/>
      <c r="U165" s="11"/>
      <c r="V165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5" s="18" cm="1">
        <f t="array" aca="1" ref="X165" ca="1">INDEX('SAP Customer Data '!$A:$AC,MATCH(بيانات_العملاء4[[#This Row],[رمز شريك الأعمال]],'SAP Customer Data '!$B:$B,0),CELL("col",Table_Customer_Data[[#Headers],[CreditLine]]))</f>
        <v>25000</v>
      </c>
      <c r="Y165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165" s="26"/>
      <c r="AA165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5" s="26"/>
      <c r="AC165" s="16"/>
      <c r="AD165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5" s="26" t="s">
        <v>56</v>
      </c>
      <c r="AF165" s="16"/>
      <c r="AG165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5" s="26" t="s">
        <v>56</v>
      </c>
      <c r="AI165" s="6"/>
      <c r="AJ165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5" s="26"/>
      <c r="AL165" s="9"/>
      <c r="AM165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5" s="26" t="s">
        <v>56</v>
      </c>
      <c r="AO165" s="11"/>
      <c r="AP165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5" s="26" t="s">
        <v>56</v>
      </c>
      <c r="AR165" s="6"/>
      <c r="AS165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5" s="22" cm="1">
        <f t="array" aca="1" ref="AT165" ca="1">INDEX('SAP Customer Data '!A:Z,MATCH(بيانات_العملاء4[[#This Row],[رمز شريك الأعمال]],'SAP Customer Data '!B:B,0),CELL("col",Table_Customer_Data[[#Headers],[CreateDate]]))</f>
        <v>44958</v>
      </c>
      <c r="AU165" s="30"/>
      <c r="AV165" s="11" t="s">
        <v>923</v>
      </c>
      <c r="AW165" s="6" t="s">
        <v>846</v>
      </c>
      <c r="AX165" s="6"/>
    </row>
    <row r="166" spans="1:50" x14ac:dyDescent="0.25">
      <c r="A166" s="17" t="str" cm="1">
        <f t="array" aca="1" ref="A166" ca="1">INDEX('SAP Customer Data '!$A:$AC,MATCH(بيانات_العملاء4[[#This Row],[رمز شريك الأعمال]],'SAP Customer Data '!$B:$B,0),CELL("col",Table_Customer_Data[[#Headers],[GroupName]]))</f>
        <v>CS03</v>
      </c>
      <c r="B166" s="8" t="s">
        <v>306</v>
      </c>
      <c r="C166" s="18" t="str" cm="1">
        <f t="array" aca="1" ref="C166" ca="1">INDEX('SAP Customer Data '!$A:$AC,MATCH(بيانات_العملاء4[[#This Row],[رمز شريك الأعمال]],'SAP Customer Data '!$B:$B,0),CELL("col",Table_Customer_Data[[#Headers],[CardName]]))</f>
        <v>مؤسسة صالح بن فهد الوهبي التجارية - نقدي</v>
      </c>
      <c r="D166" s="26" t="str">
        <f ca="1">IF(بيانات_العملاء4[[#This Row],[حد الائتمان على SAP]]&gt;0,"آجل","نقدى")</f>
        <v>نقدى</v>
      </c>
      <c r="E166" s="6" t="s">
        <v>342</v>
      </c>
      <c r="F166" s="26" t="s">
        <v>385</v>
      </c>
      <c r="G166" s="26" t="s">
        <v>56</v>
      </c>
      <c r="H166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6" s="26" t="s">
        <v>54</v>
      </c>
      <c r="J166" s="9">
        <v>45149</v>
      </c>
      <c r="K166" s="27" t="s">
        <v>55</v>
      </c>
      <c r="L166" s="19" t="str">
        <f ca="1">IF(AND(بيانات_العملاء4[[#This Row],[السجل التجارى]]="موجود",TODAY()+'Other Data'!$B$23&lt;J166,بيانات_العملاء4[[#This Row],[مطابقة اسم العميل بالاسم بالسجل التجارى]]="مطابق"), "سارى", "يجب اعادة طلبه")</f>
        <v>سارى</v>
      </c>
      <c r="M166" s="28" t="s">
        <v>54</v>
      </c>
      <c r="N166" s="13" t="str" cm="1">
        <f t="array" aca="1" ref="N166" ca="1">INDEX('SAP Customer Data '!A:Z,MATCH(بيانات_العملاء4[[#This Row],[رمز شريك الأعمال]],'SAP Customer Data '!B:B,0),CELL("col",Table_Customer_Data[[#Headers],[LicTradNum]]))</f>
        <v>301182858100003</v>
      </c>
      <c r="O166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6" s="26" t="s">
        <v>56</v>
      </c>
      <c r="Q166" s="9"/>
      <c r="R166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6" s="26" t="s">
        <v>56</v>
      </c>
      <c r="T166" s="10"/>
      <c r="U166" s="11"/>
      <c r="V166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6" s="18" cm="1">
        <f t="array" aca="1" ref="X166" ca="1">INDEX('SAP Customer Data '!$A:$AC,MATCH(بيانات_العملاء4[[#This Row],[رمز شريك الأعمال]],'SAP Customer Data '!$B:$B,0),CELL("col",Table_Customer_Data[[#Headers],[CreditLine]]))</f>
        <v>0</v>
      </c>
      <c r="Y166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6" s="26"/>
      <c r="AA166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6" s="26" t="s">
        <v>56</v>
      </c>
      <c r="AC166" s="16"/>
      <c r="AD166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6" s="26" t="s">
        <v>56</v>
      </c>
      <c r="AF166" s="16"/>
      <c r="AG166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6" s="26" t="s">
        <v>56</v>
      </c>
      <c r="AI166" s="6"/>
      <c r="AJ166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6" s="26" t="s">
        <v>56</v>
      </c>
      <c r="AL166" s="9"/>
      <c r="AM166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6" s="26" t="s">
        <v>54</v>
      </c>
      <c r="AO166" s="11">
        <v>44709</v>
      </c>
      <c r="AP166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6" s="26" t="s">
        <v>56</v>
      </c>
      <c r="AR166" s="6"/>
      <c r="AS166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6" s="22" cm="1">
        <f t="array" aca="1" ref="AT166" ca="1">INDEX('SAP Customer Data '!A:Z,MATCH(بيانات_العملاء4[[#This Row],[رمز شريك الأعمال]],'SAP Customer Data '!B:B,0),CELL("col",Table_Customer_Data[[#Headers],[CreateDate]]))</f>
        <v>44984</v>
      </c>
      <c r="AU166" s="30"/>
      <c r="AV166" s="11"/>
      <c r="AW166" s="6" t="s">
        <v>846</v>
      </c>
      <c r="AX166" s="6"/>
    </row>
    <row r="167" spans="1:50" x14ac:dyDescent="0.25">
      <c r="A167" s="17" t="str" cm="1">
        <f t="array" aca="1" ref="A167" ca="1">INDEX('SAP Customer Data '!$A:$AC,MATCH(بيانات_العملاء4[[#This Row],[رمز شريك الأعمال]],'SAP Customer Data '!$B:$B,0),CELL("col",Table_Customer_Data[[#Headers],[GroupName]]))</f>
        <v>CS05</v>
      </c>
      <c r="B167" s="8" t="s">
        <v>661</v>
      </c>
      <c r="C167" s="18" t="str" cm="1">
        <f t="array" aca="1" ref="C167" ca="1">INDEX('SAP Customer Data '!$A:$AC,MATCH(بيانات_العملاء4[[#This Row],[رمز شريك الأعمال]],'SAP Customer Data '!$B:$B,0),CELL("col",Table_Customer_Data[[#Headers],[CardName]]))</f>
        <v>عميل بضمان المندوب CS05</v>
      </c>
      <c r="D167" s="26"/>
      <c r="E167" s="6"/>
      <c r="F167" s="26"/>
      <c r="G167" s="26"/>
      <c r="H167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7" s="26"/>
      <c r="J167" s="9"/>
      <c r="K167" s="27"/>
      <c r="L167" s="19" t="str">
        <f ca="1">IF(AND(بيانات_العملاء4[[#This Row],[السجل التجارى]]="موجود",TODAY()+'Other Data'!$B$23&lt;J167,بيانات_العملاء4[[#This Row],[مطابقة اسم العميل بالاسم بالسجل التجارى]]="مطابق"), "سارى", "يجب اعادة طلبه")</f>
        <v>يجب اعادة طلبه</v>
      </c>
      <c r="M167" s="28"/>
      <c r="N167" s="13" cm="1">
        <f t="array" aca="1" ref="N167" ca="1">INDEX('SAP Customer Data '!A:Z,MATCH(بيانات_العملاء4[[#This Row],[رمز شريك الأعمال]],'SAP Customer Data '!B:B,0),CELL("col",Table_Customer_Data[[#Headers],[LicTradNum]]))</f>
        <v>0</v>
      </c>
      <c r="O167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67" s="26"/>
      <c r="Q167" s="9"/>
      <c r="R167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67" s="26"/>
      <c r="T167" s="10"/>
      <c r="U167" s="11"/>
      <c r="V167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7" s="18" cm="1">
        <f t="array" aca="1" ref="X167" ca="1">INDEX('SAP Customer Data '!$A:$AC,MATCH(بيانات_العملاء4[[#This Row],[رمز شريك الأعمال]],'SAP Customer Data '!$B:$B,0),CELL("col",Table_Customer_Data[[#Headers],[CreditLine]]))</f>
        <v>0</v>
      </c>
      <c r="Y167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7" s="26"/>
      <c r="AA167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7" s="26"/>
      <c r="AC167" s="16"/>
      <c r="AD167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7" s="26"/>
      <c r="AF167" s="16"/>
      <c r="AG167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67" s="26"/>
      <c r="AI167" s="6"/>
      <c r="AJ167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67" s="26"/>
      <c r="AL167" s="9"/>
      <c r="AM167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7" s="26"/>
      <c r="AO167" s="11"/>
      <c r="AP167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7" s="26"/>
      <c r="AR167" s="6"/>
      <c r="AS167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67" s="22" cm="1">
        <f t="array" aca="1" ref="AT167" ca="1">INDEX('SAP Customer Data '!A:Z,MATCH(بيانات_العملاء4[[#This Row],[رمز شريك الأعمال]],'SAP Customer Data '!B:B,0),CELL("col",Table_Customer_Data[[#Headers],[CreateDate]]))</f>
        <v>44871</v>
      </c>
      <c r="AU167" s="30"/>
      <c r="AV167" s="11"/>
      <c r="AW167" s="6" t="s">
        <v>846</v>
      </c>
      <c r="AX167" s="6"/>
    </row>
    <row r="168" spans="1:50" x14ac:dyDescent="0.25">
      <c r="A168" s="17" t="str" cm="1">
        <f t="array" aca="1" ref="A168" ca="1">INDEX('SAP Customer Data '!$A:$AC,MATCH(بيانات_العملاء4[[#This Row],[رمز شريك الأعمال]],'SAP Customer Data '!$B:$B,0),CELL("col",Table_Customer_Data[[#Headers],[GroupName]]))</f>
        <v>CS05</v>
      </c>
      <c r="B168" s="8" t="s">
        <v>665</v>
      </c>
      <c r="C168" s="18" t="str" cm="1">
        <f t="array" aca="1" ref="C168" ca="1">INDEX('SAP Customer Data '!$A:$AC,MATCH(بيانات_العملاء4[[#This Row],[رمز شريك الأعمال]],'SAP Customer Data '!$B:$B,0),CELL("col",Table_Customer_Data[[#Headers],[CardName]]))</f>
        <v>مؤسسة طريق الخليج للتجارة - نقدي</v>
      </c>
      <c r="D168" s="26" t="s">
        <v>391</v>
      </c>
      <c r="E168" s="6" t="s">
        <v>675</v>
      </c>
      <c r="F168" s="26" t="s">
        <v>385</v>
      </c>
      <c r="G168" s="26" t="s">
        <v>56</v>
      </c>
      <c r="H168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8" s="26" t="s">
        <v>54</v>
      </c>
      <c r="J168" s="9">
        <v>45127</v>
      </c>
      <c r="K168" s="27" t="s">
        <v>55</v>
      </c>
      <c r="L168" s="19" t="str">
        <f ca="1">IF(AND(بيانات_العملاء4[[#This Row],[السجل التجارى]]="موجود",TODAY()+'Other Data'!$B$23&lt;J168,بيانات_العملاء4[[#This Row],[مطابقة اسم العميل بالاسم بالسجل التجارى]]="مطابق"), "سارى", "يجب اعادة طلبه")</f>
        <v>يجب اعادة طلبه</v>
      </c>
      <c r="M168" s="28" t="s">
        <v>54</v>
      </c>
      <c r="N168" s="13" t="str" cm="1">
        <f t="array" aca="1" ref="N168" ca="1">INDEX('SAP Customer Data '!A:Z,MATCH(بيانات_العملاء4[[#This Row],[رمز شريك الأعمال]],'SAP Customer Data '!B:B,0),CELL("col",Table_Customer_Data[[#Headers],[LicTradNum]]))</f>
        <v>310191707600003</v>
      </c>
      <c r="O168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8" s="26" t="s">
        <v>56</v>
      </c>
      <c r="Q168" s="9"/>
      <c r="R168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68" s="26" t="s">
        <v>56</v>
      </c>
      <c r="T168" s="10"/>
      <c r="U168" s="11"/>
      <c r="V168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8" s="18" cm="1">
        <f t="array" aca="1" ref="X168" ca="1">INDEX('SAP Customer Data '!$A:$AC,MATCH(بيانات_العملاء4[[#This Row],[رمز شريك الأعمال]],'SAP Customer Data '!$B:$B,0),CELL("col",Table_Customer_Data[[#Headers],[CreditLine]]))</f>
        <v>0</v>
      </c>
      <c r="Y168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8" s="26"/>
      <c r="AA168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8" s="26" t="s">
        <v>54</v>
      </c>
      <c r="AC168" s="16">
        <v>46991</v>
      </c>
      <c r="AD168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68" s="26" t="s">
        <v>56</v>
      </c>
      <c r="AF168" s="16"/>
      <c r="AG168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68" s="26" t="s">
        <v>56</v>
      </c>
      <c r="AI168" s="6"/>
      <c r="AJ168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68" s="26" t="s">
        <v>56</v>
      </c>
      <c r="AL168" s="9"/>
      <c r="AM168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8" s="26" t="s">
        <v>54</v>
      </c>
      <c r="AO168" s="11">
        <v>45117</v>
      </c>
      <c r="AP168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8" s="26" t="s">
        <v>56</v>
      </c>
      <c r="AR168" s="6"/>
      <c r="AS168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68" s="22" cm="1">
        <f t="array" aca="1" ref="AT168" ca="1">INDEX('SAP Customer Data '!A:Z,MATCH(بيانات_العملاء4[[#This Row],[رمز شريك الأعمال]],'SAP Customer Data '!B:B,0),CELL("col",Table_Customer_Data[[#Headers],[CreateDate]]))</f>
        <v>45057</v>
      </c>
      <c r="AU168" s="30"/>
      <c r="AV168" s="11"/>
      <c r="AW168" s="6" t="s">
        <v>846</v>
      </c>
      <c r="AX168" s="6"/>
    </row>
    <row r="169" spans="1:50" x14ac:dyDescent="0.25">
      <c r="A169" s="17" t="str" cm="1">
        <f t="array" aca="1" ref="A169" ca="1">INDEX('SAP Customer Data '!$A:$AC,MATCH(بيانات_العملاء4[[#This Row],[رمز شريك الأعمال]],'SAP Customer Data '!$B:$B,0),CELL("col",Table_Customer_Data[[#Headers],[GroupName]]))</f>
        <v>CS05</v>
      </c>
      <c r="B169" s="8" t="s">
        <v>674</v>
      </c>
      <c r="C169" s="18" t="str" cm="1">
        <f t="array" aca="1" ref="C169" ca="1">INDEX('SAP Customer Data '!$A:$AC,MATCH(بيانات_العملاء4[[#This Row],[رمز شريك الأعمال]],'SAP Customer Data '!$B:$B,0),CELL("col",Table_Customer_Data[[#Headers],[CardName]]))</f>
        <v>مؤسسة نجاح ال سواد التجارية</v>
      </c>
      <c r="D169" s="26" t="s">
        <v>392</v>
      </c>
      <c r="E169" s="6" t="s">
        <v>677</v>
      </c>
      <c r="F169" s="26" t="s">
        <v>385</v>
      </c>
      <c r="G169" s="26" t="s">
        <v>54</v>
      </c>
      <c r="H169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9" s="26" t="s">
        <v>54</v>
      </c>
      <c r="J169" s="9">
        <v>46858</v>
      </c>
      <c r="K169" s="27" t="s">
        <v>55</v>
      </c>
      <c r="L169" s="19" t="str">
        <f ca="1">IF(AND(بيانات_العملاء4[[#This Row],[السجل التجارى]]="موجود",TODAY()+'Other Data'!$B$23&lt;J169,بيانات_العملاء4[[#This Row],[مطابقة اسم العميل بالاسم بالسجل التجارى]]="مطابق"), "سارى", "يجب اعادة طلبه")</f>
        <v>سارى</v>
      </c>
      <c r="M169" s="28" t="s">
        <v>54</v>
      </c>
      <c r="N169" s="13" t="str" cm="1">
        <f t="array" aca="1" ref="N169" ca="1">INDEX('SAP Customer Data '!A:Z,MATCH(بيانات_العملاء4[[#This Row],[رمز شريك الأعمال]],'SAP Customer Data '!B:B,0),CELL("col",Table_Customer_Data[[#Headers],[LicTradNum]]))</f>
        <v>300836157800003</v>
      </c>
      <c r="O169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9" s="26" t="s">
        <v>54</v>
      </c>
      <c r="Q169" s="9">
        <v>45465</v>
      </c>
      <c r="R169" s="1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169" s="26" t="s">
        <v>54</v>
      </c>
      <c r="T169" s="10">
        <v>10000</v>
      </c>
      <c r="U169" s="11">
        <v>45078</v>
      </c>
      <c r="V169" s="20">
        <f>IF(بيانات_العملاء4[[#This Row],[تاريخ انشاء سند الامر او الاستثناء]]="","",بيانات_العملاء4[[#This Row],[تاريخ انشاء سند الامر او الاستثناء]]+365*3)</f>
        <v>46173</v>
      </c>
      <c r="W16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</v>
      </c>
      <c r="X169" s="18" cm="1">
        <f t="array" aca="1" ref="X169" ca="1">INDEX('SAP Customer Data '!$A:$AC,MATCH(بيانات_العملاء4[[#This Row],[رمز شريك الأعمال]],'SAP Customer Data '!$B:$B,0),CELL("col",Table_Customer_Data[[#Headers],[CreditLine]]))</f>
        <v>5000</v>
      </c>
      <c r="Y169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9" s="26"/>
      <c r="AA169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69" s="26" t="s">
        <v>56</v>
      </c>
      <c r="AC169" s="16"/>
      <c r="AD169" s="19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9" s="26" t="s">
        <v>56</v>
      </c>
      <c r="AF169" s="16"/>
      <c r="AG169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69" s="26" t="s">
        <v>56</v>
      </c>
      <c r="AI169" s="6"/>
      <c r="AJ169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69" s="26" t="s">
        <v>56</v>
      </c>
      <c r="AL169" s="9"/>
      <c r="AM169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9" s="26" t="s">
        <v>54</v>
      </c>
      <c r="AO169" s="11">
        <v>43177</v>
      </c>
      <c r="AP169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9" s="26" t="s">
        <v>56</v>
      </c>
      <c r="AR169" s="6"/>
      <c r="AS169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69" s="22" cm="1">
        <f t="array" aca="1" ref="AT169" ca="1">INDEX('SAP Customer Data '!A:Z,MATCH(بيانات_العملاء4[[#This Row],[رمز شريك الأعمال]],'SAP Customer Data '!B:B,0),CELL("col",Table_Customer_Data[[#Headers],[CreateDate]]))</f>
        <v>45076</v>
      </c>
      <c r="AU169" s="30" t="s">
        <v>676</v>
      </c>
      <c r="AV169" s="11"/>
      <c r="AW169" s="6" t="s">
        <v>846</v>
      </c>
      <c r="AX169" s="6"/>
    </row>
    <row r="170" spans="1:50" x14ac:dyDescent="0.25">
      <c r="A170" s="17" t="str" cm="1">
        <f t="array" aca="1" ref="A170" ca="1">INDEX('SAP Customer Data '!$A:$AC,MATCH(بيانات_العملاء4[[#This Row],[رمز شريك الأعمال]],'SAP Customer Data '!$B:$B,0),CELL("col",Table_Customer_Data[[#Headers],[GroupName]]))</f>
        <v>CS03</v>
      </c>
      <c r="B170" s="8" t="s">
        <v>307</v>
      </c>
      <c r="C170" s="18" t="str" cm="1">
        <f t="array" aca="1" ref="C170" ca="1">INDEX('SAP Customer Data '!$A:$AC,MATCH(بيانات_العملاء4[[#This Row],[رمز شريك الأعمال]],'SAP Customer Data '!$B:$B,0),CELL("col",Table_Customer_Data[[#Headers],[CardName]]))</f>
        <v>شركة فروع البناء لمواد البناء</v>
      </c>
      <c r="D170" s="26" t="str">
        <f ca="1">IF(بيانات_العملاء4[[#This Row],[حد الائتمان على SAP]]&gt;0,"آجل","نقدى")</f>
        <v>آجل</v>
      </c>
      <c r="E170" s="6"/>
      <c r="F170" s="26" t="s">
        <v>386</v>
      </c>
      <c r="G170" s="26" t="s">
        <v>54</v>
      </c>
      <c r="H170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70" s="26" t="s">
        <v>54</v>
      </c>
      <c r="J170" s="9">
        <v>46033</v>
      </c>
      <c r="K170" s="27"/>
      <c r="L170" s="19" t="str">
        <f ca="1">IF(AND(بيانات_العملاء4[[#This Row],[السجل التجارى]]="موجود",TODAY()+'Other Data'!$B$23&lt;J170,بيانات_العملاء4[[#This Row],[مطابقة اسم العميل بالاسم بالسجل التجارى]]="مطابق"), "سارى", "يجب اعادة طلبه")</f>
        <v>يجب اعادة طلبه</v>
      </c>
      <c r="M170" s="28" t="s">
        <v>54</v>
      </c>
      <c r="N170" s="13" t="str" cm="1">
        <f t="array" aca="1" ref="N170" ca="1">INDEX('SAP Customer Data '!A:Z,MATCH(بيانات_العملاء4[[#This Row],[رمز شريك الأعمال]],'SAP Customer Data '!B:B,0),CELL("col",Table_Customer_Data[[#Headers],[LicTradNum]]))</f>
        <v>310889739500003</v>
      </c>
      <c r="O170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70" s="26" t="s">
        <v>54</v>
      </c>
      <c r="Q170" s="9">
        <v>45313</v>
      </c>
      <c r="R170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70" s="26" t="s">
        <v>54</v>
      </c>
      <c r="T170" s="10">
        <v>75000</v>
      </c>
      <c r="U170" s="11">
        <v>44992</v>
      </c>
      <c r="V170" s="20">
        <f>IF(بيانات_العملاء4[[#This Row],[تاريخ انشاء سند الامر او الاستثناء]]="","",بيانات_العملاء4[[#This Row],[تاريخ انشاء سند الامر او الاستثناء]]+365*3)</f>
        <v>46087</v>
      </c>
      <c r="W17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37500</v>
      </c>
      <c r="X170" s="18" cm="1">
        <f t="array" aca="1" ref="X170" ca="1">INDEX('SAP Customer Data '!$A:$AC,MATCH(بيانات_العملاء4[[#This Row],[رمز شريك الأعمال]],'SAP Customer Data '!$B:$B,0),CELL("col",Table_Customer_Data[[#Headers],[CreditLine]]))</f>
        <v>37500</v>
      </c>
      <c r="Y170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0" s="26" t="s">
        <v>55</v>
      </c>
      <c r="AA170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سارى</v>
      </c>
      <c r="AB170" s="26" t="s">
        <v>56</v>
      </c>
      <c r="AC170" s="16"/>
      <c r="AD170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70" s="26" t="s">
        <v>56</v>
      </c>
      <c r="AF170" s="16"/>
      <c r="AG170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70" s="26" t="s">
        <v>56</v>
      </c>
      <c r="AI170" s="6"/>
      <c r="AJ170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70" s="26"/>
      <c r="AL170" s="9"/>
      <c r="AM170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0" s="26" t="s">
        <v>54</v>
      </c>
      <c r="AO170" s="11">
        <v>45116</v>
      </c>
      <c r="AP170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0" s="26"/>
      <c r="AR170" s="6"/>
      <c r="AS170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70" s="22" cm="1">
        <f t="array" aca="1" ref="AT170" ca="1">INDEX('SAP Customer Data '!A:Z,MATCH(بيانات_العملاء4[[#This Row],[رمز شريك الأعمال]],'SAP Customer Data '!B:B,0),CELL("col",Table_Customer_Data[[#Headers],[CreateDate]]))</f>
        <v>44992</v>
      </c>
      <c r="AU170" s="30"/>
      <c r="AV170" s="11"/>
      <c r="AW170" s="6" t="s">
        <v>846</v>
      </c>
      <c r="AX170" s="6"/>
    </row>
    <row r="171" spans="1:50" x14ac:dyDescent="0.25">
      <c r="A171" s="17" t="str" cm="1">
        <f t="array" aca="1" ref="A171" ca="1">INDEX('SAP Customer Data '!$A:$AC,MATCH(بيانات_العملاء4[[#This Row],[رمز شريك الأعمال]],'SAP Customer Data '!$B:$B,0),CELL("col",Table_Customer_Data[[#Headers],[GroupName]]))</f>
        <v>CS05</v>
      </c>
      <c r="B171" s="8" t="s">
        <v>308</v>
      </c>
      <c r="C171" s="18" t="str" cm="1">
        <f t="array" aca="1" ref="C171" ca="1">INDEX('SAP Customer Data '!$A:$AC,MATCH(بيانات_العملاء4[[#This Row],[رمز شريك الأعمال]],'SAP Customer Data '!$B:$B,0),CELL("col",Table_Customer_Data[[#Headers],[CardName]]))</f>
        <v>مؤسسة محمود سعود المروحن التجارية - نقدي</v>
      </c>
      <c r="D171" s="26" t="str">
        <f ca="1">IF(بيانات_العملاء4[[#This Row],[حد الائتمان على SAP]]&gt;0,"آجل","نقدى")</f>
        <v>نقدى</v>
      </c>
      <c r="E171" s="6" t="s">
        <v>823</v>
      </c>
      <c r="F171" s="26" t="s">
        <v>385</v>
      </c>
      <c r="G171" s="26" t="s">
        <v>54</v>
      </c>
      <c r="H171" s="19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71" s="26" t="s">
        <v>54</v>
      </c>
      <c r="J171" s="9">
        <v>45347</v>
      </c>
      <c r="K171" s="27" t="s">
        <v>55</v>
      </c>
      <c r="L171" s="19" t="str">
        <f ca="1">IF(AND(بيانات_العملاء4[[#This Row],[السجل التجارى]]="موجود",TODAY()+'Other Data'!$B$23&lt;J171,بيانات_العملاء4[[#This Row],[مطابقة اسم العميل بالاسم بالسجل التجارى]]="مطابق"), "سارى", "يجب اعادة طلبه")</f>
        <v>سارى</v>
      </c>
      <c r="M171" s="28" t="s">
        <v>54</v>
      </c>
      <c r="N171" s="13" t="str" cm="1">
        <f t="array" aca="1" ref="N171" ca="1">INDEX('SAP Customer Data '!A:Z,MATCH(بيانات_العملاء4[[#This Row],[رمز شريك الأعمال]],'SAP Customer Data '!B:B,0),CELL("col",Table_Customer_Data[[#Headers],[LicTradNum]]))</f>
        <v>300821085800003</v>
      </c>
      <c r="O171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71" s="26" t="s">
        <v>56</v>
      </c>
      <c r="Q171" s="9"/>
      <c r="R171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71" s="26" t="s">
        <v>56</v>
      </c>
      <c r="T171" s="10"/>
      <c r="U171" s="11"/>
      <c r="V171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7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71" s="18" cm="1">
        <f t="array" aca="1" ref="X171" ca="1">INDEX('SAP Customer Data '!$A:$AC,MATCH(بيانات_العملاء4[[#This Row],[رمز شريك الأعمال]],'SAP Customer Data '!$B:$B,0),CELL("col",Table_Customer_Data[[#Headers],[CreditLine]]))</f>
        <v>0</v>
      </c>
      <c r="Y171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1" s="26"/>
      <c r="AA171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71" s="26" t="s">
        <v>54</v>
      </c>
      <c r="AC171" s="16">
        <v>51118</v>
      </c>
      <c r="AD171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71" s="26" t="s">
        <v>56</v>
      </c>
      <c r="AF171" s="16"/>
      <c r="AG171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71" s="26" t="s">
        <v>56</v>
      </c>
      <c r="AI171" s="6"/>
      <c r="AJ171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71" s="26" t="s">
        <v>56</v>
      </c>
      <c r="AL171" s="9"/>
      <c r="AM171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1" s="26" t="s">
        <v>56</v>
      </c>
      <c r="AO171" s="11"/>
      <c r="AP171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1" s="26" t="s">
        <v>56</v>
      </c>
      <c r="AR171" s="6"/>
      <c r="AS171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71" s="22" cm="1">
        <f t="array" aca="1" ref="AT171" ca="1">INDEX('SAP Customer Data '!A:Z,MATCH(بيانات_العملاء4[[#This Row],[رمز شريك الأعمال]],'SAP Customer Data '!B:B,0),CELL("col",Table_Customer_Data[[#Headers],[CreateDate]]))</f>
        <v>44896</v>
      </c>
      <c r="AU171" s="30"/>
      <c r="AV171" s="11"/>
      <c r="AW171" s="6" t="s">
        <v>846</v>
      </c>
      <c r="AX171" s="6"/>
    </row>
    <row r="172" spans="1:50" x14ac:dyDescent="0.25">
      <c r="A172" s="17" t="s">
        <v>476</v>
      </c>
      <c r="B172" s="8" t="s">
        <v>926</v>
      </c>
      <c r="C172" s="18" t="str" cm="1">
        <f t="array" aca="1" ref="C172" ca="1">INDEX('SAP Customer Data '!$A:$AC,MATCH(بيانات_العملاء4[[#This Row],[رمز شريك الأعمال]],'SAP Customer Data '!$B:$B,0),CELL("col",Table_Customer_Data[[#Headers],[CardName]]))</f>
        <v>مؤسسة زهراء على احمد القاضي التجارية- نقدي</v>
      </c>
      <c r="D172" s="26" t="str">
        <f ca="1">IF(بيانات_العملاء4[[#This Row],[حد الائتمان على SAP]]&gt;0,"آجل","نقدى")</f>
        <v>نقدى</v>
      </c>
      <c r="E172" s="6" t="s">
        <v>927</v>
      </c>
      <c r="F172" s="26" t="s">
        <v>385</v>
      </c>
      <c r="G172" s="26" t="s">
        <v>62</v>
      </c>
      <c r="H172" s="19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72" s="26" t="s">
        <v>54</v>
      </c>
      <c r="J172" s="9">
        <v>45072</v>
      </c>
      <c r="K172" s="27" t="s">
        <v>55</v>
      </c>
      <c r="L172" s="19" t="str">
        <f ca="1">IF(AND(بيانات_العملاء4[[#This Row],[السجل التجارى]]="موجود",TODAY()+'Other Data'!$B$23&lt;J172,بيانات_العملاء4[[#This Row],[مطابقة اسم العميل بالاسم بالسجل التجارى]]="مطابق"), "سارى", "يجب اعادة طلبه")</f>
        <v>يجب اعادة طلبه</v>
      </c>
      <c r="M172" s="28" t="s">
        <v>56</v>
      </c>
      <c r="N172" s="13" t="str" cm="1">
        <f t="array" aca="1" ref="N172" ca="1">INDEX('SAP Customer Data '!A:Z,MATCH(بيانات_العملاء4[[#This Row],[رمز شريك الأعمال]],'SAP Customer Data '!B:B,0),CELL("col",Table_Customer_Data[[#Headers],[LicTradNum]]))</f>
        <v>310229075200003</v>
      </c>
      <c r="O172" s="1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72" s="26" t="s">
        <v>54</v>
      </c>
      <c r="Q172" s="9">
        <v>45242</v>
      </c>
      <c r="R172" s="15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72" s="26"/>
      <c r="T172" s="10"/>
      <c r="U172" s="11"/>
      <c r="V172" s="20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7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72" s="18" cm="1">
        <f t="array" aca="1" ref="X172" ca="1">INDEX('SAP Customer Data '!$A:$AC,MATCH(بيانات_العملاء4[[#This Row],[رمز شريك الأعمال]],'SAP Customer Data '!$B:$B,0),CELL("col",Table_Customer_Data[[#Headers],[CreditLine]]))</f>
        <v>0</v>
      </c>
      <c r="Y172" s="19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2" s="26"/>
      <c r="AA172" s="19" t="str">
        <f ca="1">(IF(OR(AND(بيانات_العملاء4[[#This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الامر]]="مطابق"),AND(بيانات_العملاء4[[#This Row],[سند الامر]]="مستثنى",بيانات_العملاء4[[#This Row],[قيمة سند الامر او الاستثناء]]=بيانات_العملاء4[[#This Row],[حد الائتمان على SAP]])), "سارى", "يجب اعادة طلبه"))</f>
        <v>يجب اعادة طلبه</v>
      </c>
      <c r="AB172" s="26" t="s">
        <v>54</v>
      </c>
      <c r="AC172" s="16">
        <v>47991</v>
      </c>
      <c r="AD172" s="19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72" s="26"/>
      <c r="AF172" s="16"/>
      <c r="AG172" s="19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72" s="26"/>
      <c r="AI172" s="6"/>
      <c r="AJ172" s="19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72" s="26"/>
      <c r="AL172" s="9"/>
      <c r="AM172" s="19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2" s="26"/>
      <c r="AO172" s="11"/>
      <c r="AP172" s="19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2" s="26"/>
      <c r="AR172" s="6"/>
      <c r="AS172" s="19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72" s="22" cm="1">
        <f t="array" aca="1" ref="AT172" ca="1">INDEX('SAP Customer Data '!A:Z,MATCH(بيانات_العملاء4[[#This Row],[رمز شريك الأعمال]],'SAP Customer Data '!B:B,0),CELL("col",Table_Customer_Data[[#Headers],[CreateDate]]))</f>
        <v>45125</v>
      </c>
      <c r="AU172" s="30"/>
      <c r="AV172" s="11"/>
      <c r="AW172" s="6" t="s">
        <v>845</v>
      </c>
      <c r="AX172" s="6"/>
    </row>
    <row r="183" spans="1:2" x14ac:dyDescent="0.25">
      <c r="A183" s="23"/>
      <c r="B183" t="s">
        <v>996</v>
      </c>
    </row>
    <row r="184" spans="1:2" x14ac:dyDescent="0.25">
      <c r="A184" s="24"/>
      <c r="B184" t="s">
        <v>997</v>
      </c>
    </row>
    <row r="185" spans="1:2" x14ac:dyDescent="0.25">
      <c r="A185" s="25"/>
      <c r="B185" t="s">
        <v>998</v>
      </c>
    </row>
    <row r="186" spans="1:2" x14ac:dyDescent="0.25">
      <c r="A186" s="29"/>
      <c r="B186" t="s">
        <v>999</v>
      </c>
    </row>
  </sheetData>
  <conditionalFormatting sqref="H1:H172 L1:L172 O1:O172 AA1:AA172 AD1:AD172 AG1:AG172 AP1:AP172 AS1:AS172 R2:R172 AJ2:AM172">
    <cfRule type="containsText" dxfId="64" priority="6" operator="containsText" text="سارى">
      <formula>NOT(ISERROR(SEARCH("سارى",H1)))</formula>
    </cfRule>
    <cfRule type="containsText" dxfId="63" priority="7" operator="containsText" text="يجب اعادة طلبه">
      <formula>NOT(ISERROR(SEARCH("يجب اعادة طلبه",H1)))</formula>
    </cfRule>
  </conditionalFormatting>
  <conditionalFormatting sqref="N1:N172">
    <cfRule type="duplicateValues" dxfId="62" priority="16"/>
  </conditionalFormatting>
  <conditionalFormatting sqref="AH22:AH23">
    <cfRule type="containsText" dxfId="61" priority="1" operator="containsText" text="سارى">
      <formula>NOT(ISERROR(SEARCH("سارى",AH22)))</formula>
    </cfRule>
    <cfRule type="containsText" dxfId="60" priority="2" operator="containsText" text="يجب اعادة طلبه">
      <formula>NOT(ISERROR(SEARCH("يجب اعادة طلبه",AH22)))</formula>
    </cfRule>
  </conditionalFormatting>
  <conditionalFormatting sqref="AJ1 R1:R24 AJ2:AM17 AU5 AJ18:AJ19 AL18:AM19 AJ20:AM35 AJ36 AL36:AM36 AJ64:AJ66 AL64:AM66 AJ67:AM67 AJ94:AJ95 AL94:AM95 AJ96:AM98 AJ99 AL99:AM99 AJ100:AM100 AJ101:AJ105 AL101:AM105 AJ106:AM106 AJ107:AK107 AM107 AJ108:AM111 AJ112 AL112:AM112 AJ113:AM127 AJ128 AL128:AM128 AJ129:AM154 AM155 AJ155:AJ160 AL156:AM160 AJ161:AM161 AL162:AM171 AJ162:AJ172 AM172">
    <cfRule type="containsText" dxfId="59" priority="14" operator="containsText" text="سارى">
      <formula>NOT(ISERROR(SEARCH("سارى",R1)))</formula>
    </cfRule>
    <cfRule type="containsText" dxfId="58" priority="15" operator="containsText" text="يجب اعادة طلبه">
      <formula>NOT(ISERROR(SEARCH("يجب اعادة طلبه",R1)))</formula>
    </cfRule>
  </conditionalFormatting>
  <conditionalFormatting sqref="AJ68:AJ70 AL68:AM70 AJ71:AM72 AJ73 AL73:AM73 AJ74:AM76">
    <cfRule type="containsText" dxfId="57" priority="10" operator="containsText" text="سارى">
      <formula>NOT(ISERROR(SEARCH("سارى",AJ68)))</formula>
    </cfRule>
    <cfRule type="containsText" dxfId="56" priority="11" operator="containsText" text="يجب اعادة طلبه">
      <formula>NOT(ISERROR(SEARCH("يجب اعادة طلبه",AJ68)))</formula>
    </cfRule>
  </conditionalFormatting>
  <conditionalFormatting sqref="AJ77 AL77:AM77">
    <cfRule type="containsText" dxfId="55" priority="12" operator="containsText" text="سارى">
      <formula>NOT(ISERROR(SEARCH("سارى",AJ77)))</formula>
    </cfRule>
    <cfRule type="containsText" dxfId="54" priority="13" operator="containsText" text="يجب اعادة طلبه">
      <formula>NOT(ISERROR(SEARCH("يجب اعادة طلبه",AJ77)))</formula>
    </cfRule>
  </conditionalFormatting>
  <conditionalFormatting sqref="AJ78:AM93">
    <cfRule type="containsText" dxfId="53" priority="8" operator="containsText" text="سارى">
      <formula>NOT(ISERROR(SEARCH("سارى",AJ78)))</formula>
    </cfRule>
    <cfRule type="containsText" dxfId="52" priority="9" operator="containsText" text="يجب اعادة طلبه">
      <formula>NOT(ISERROR(SEARCH("يجب اعادة طلبه",AJ78)))</formula>
    </cfRule>
  </conditionalFormatting>
  <conditionalFormatting sqref="AM1">
    <cfRule type="containsText" dxfId="51" priority="4" operator="containsText" text="سارى">
      <formula>NOT(ISERROR(SEARCH("سارى",AM1)))</formula>
    </cfRule>
    <cfRule type="containsText" dxfId="50" priority="5" operator="containsText" text="يجب اعادة طلبه">
      <formula>NOT(ISERROR(SEARCH("يجب اعادة طلبه",AM1)))</formula>
    </cfRule>
  </conditionalFormatting>
  <dataValidations count="7">
    <dataValidation type="date" operator="greaterThanOrEqual" showInputMessage="1" showErrorMessage="1" sqref="AL156:AL171 AL2:AL154" xr:uid="{1A75A8DE-6513-4EBC-A523-46589EBEE802}">
      <formula1>36526</formula1>
    </dataValidation>
    <dataValidation type="whole" allowBlank="1" showInputMessage="1" showErrorMessage="1" sqref="T8:T17 T132:T171 T22:T28 T34:T130 AX14:AX15" xr:uid="{C4ECA227-F763-4C24-BDEB-9001AEE2DDFB}">
      <formula1>1</formula1>
      <formula2>1000000000000</formula2>
    </dataValidation>
    <dataValidation operator="greaterThanOrEqual" allowBlank="1" showInputMessage="1" showErrorMessage="1" sqref="AV74:AV75 F1 AU2:AU172" xr:uid="{C4AB2D37-3820-478A-AFC9-624567AEDF4C}"/>
    <dataValidation type="list" allowBlank="1" showInputMessage="1" showErrorMessage="1" sqref="Z37:Z41" xr:uid="{28153804-0AC3-4056-B360-9895A98FFBCD}"/>
    <dataValidation type="date" operator="greaterThan" allowBlank="1" showInputMessage="1" showErrorMessage="1" sqref="Q2:Q36 Q38:Q60 Q62:Q171" xr:uid="{D18BDBFE-5228-4A82-A6E0-E2B07C4FDD54}">
      <formula1>36526</formula1>
    </dataValidation>
    <dataValidation type="date" operator="greaterThanOrEqual" allowBlank="1" showInputMessage="1" showErrorMessage="1" sqref="J2:J36 AF68 AF86 AF74:AF75 AF79:AF80 AF89:AF91 AF93 AF98 AF120 AF160 AF155:AF156 AF59 AF107 AF109 U2:U171 AF63 AF65 AI2:AI21 AL22:AL23 AL155 J38:J171 AO2:AO172 AC2:AC172 AR2:AR172 AF170:AF172 AI24:AI172 AL172" xr:uid="{76F454A6-3649-4B1B-A49D-6077FD67C8DB}">
      <formula1>36526</formula1>
    </dataValidation>
    <dataValidation type="textLength" allowBlank="1" showInputMessage="1" showErrorMessage="1" sqref="N2:N172" xr:uid="{4BD31E17-CE69-4E2D-AC96-F5AF58DB54CD}">
      <formula1>15</formula1>
      <formula2>15</formula2>
    </dataValidation>
  </dataValidations>
  <hyperlinks>
    <hyperlink ref="B56" r:id="rId1" xr:uid="{8087D32F-7A6F-4CD1-9856-B9327CC19058}"/>
    <hyperlink ref="B42" r:id="rId2" xr:uid="{31D6FEF1-6D45-43B9-A37F-4DE6D9B06E56}"/>
    <hyperlink ref="B46" r:id="rId3" xr:uid="{30CFF830-5EED-4770-8272-8653529037B9}"/>
    <hyperlink ref="B53" r:id="rId4" xr:uid="{16B66652-AEC5-4835-9A0C-21D5CDE9A01A}"/>
    <hyperlink ref="B41" r:id="rId5" xr:uid="{F304272F-F81A-413B-B670-370AE862896B}"/>
    <hyperlink ref="B38" r:id="rId6" xr:uid="{B6DEBC4F-04FF-405B-8EF2-1E40CBC8804C}"/>
    <hyperlink ref="B43" r:id="rId7" xr:uid="{C4D2A647-39B7-4140-AB02-CE4DF1D88596}"/>
    <hyperlink ref="B44" r:id="rId8" xr:uid="{182AB0E4-BD1C-4CC7-A7CA-DBCBDE991F9C}"/>
    <hyperlink ref="B45" r:id="rId9" xr:uid="{B649A31E-0D33-4C7F-B04B-0E277722F524}"/>
    <hyperlink ref="B75" r:id="rId10" xr:uid="{DB86B352-33A9-4742-85B6-AA33A1A16840}"/>
    <hyperlink ref="B163" r:id="rId11" xr:uid="{A907A90F-B780-4138-969F-074046F576AF}"/>
    <hyperlink ref="B47" r:id="rId12" xr:uid="{B12EDABC-D1C9-45DD-BA77-ACD0B46C771C}"/>
    <hyperlink ref="B165" r:id="rId13" xr:uid="{061EB2A7-194A-4EC4-A3A9-0AACA287459D}"/>
    <hyperlink ref="B166" r:id="rId14" xr:uid="{A3C30098-C8A6-4D86-8EDA-D70A00042F63}"/>
    <hyperlink ref="B170" r:id="rId15" xr:uid="{5507D0BD-4DB0-4369-90FF-94F87437777C}"/>
    <hyperlink ref="B48" r:id="rId16" xr:uid="{DABA7A73-74EE-4E03-B2D3-D615F7F43218}"/>
    <hyperlink ref="B120" r:id="rId17" xr:uid="{3D7EBFAF-F5ED-405F-9588-EC0E0AF6D4ED}"/>
    <hyperlink ref="B102" r:id="rId18" xr:uid="{88B748DB-70D6-4835-B277-0176B48A1842}"/>
    <hyperlink ref="B51" r:id="rId19" display="D0013" xr:uid="{041B551E-9B58-4307-88F5-124964C02A3F}"/>
    <hyperlink ref="B50" r:id="rId20" xr:uid="{889A14EB-AC11-4B28-AF8E-D07A56BAA7B0}"/>
    <hyperlink ref="B40" r:id="rId21" xr:uid="{FB6DE415-53A8-4683-857B-78AECE05B335}"/>
    <hyperlink ref="B49" r:id="rId22" xr:uid="{F58A331C-76FE-4140-BEBB-A3A9EA32B6EB}"/>
    <hyperlink ref="B103" r:id="rId23" xr:uid="{C0FA3468-379A-43A6-AF7D-5024EF8303AB}"/>
    <hyperlink ref="B123" r:id="rId24" xr:uid="{A1244734-5E94-4701-B697-C55ED9F7A99D}"/>
    <hyperlink ref="B59" r:id="rId25" xr:uid="{208A63A4-A3E9-473D-8F26-6096AE1D58E8}"/>
    <hyperlink ref="B24" r:id="rId26" xr:uid="{400AF956-E220-4D98-A1B4-A0445D4EA638}"/>
    <hyperlink ref="B25" r:id="rId27" xr:uid="{AA3506DC-EE22-4303-A722-520E59CDBDCD}"/>
    <hyperlink ref="B26" r:id="rId28" xr:uid="{2C4D2DF3-0BFD-478C-8917-009FEEEB8430}"/>
    <hyperlink ref="B27" r:id="rId29" xr:uid="{979A6DCA-A557-479F-BD8A-604BF67ACBA6}"/>
    <hyperlink ref="B28" r:id="rId30" xr:uid="{3D2F7081-BBFE-467F-BE7F-18D086D5D4B3}"/>
    <hyperlink ref="B34" r:id="rId31" xr:uid="{F85E53E4-A995-4DFE-83CD-2E620C3010FA}"/>
    <hyperlink ref="B35" r:id="rId32" xr:uid="{F841AE76-E0B3-45CB-82F8-5E6D0C909321}"/>
    <hyperlink ref="B8" r:id="rId33" xr:uid="{A8522C35-4E98-4D6F-A0FE-CCF81EBCF777}"/>
    <hyperlink ref="B9" r:id="rId34" xr:uid="{DC3AA6F0-BDB4-43E9-ABC2-B5AD81459F2F}"/>
    <hyperlink ref="B10" r:id="rId35" xr:uid="{90034892-2CEF-4C7E-87D1-97EE8F20FC8D}"/>
    <hyperlink ref="B11" r:id="rId36" xr:uid="{CB6521E2-DCC9-48D9-9277-31C60AF36ABF}"/>
    <hyperlink ref="B12" r:id="rId37" xr:uid="{7E59A6FC-1B4B-4CFF-AA71-FF65D51612EC}"/>
    <hyperlink ref="B13" r:id="rId38" xr:uid="{7FC47139-9941-4B50-9A9F-0528AD7F9FD9}"/>
    <hyperlink ref="B2" r:id="rId39" xr:uid="{275C8F79-D8A8-4971-8D7D-75D9A411E6EC}"/>
    <hyperlink ref="B3" r:id="rId40" xr:uid="{73F5F653-AF26-4D66-962A-DA39C589E437}"/>
    <hyperlink ref="B4" r:id="rId41" xr:uid="{33849676-06E3-45D2-BF3B-8E42BB10478B}"/>
    <hyperlink ref="B5" r:id="rId42" xr:uid="{0869EE64-B64F-44A4-B61B-5EE9FB1C0F96}"/>
    <hyperlink ref="B6" r:id="rId43" xr:uid="{43AE6FD3-E436-4E4D-B4FE-839D5C78E31E}"/>
    <hyperlink ref="B18" r:id="rId44" xr:uid="{E4DCF470-3F73-4DE0-8A33-8BB024ADA268}"/>
    <hyperlink ref="B19" r:id="rId45" xr:uid="{E76A78F3-30BD-40EC-B3AA-D93B6FA3A3F4}"/>
    <hyperlink ref="B20" r:id="rId46" xr:uid="{7B925AA7-D794-494A-8337-FA0D30E2A1E4}"/>
    <hyperlink ref="B21" r:id="rId47" xr:uid="{B624A756-90DC-4F76-9ECB-7A1CDB5ECF4A}"/>
    <hyperlink ref="B62" r:id="rId48" xr:uid="{659CCE3A-DA75-4ECA-B3C2-7CC2AB861407}"/>
    <hyperlink ref="B132" r:id="rId49" xr:uid="{05B699D9-EC1A-4946-82A9-97D88727E98A}"/>
    <hyperlink ref="B133" r:id="rId50" xr:uid="{12E39445-65EA-4EFF-A62C-00BB7A1B1C95}"/>
    <hyperlink ref="B153" r:id="rId51" xr:uid="{1BC960B1-D1E9-402B-BF5F-B41A2559ED7B}"/>
    <hyperlink ref="B154" r:id="rId52" xr:uid="{B265C91F-3412-4585-A937-384DDB3FE8EC}"/>
    <hyperlink ref="B155" r:id="rId53" xr:uid="{98D54B62-E47C-4617-947F-77182F3271D0}"/>
    <hyperlink ref="B125" r:id="rId54" xr:uid="{A1A2F187-0D67-4C2C-B5DD-9E1D527FE41E}"/>
    <hyperlink ref="B29" r:id="rId55" xr:uid="{93D728D2-310C-48AF-BE3B-2EB81D0107AE}"/>
    <hyperlink ref="B129" r:id="rId56" xr:uid="{8AFCC684-A7E1-4056-B1FD-004D6D5B803C}"/>
    <hyperlink ref="B131" r:id="rId57" xr:uid="{9B148280-0BC6-4A3F-BFF3-EC60984241B3}"/>
    <hyperlink ref="B30" r:id="rId58" xr:uid="{74AAAE5F-F549-4E5B-892F-44494D389240}"/>
    <hyperlink ref="B31" r:id="rId59" xr:uid="{EC290AA4-9C18-4BE6-9D26-79BC918AB22C}"/>
    <hyperlink ref="B32" r:id="rId60" xr:uid="{71B29538-7091-447C-B6DC-FE59994F49E4}"/>
    <hyperlink ref="B33" r:id="rId61" xr:uid="{E2D1AE2D-E8C8-46AE-AF5D-9A5795617628}"/>
    <hyperlink ref="B126" r:id="rId62" xr:uid="{7A7008DC-BF94-4D97-8E3F-91A326A5A2ED}"/>
    <hyperlink ref="B127" r:id="rId63" xr:uid="{9557BA3E-5E42-4BC2-852A-BCA07F8E5FCC}"/>
    <hyperlink ref="B7" r:id="rId64" xr:uid="{3E7423E8-190D-4060-BD86-559C25D0AF5F}"/>
    <hyperlink ref="B128" r:id="rId65" xr:uid="{3E6E35B3-21BE-402D-9EB1-BEC069C01EE1}"/>
    <hyperlink ref="B22" r:id="rId66" xr:uid="{2E54765D-7685-4213-845E-DD75A3198115}"/>
    <hyperlink ref="B23" r:id="rId67" xr:uid="{615D7FB6-1962-43AD-9CD4-8AF72D520A23}"/>
    <hyperlink ref="B14" r:id="rId68" xr:uid="{A0911E24-FE6E-4CB4-9874-A1C9DFC23C93}"/>
    <hyperlink ref="B15" r:id="rId69" xr:uid="{5818BE31-243D-4398-83E2-A7812FFD9F94}"/>
    <hyperlink ref="B130" r:id="rId70" xr:uid="{75EA70CC-C561-4263-BC20-A7A53FD71C81}"/>
    <hyperlink ref="B57" r:id="rId71" xr:uid="{5D7B3C47-ABAA-48F6-B886-C9B955A6A35B}"/>
    <hyperlink ref="B58" r:id="rId72" xr:uid="{01D54F30-DB5A-4E80-A7CB-D22C684C336F}"/>
    <hyperlink ref="B60" r:id="rId73" xr:uid="{3696C9FE-BF5E-4BF5-867D-F5233C4FA24F}"/>
    <hyperlink ref="B61" r:id="rId74" xr:uid="{3DCD5665-74FD-44C6-BB0D-CE1D339CA830}"/>
    <hyperlink ref="B63" r:id="rId75" xr:uid="{BFA42DFD-21B6-4826-83D6-48DF3658F4F0}"/>
    <hyperlink ref="B65" r:id="rId76" xr:uid="{2689AB6A-BB67-40D2-B457-86CD2827F12D}"/>
    <hyperlink ref="B66" r:id="rId77" xr:uid="{9CD842DB-D989-4312-9522-DA43EABC4E14}"/>
    <hyperlink ref="B67" r:id="rId78" xr:uid="{1A158961-239C-4138-891A-F29C0CEED6F0}"/>
    <hyperlink ref="B68" r:id="rId79" xr:uid="{16E31468-ACED-4550-A608-B48CB986EC41}"/>
    <hyperlink ref="B92" r:id="rId80" xr:uid="{C71556A0-E4C6-45AA-B362-B6EEB3B436DB}"/>
    <hyperlink ref="B77" r:id="rId81" xr:uid="{F080D1F8-2A36-4981-9B6D-542BA6774B81}"/>
    <hyperlink ref="B69" r:id="rId82" xr:uid="{B01AFAEF-1945-4BC2-AC0D-4DBB5C95964B}"/>
    <hyperlink ref="B70" r:id="rId83" xr:uid="{0EEFE0BC-BF08-4F92-9B88-C261C3AEDFBE}"/>
    <hyperlink ref="B71" r:id="rId84" xr:uid="{B175E71D-AE38-4A99-8C28-E0950DAD4ADE}"/>
    <hyperlink ref="B72" r:id="rId85" xr:uid="{E6B2B616-9612-46C3-A7FF-1B17EBD5A520}"/>
    <hyperlink ref="B74" r:id="rId86" xr:uid="{EF027115-43B0-48B8-A513-4EB124C191EB}"/>
    <hyperlink ref="B106" r:id="rId87" xr:uid="{EF2BE4B3-F10B-46E9-9F9A-C9A3EFD135C6}"/>
    <hyperlink ref="B107" r:id="rId88" xr:uid="{C45021DD-C592-441A-88F5-A7087099DAA2}"/>
    <hyperlink ref="B91" r:id="rId89" xr:uid="{1D6F058D-9173-4177-BDDC-E6C3EB93A593}"/>
    <hyperlink ref="B108" r:id="rId90" xr:uid="{8C379D99-F91E-4D7A-B399-8D9C79AA67D0}"/>
    <hyperlink ref="B88" r:id="rId91" xr:uid="{7F32582C-78A9-4BE5-91F0-1441615369B4}"/>
    <hyperlink ref="B109" r:id="rId92" xr:uid="{D486F0E4-9CBF-4040-B4D8-C1FFC81D3120}"/>
    <hyperlink ref="B110" r:id="rId93" xr:uid="{A1C65026-B4C5-494D-B3DB-4510D4365218}"/>
    <hyperlink ref="B37" r:id="rId94" xr:uid="{E4E12CDE-D273-493D-A0D3-7C4771327C17}"/>
    <hyperlink ref="B111" r:id="rId95" xr:uid="{D4A0FC4B-25F3-4D75-B906-22753E79658C}"/>
    <hyperlink ref="B168" r:id="rId96" xr:uid="{68D5BAD5-112E-4594-8078-1C9D040382A4}"/>
    <hyperlink ref="B169" r:id="rId97" xr:uid="{9BDD054D-A7D9-4086-B2AD-495CE01C04B4}"/>
    <hyperlink ref="B157" r:id="rId98" xr:uid="{FE0FF7B2-223B-4DC5-A8CF-EFF8AC10C3E7}"/>
    <hyperlink ref="B158" r:id="rId99" xr:uid="{E40D0407-A825-42AB-B8B4-BE366F1A6FA0}"/>
    <hyperlink ref="B78" r:id="rId100" xr:uid="{EF6A4DC6-A761-4A5B-99EC-B2C6358BAF37}"/>
    <hyperlink ref="B64" r:id="rId101" xr:uid="{8152F0CF-05C8-44BF-914E-C5B5AA539939}"/>
    <hyperlink ref="B112" r:id="rId102" xr:uid="{6E3762A5-7574-4852-95E3-48A0C8F9EAA4}"/>
    <hyperlink ref="B113" r:id="rId103" xr:uid="{EB3028F1-3337-480E-8670-A3C2B429963E}"/>
    <hyperlink ref="B114" r:id="rId104" xr:uid="{70202BF8-CFEE-4BDA-9C8C-8D6AF10B67E6}"/>
    <hyperlink ref="B115" r:id="rId105" xr:uid="{C1C9C273-20CD-4168-A7FD-D9F8F4E1A37C}"/>
    <hyperlink ref="B116" r:id="rId106" xr:uid="{BF4A5745-C88C-43D5-A0CA-FD512604224F}"/>
    <hyperlink ref="B117" r:id="rId107" xr:uid="{75124F9D-4302-45F4-9B07-8C49B0AB3F7D}"/>
    <hyperlink ref="B118" r:id="rId108" xr:uid="{BE75E670-D524-4E71-890D-C691C33BE0EF}"/>
    <hyperlink ref="B164" r:id="rId109" xr:uid="{4D43D6CC-8FF7-454A-84A4-539A9CC9B407}"/>
    <hyperlink ref="B54" r:id="rId110" xr:uid="{901C5987-09B7-43D3-937A-A73AAB83B582}"/>
    <hyperlink ref="B55" r:id="rId111" xr:uid="{02E5384B-78A8-4D02-92FB-E4FEBFB3A993}"/>
    <hyperlink ref="B171" r:id="rId112" xr:uid="{DAC1DDCF-9B2E-4AAB-BE69-9CB05B63EB21}"/>
    <hyperlink ref="B73" r:id="rId113" xr:uid="{E54F0047-9FD5-4C86-B231-A9747594AB3A}"/>
    <hyperlink ref="B119" r:id="rId114" xr:uid="{E2348181-CB75-4D24-B7AD-0B3E31D9CCFE}"/>
    <hyperlink ref="B121" r:id="rId115" xr:uid="{4F166D45-5C1D-495B-93F6-94793098E028}"/>
    <hyperlink ref="B122" r:id="rId116" xr:uid="{11BECAC6-A521-496E-A794-F9E2EFBD1AB8}"/>
    <hyperlink ref="B124" r:id="rId117" xr:uid="{ABFF8616-87BC-4727-BEB0-0F1A86535C4F}"/>
    <hyperlink ref="B159" r:id="rId118" xr:uid="{FBE35845-D24F-4163-8402-D41A0C33B243}"/>
    <hyperlink ref="B160" r:id="rId119" xr:uid="{3BD01B28-908D-4806-B029-C247A325B5F3}"/>
    <hyperlink ref="B161" r:id="rId120" xr:uid="{F6772F4A-530F-418F-BD0D-F8B85BE4C171}"/>
    <hyperlink ref="B16" r:id="rId121" xr:uid="{CF5A896E-196E-482E-9558-A5F8187E4D99}"/>
    <hyperlink ref="B17" r:id="rId122" xr:uid="{2B41EF56-021E-45FB-8060-22F3CF830280}"/>
    <hyperlink ref="B76" r:id="rId123" xr:uid="{0B2DDAED-A96A-425E-BA1F-4A550BA16FCA}"/>
    <hyperlink ref="B80" r:id="rId124" xr:uid="{C8CF0225-A591-4E4F-91AF-CD584299557E}"/>
    <hyperlink ref="B82" r:id="rId125" xr:uid="{73C54FD8-2148-4467-814B-231699BF4508}"/>
    <hyperlink ref="B83" r:id="rId126" xr:uid="{F18E5F2D-4B23-4F37-82A8-4623E7FD8524}"/>
    <hyperlink ref="B84" r:id="rId127" xr:uid="{3AAB7E12-395E-4F9C-BD51-51A808293179}"/>
    <hyperlink ref="B85" r:id="rId128" xr:uid="{26AE7FEC-FBA1-4DA5-BC17-E229F2FADA4C}"/>
    <hyperlink ref="B87" r:id="rId129" xr:uid="{5E5C0A36-72FD-4DF3-8CFD-74B164FDF07C}"/>
    <hyperlink ref="B89" r:id="rId130" xr:uid="{34E20A06-EE3F-4A65-A5C3-1805E8C4DBC8}"/>
    <hyperlink ref="B90" r:id="rId131" xr:uid="{570868FD-4133-43DD-A9ED-8FAFF57AB39C}"/>
    <hyperlink ref="B93" r:id="rId132" xr:uid="{48851A9B-8DFA-499D-8DA9-9CE24916E97A}"/>
    <hyperlink ref="B79" r:id="rId133" xr:uid="{83E6D170-7039-4FAD-BC74-2AAED404FB84}"/>
    <hyperlink ref="B101" r:id="rId134" xr:uid="{78E032B8-8D90-45E9-86F1-AFFD896B4CB3}"/>
    <hyperlink ref="B100" r:id="rId135" xr:uid="{36B414A7-3C66-46F0-AEAF-811E83FCF975}"/>
    <hyperlink ref="B99" r:id="rId136" xr:uid="{9B8EA418-23C9-40EC-9E33-DA6D8FE64053}"/>
    <hyperlink ref="B94" r:id="rId137" xr:uid="{EED164D7-CEDE-437E-88FC-8E7C5E324C59}"/>
    <hyperlink ref="B95" r:id="rId138" xr:uid="{E6ED8045-E47B-4E9B-8CD2-238458E315B0}"/>
    <hyperlink ref="B96" r:id="rId139" xr:uid="{CF6B574F-275C-435D-B99B-92D4EDF222AF}"/>
    <hyperlink ref="B97" r:id="rId140" xr:uid="{0D1747AC-B8DF-4187-B9BE-0FC9F4C94751}"/>
    <hyperlink ref="B98" r:id="rId141" xr:uid="{B22EDF24-2EE7-471F-A73A-34B548C9F5AA}"/>
    <hyperlink ref="B81" r:id="rId142" xr:uid="{BBFA1B1F-8E42-411C-A0C9-3895E66142DC}"/>
    <hyperlink ref="B36" r:id="rId143" xr:uid="{8418CA8B-56D1-4B5A-895A-D15884F2ECF7}"/>
    <hyperlink ref="B145" r:id="rId144" xr:uid="{B584BA5C-C8EA-4B0D-8256-1F2C5D67691D}"/>
    <hyperlink ref="B156" r:id="rId145" xr:uid="{39222698-5C12-4C02-957E-F6951E3C62AE}"/>
    <hyperlink ref="B162" r:id="rId146" xr:uid="{B0CC4C27-D8D4-43B9-B0C8-A2B4E0DFFAB7}"/>
    <hyperlink ref="B39" r:id="rId147" xr:uid="{915F386B-3C08-4447-B4CE-D1F6BC6AD33A}"/>
    <hyperlink ref="B104" r:id="rId148" xr:uid="{9EE61879-829D-4711-98C3-7B696B438B3F}"/>
    <hyperlink ref="B105" r:id="rId149" xr:uid="{0BB7D3BB-1C77-4D64-89AD-CBA0EC49213B}"/>
    <hyperlink ref="B86" r:id="rId150" xr:uid="{6B04BCE3-ABC4-4309-A95A-8C69FF9F9B68}"/>
    <hyperlink ref="B172" r:id="rId151" xr:uid="{C606927B-2EC9-4889-B438-42F10E5C4716}"/>
    <hyperlink ref="AU56" r:id="rId152" xr:uid="{004E640B-6235-43F0-B55E-174E720E6D3D}"/>
  </hyperlinks>
  <pageMargins left="0.7" right="0.7" top="0.75" bottom="0.75" header="0.3" footer="0.3"/>
  <legacyDrawing r:id="rId153"/>
  <tableParts count="1">
    <tablePart r:id="rId154"/>
  </tablePart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F0064416-7932-4BBC-A9F1-E015FBC008E3}">
          <x14:formula1>
            <xm:f>'Other Data'!$E$2:$E$10</xm:f>
          </x14:formula1>
          <xm:sqref>M2:M35 M37:M172</xm:sqref>
        </x14:dataValidation>
        <x14:dataValidation type="list" showInputMessage="1" showErrorMessage="1" xr:uid="{B4426AF2-776B-448B-8417-626AF10D376F}">
          <x14:formula1>
            <xm:f>'Other Data'!$L$2:$L$10</xm:f>
          </x14:formula1>
          <xm:sqref>AK113:AK127 AK161 AK106:AK111 AK20:AK35 AK78:AK93 AK96:AK98 AK100 AK2:AK17 AK74:AK76 AK67 AK71:AK72 AK37:AK63 AK129:AK154 AH22:AH23</xm:sqref>
        </x14:dataValidation>
        <x14:dataValidation type="list" allowBlank="1" showInputMessage="1" showErrorMessage="1" xr:uid="{D146CD6C-CE6E-454B-B20D-64516A592C95}">
          <x14:formula1>
            <xm:f>'Other Data'!$N$2:$N$10</xm:f>
          </x14:formula1>
          <xm:sqref>AQ50:AQ56 AQ170 AQ113:AQ127 AQ46:AQ48 AQ74:AQ76 AQ158:AQ161 AQ86:AQ93 AQ165 AQ129:AQ154 AQ37:AQ41 AQ96:AQ98 AQ100 AQ2:AQ18 AQ105:AQ111 AQ78:AQ84 AQ66:AQ67 AQ72 AQ20:AQ35 AQ58:AQ62</xm:sqref>
        </x14:dataValidation>
        <x14:dataValidation type="list" allowBlank="1" showInputMessage="1" showErrorMessage="1" xr:uid="{0D89E325-CC18-4AD0-8CFD-45063064F4D5}">
          <x14:formula1>
            <xm:f>'Other Data'!$K$2:$K$10</xm:f>
          </x14:formula1>
          <xm:sqref>AK170 AH46:AH48 AH113:AH127 AH86:AH87 AH74:AH76 AN160 AH170 AK160 AH160:AH161 AQ155:AQ156 AK165 AH165 AH89:AH93 AH20:AH35 AN155 AH50:AH63 AH96:AH98 AH100 AH2:AH17 AH106:AH111 AH129:AH156 AN158 AK158 AH158 AH78:AH84 AH67 AH71:AH72 AH37:AH41 AK22:AK23 AK155:AK156 AQ172 AN172 AH172 AK172</xm:sqref>
        </x14:dataValidation>
        <x14:dataValidation type="list" allowBlank="1" showInputMessage="1" showErrorMessage="1" xr:uid="{5B690572-8F18-493F-967A-85D60E34E1C6}">
          <x14:formula1>
            <xm:f>'Other Data'!$J$2:$J$10</xm:f>
          </x14:formula1>
          <xm:sqref>AK105 AE46:AE48 AH88 AQ65 AE160:AE161 AE20:AE35 AE165 AQ171 AE89:AE93 AE100 AE37:AE41 AH105 AE2:AE17 AE96:AE97 AH171 AK171 AN171 AE50:AE58 AE105:AE111 AE129:AE156 AE158 AE60:AE62 AE67 AE71:AE72 AE74:AE76 AE78:AE79 AE81:AE84 AH65 AK65 AN65 AE86:AE87 AE113:AE119 AE121:AE127 AE170:AE172</xm:sqref>
        </x14:dataValidation>
        <x14:dataValidation type="list" allowBlank="1" showInputMessage="1" showErrorMessage="1" xr:uid="{47527514-6A97-424B-9469-27AE7FFB6EA2}">
          <x14:formula1>
            <xm:f>'Other Data'!$H$2:$H$10</xm:f>
          </x14:formula1>
          <xm:sqref>AQ49 AE42:AE45 AE49 AH42:AH45 AH49 AN43:AN45 AN49 AQ42:AQ45 AE59 AE88 AQ64 AQ157 AB165 AE63:AE65 AH64 AK64 AN64 AB96:AB98 AB100 AB2:AB17 AQ162:AQ163 AB105:AB111 AB113:AB127 AE157 AH157 AK157 AB129:AB158 AB160:AB163 AE163 AH162:AH163 AK162:AK163 AN163 AE98 AB67 AB71:AB72 AB74:AB76 AB78:AB84 AE80 AB86:AB93 AB20:AB35 AB37:AB65 AE120 AB170:AB172</xm:sqref>
        </x14:dataValidation>
        <x14:dataValidation type="list" allowBlank="1" showInputMessage="1" showErrorMessage="1" xr:uid="{B359964A-9F1D-4DA0-B86E-93646B6CFC03}">
          <x14:formula1>
            <xm:f>'Other Data'!$D$2:$D$10</xm:f>
          </x14:formula1>
          <xm:sqref>I2:I41 I46:I48 S71 P71 I50:I172</xm:sqref>
        </x14:dataValidation>
        <x14:dataValidation type="list" allowBlank="1" showInputMessage="1" showErrorMessage="1" xr:uid="{8BE0A9EF-E0B4-4DBC-874E-0FA82A8F1027}">
          <x14:formula1>
            <xm:f>'Other Data'!$F$2:$F$10</xm:f>
          </x14:formula1>
          <xm:sqref>S85 AE85 AN85 AH85 AB85 AQ85 S94:S95 AB94:AB95 AE94:AE95 AH94:AH95 AQ77 AN94:AN95 AQ94:AQ95 S101:S104 S128 AB128 AE128 AH128 AK128 AN128 AQ128 AQ166:AQ169 AK166:AK169 S166:S169 P2:P35 AB166:AB169 AE166:AE169 AH166:AH169 S99 AB99 AE99 AH99 AK99 AN99 AQ99 AB101:AB104 AH101:AH104 AK101:AK104 AQ101:AQ104 AN101:AN104 P37:P70 S112 AB112 AE112 AH112 AK112 AN112 AQ112 S159 AB159 AE159 AH159 AK159 S66 AB66 AE66 AH66 AK66 AN66 AK94:AK95 AN166:AN169 S73 AB73 AE73 AH73 AK73 AN73 AQ73 S77 AB77 AE77 AH77 AK77 AN77 AE101:AE104 P72:P172</xm:sqref>
        </x14:dataValidation>
        <x14:dataValidation type="list" allowBlank="1" showInputMessage="1" showErrorMessage="1" xr:uid="{7E022141-DB39-4B05-A5CE-6D9EB690D639}">
          <x14:formula1>
            <xm:f>'Other Data'!$M$2:$M$10</xm:f>
          </x14:formula1>
          <xm:sqref>AQ57 AN170 AN113:AN127 AN46:AN48 AN74:AN76 AN86:AN93 AN159 AN161 AN165 AN129:AN154 AN50:AN63 AN96:AN98 AN100 AN2:AN18 AN105:AN111 AN156:AN157 AN78:AN84 AN67 AN71:AN72 AN20:AN35 AN37:AN42 AQ63</xm:sqref>
        </x14:dataValidation>
        <x14:dataValidation type="list" allowBlank="1" showInputMessage="1" showErrorMessage="1" xr:uid="{18623968-5D61-49FA-BE91-577B8BDC91B9}">
          <x14:formula1>
            <xm:f>'Other Data'!$I$2:$I$9</xm:f>
          </x14:formula1>
          <xm:sqref>Z2:Z36 Z42:Z171</xm:sqref>
        </x14:dataValidation>
        <x14:dataValidation type="list" allowBlank="1" showInputMessage="1" showErrorMessage="1" xr:uid="{F9D523A9-9FC4-43DF-BF0B-8183DD00D92E}">
          <x14:formula1>
            <xm:f>'Other Data'!$G$2:$G$10</xm:f>
          </x14:formula1>
          <xm:sqref>AQ164 S78:S84 S170:S171 AE164 S160:S165 AQ19 AB164 AH164 AN164 S113:S127 S96:S98 S100 AK164 AB18:AB19 AE18:AE19 AH18:AH19 AK18:AK19 AN19 S105:S111 S129:S158 AE162 AN162 S86:S93 AN68:AN70 AB68:AB70 S37:S65 AE68:AE70 AH68:AH70 AK68:AK70 S67:S70 S72 S74:S76 S2:S35 AQ68:AQ71</xm:sqref>
        </x14:dataValidation>
        <x14:dataValidation type="list" allowBlank="1" showInputMessage="1" showErrorMessage="1" xr:uid="{5E727539-1AAA-4714-B6C9-B6B434DE0A07}">
          <x14:formula1>
            <xm:f>'Other Data'!$C$2:$C$10</xm:f>
          </x14:formula1>
          <xm:sqref>I42:I45 I49 M36 P36 S36 AB36 AE36 AH36 AK36 AN36 AQ36 G2:G172</xm:sqref>
        </x14:dataValidation>
        <x14:dataValidation type="list" allowBlank="1" showInputMessage="1" showErrorMessage="1" xr:uid="{ADAEA17D-15E3-42EF-B1EB-5DC18F77406A}">
          <x14:formula1>
            <xm:f>'Other Data'!$B$2:$B$10</xm:f>
          </x14:formula1>
          <xm:sqref>F2:F172</xm:sqref>
        </x14:dataValidation>
        <x14:dataValidation type="list" showInputMessage="1" showErrorMessage="1" xr:uid="{68AEADF4-D450-47D8-9A18-175B73FBF1F2}">
          <x14:formula1>
            <xm:f>'Other Data'!$A$2:$A$10</xm:f>
          </x14:formula1>
          <xm:sqref>D2:D172</xm:sqref>
        </x14:dataValidation>
        <x14:dataValidation type="list" allowBlank="1" showInputMessage="1" showErrorMessage="1" xr:uid="{104AFAC3-6B76-4139-A09E-63A7AAB3B7A2}">
          <x14:formula1>
            <xm:f>'Other Data'!$I$2:$I$10</xm:f>
          </x14:formula1>
          <xm:sqref>K2:K172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23"/>
  <sheetViews>
    <sheetView rightToLeft="1" workbookViewId="0">
      <selection activeCell="A28" sqref="A28"/>
    </sheetView>
  </sheetViews>
  <sheetFormatPr defaultRowHeight="15" x14ac:dyDescent="0.25"/>
  <cols>
    <col min="1" max="1" width="30.28515625" bestFit="1" customWidth="1"/>
    <col min="2" max="2" width="30.28515625" customWidth="1"/>
    <col min="3" max="3" width="30.28515625" bestFit="1" customWidth="1"/>
    <col min="4" max="4" width="11.85546875" bestFit="1" customWidth="1"/>
    <col min="5" max="5" width="12.140625" bestFit="1" customWidth="1"/>
    <col min="6" max="6" width="17" bestFit="1" customWidth="1"/>
    <col min="8" max="8" width="17" bestFit="1" customWidth="1"/>
    <col min="9" max="9" width="30.140625" bestFit="1" customWidth="1"/>
    <col min="10" max="10" width="36.42578125" bestFit="1" customWidth="1"/>
    <col min="11" max="11" width="27.7109375" bestFit="1" customWidth="1"/>
    <col min="12" max="12" width="27.7109375" customWidth="1"/>
    <col min="13" max="13" width="25.7109375" bestFit="1" customWidth="1"/>
    <col min="14" max="14" width="43" bestFit="1" customWidth="1"/>
  </cols>
  <sheetData>
    <row r="1" spans="1:14" x14ac:dyDescent="0.25">
      <c r="A1" s="1" t="s">
        <v>390</v>
      </c>
      <c r="B1" s="1" t="s">
        <v>393</v>
      </c>
      <c r="C1" s="1" t="s">
        <v>31</v>
      </c>
      <c r="D1" s="1" t="s">
        <v>33</v>
      </c>
      <c r="E1" s="1" t="s">
        <v>37</v>
      </c>
      <c r="F1" s="1" t="s">
        <v>39</v>
      </c>
      <c r="G1" s="1" t="s">
        <v>42</v>
      </c>
      <c r="H1" s="1" t="s">
        <v>46</v>
      </c>
      <c r="I1" s="1" t="s">
        <v>45</v>
      </c>
      <c r="J1" s="1" t="s">
        <v>49</v>
      </c>
      <c r="K1" s="1" t="s">
        <v>395</v>
      </c>
      <c r="L1" s="1" t="s">
        <v>398</v>
      </c>
      <c r="M1" s="1" t="s">
        <v>52</v>
      </c>
      <c r="N1" s="1" t="s">
        <v>65</v>
      </c>
    </row>
    <row r="2" spans="1:14" x14ac:dyDescent="0.25">
      <c r="A2" t="s">
        <v>391</v>
      </c>
      <c r="B2" t="s">
        <v>385</v>
      </c>
      <c r="C2" t="s">
        <v>54</v>
      </c>
      <c r="D2" t="s">
        <v>54</v>
      </c>
      <c r="E2" t="s">
        <v>54</v>
      </c>
      <c r="F2" t="s">
        <v>54</v>
      </c>
      <c r="G2" t="s">
        <v>54</v>
      </c>
      <c r="H2" t="s">
        <v>54</v>
      </c>
      <c r="I2" t="s">
        <v>55</v>
      </c>
      <c r="J2" t="s">
        <v>54</v>
      </c>
      <c r="K2" t="s">
        <v>54</v>
      </c>
      <c r="L2" t="s">
        <v>54</v>
      </c>
      <c r="M2" t="s">
        <v>54</v>
      </c>
      <c r="N2" t="s">
        <v>54</v>
      </c>
    </row>
    <row r="3" spans="1:14" x14ac:dyDescent="0.25">
      <c r="A3" t="s">
        <v>392</v>
      </c>
      <c r="B3" t="s">
        <v>370</v>
      </c>
      <c r="C3" t="s">
        <v>56</v>
      </c>
      <c r="D3" t="s">
        <v>56</v>
      </c>
      <c r="E3" t="s">
        <v>56</v>
      </c>
      <c r="F3" t="s">
        <v>56</v>
      </c>
      <c r="G3" t="s">
        <v>56</v>
      </c>
      <c r="H3" t="s">
        <v>56</v>
      </c>
      <c r="I3" t="s">
        <v>57</v>
      </c>
      <c r="J3" t="s">
        <v>56</v>
      </c>
      <c r="K3" t="s">
        <v>56</v>
      </c>
      <c r="L3" t="s">
        <v>56</v>
      </c>
      <c r="M3" t="s">
        <v>56</v>
      </c>
      <c r="N3" t="s">
        <v>56</v>
      </c>
    </row>
    <row r="4" spans="1:14" x14ac:dyDescent="0.25">
      <c r="A4" t="s">
        <v>910</v>
      </c>
      <c r="B4" t="s">
        <v>309</v>
      </c>
      <c r="C4" t="s">
        <v>62</v>
      </c>
      <c r="G4" t="s">
        <v>369</v>
      </c>
    </row>
    <row r="5" spans="1:14" x14ac:dyDescent="0.25">
      <c r="B5" t="s">
        <v>330</v>
      </c>
      <c r="C5" t="s">
        <v>369</v>
      </c>
    </row>
    <row r="6" spans="1:14" x14ac:dyDescent="0.25">
      <c r="B6" t="s">
        <v>415</v>
      </c>
    </row>
    <row r="7" spans="1:14" x14ac:dyDescent="0.25">
      <c r="B7" t="s">
        <v>416</v>
      </c>
    </row>
    <row r="8" spans="1:14" x14ac:dyDescent="0.25">
      <c r="B8" t="s">
        <v>683</v>
      </c>
    </row>
    <row r="20" spans="1:2" s="2" customFormat="1" x14ac:dyDescent="0.25"/>
    <row r="21" spans="1:2" ht="15.75" thickBot="1" x14ac:dyDescent="0.3">
      <c r="A21" s="3" t="s">
        <v>321</v>
      </c>
      <c r="B21" s="1"/>
    </row>
    <row r="22" spans="1:2" ht="15.75" thickTop="1" x14ac:dyDescent="0.25"/>
    <row r="23" spans="1:2" x14ac:dyDescent="0.25">
      <c r="A23" s="1" t="s">
        <v>322</v>
      </c>
      <c r="B23">
        <v>0</v>
      </c>
    </row>
  </sheetData>
  <dataValidations disablePrompts="1" count="2">
    <dataValidation operator="greaterThanOrEqual" allowBlank="1" showInputMessage="1" showErrorMessage="1" sqref="B3" xr:uid="{00000000-0002-0000-0100-000000000000}"/>
    <dataValidation type="list" showInputMessage="1" showErrorMessage="1" sqref="B6:B7" xr:uid="{00000000-0002-0000-0100-000001000000}">
      <formula1>$B$2:$B$10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1DF7-9856-459D-9EFF-2F6FC76A10D0}">
  <sheetPr filterMode="1"/>
  <dimension ref="A1:D53"/>
  <sheetViews>
    <sheetView rightToLeft="1" zoomScale="115" zoomScaleNormal="115" workbookViewId="0">
      <selection activeCell="B44" sqref="B44"/>
    </sheetView>
  </sheetViews>
  <sheetFormatPr defaultRowHeight="15" x14ac:dyDescent="0.25"/>
  <cols>
    <col min="1" max="1" width="41.28515625" bestFit="1" customWidth="1"/>
    <col min="3" max="3" width="46.42578125" bestFit="1" customWidth="1"/>
  </cols>
  <sheetData>
    <row r="1" spans="1:4" x14ac:dyDescent="0.25">
      <c r="A1" s="1" t="s">
        <v>317</v>
      </c>
      <c r="B1" s="1" t="s">
        <v>318</v>
      </c>
      <c r="C1" s="1" t="s">
        <v>331</v>
      </c>
      <c r="D1" s="1" t="s">
        <v>851</v>
      </c>
    </row>
    <row r="2" spans="1:4" hidden="1" x14ac:dyDescent="0.25">
      <c r="A2" t="s">
        <v>53</v>
      </c>
      <c r="B2" s="4" t="s">
        <v>852</v>
      </c>
      <c r="C2" t="str">
        <f t="shared" ref="C2:C33" si="0">A2&amp;" "&amp;"("&amp;B2&amp;")"</f>
        <v>المجموعة (A)</v>
      </c>
      <c r="D2" t="s">
        <v>853</v>
      </c>
    </row>
    <row r="3" spans="1:4" x14ac:dyDescent="0.25">
      <c r="A3" t="s">
        <v>0</v>
      </c>
      <c r="B3" s="4" t="s">
        <v>854</v>
      </c>
      <c r="C3" t="str">
        <f t="shared" si="0"/>
        <v>رمز شريك الأعمال (B)</v>
      </c>
      <c r="D3" t="s">
        <v>855</v>
      </c>
    </row>
    <row r="4" spans="1:4" hidden="1" x14ac:dyDescent="0.25">
      <c r="A4" t="s">
        <v>1</v>
      </c>
      <c r="B4" s="4" t="s">
        <v>856</v>
      </c>
      <c r="C4" t="str">
        <f t="shared" si="0"/>
        <v>اسم شريك الأعمال (C)</v>
      </c>
      <c r="D4" t="s">
        <v>853</v>
      </c>
    </row>
    <row r="5" spans="1:4" hidden="1" x14ac:dyDescent="0.25">
      <c r="A5" t="s">
        <v>390</v>
      </c>
      <c r="B5" s="4" t="s">
        <v>857</v>
      </c>
      <c r="C5" t="str">
        <f t="shared" si="0"/>
        <v>نوع العميل (D)</v>
      </c>
      <c r="D5" t="s">
        <v>853</v>
      </c>
    </row>
    <row r="6" spans="1:4" x14ac:dyDescent="0.25">
      <c r="A6" t="s">
        <v>30</v>
      </c>
      <c r="B6" s="4" t="s">
        <v>858</v>
      </c>
      <c r="C6" t="str">
        <f t="shared" si="0"/>
        <v>اسم المالك (E)</v>
      </c>
      <c r="D6" t="s">
        <v>855</v>
      </c>
    </row>
    <row r="7" spans="1:4" x14ac:dyDescent="0.25">
      <c r="A7" t="s">
        <v>368</v>
      </c>
      <c r="B7" s="4" t="s">
        <v>859</v>
      </c>
      <c r="C7" t="str">
        <f t="shared" si="0"/>
        <v>الكيان القانونى (F)</v>
      </c>
      <c r="D7" t="s">
        <v>855</v>
      </c>
    </row>
    <row r="8" spans="1:4" x14ac:dyDescent="0.25">
      <c r="A8" t="s">
        <v>31</v>
      </c>
      <c r="B8" s="7" t="s">
        <v>319</v>
      </c>
      <c r="C8" t="str">
        <f t="shared" si="0"/>
        <v>طلب فتح حساب مصدق (G)</v>
      </c>
      <c r="D8" t="s">
        <v>855</v>
      </c>
    </row>
    <row r="9" spans="1:4" hidden="1" x14ac:dyDescent="0.25">
      <c r="A9" t="s">
        <v>32</v>
      </c>
      <c r="B9" s="4" t="s">
        <v>860</v>
      </c>
      <c r="C9" t="str">
        <f t="shared" si="0"/>
        <v>حالة طلب فتح الحساب (H)</v>
      </c>
      <c r="D9" t="s">
        <v>853</v>
      </c>
    </row>
    <row r="10" spans="1:4" x14ac:dyDescent="0.25">
      <c r="A10" t="s">
        <v>33</v>
      </c>
      <c r="B10" s="7" t="s">
        <v>401</v>
      </c>
      <c r="C10" t="str">
        <f t="shared" si="0"/>
        <v>السجل التجارى (I)</v>
      </c>
      <c r="D10" t="s">
        <v>855</v>
      </c>
    </row>
    <row r="11" spans="1:4" x14ac:dyDescent="0.25">
      <c r="A11" t="s">
        <v>34</v>
      </c>
      <c r="B11" s="4" t="s">
        <v>861</v>
      </c>
      <c r="C11" t="str">
        <f t="shared" si="0"/>
        <v>تاريخ انتهاء السجل التجارى (J)</v>
      </c>
      <c r="D11" t="s">
        <v>855</v>
      </c>
    </row>
    <row r="12" spans="1:4" x14ac:dyDescent="0.25">
      <c r="A12" t="s">
        <v>36</v>
      </c>
      <c r="B12" s="4" t="s">
        <v>862</v>
      </c>
      <c r="C12" t="str">
        <f t="shared" si="0"/>
        <v>مطابقة اسم العميل بالاسم بالسجل التجارى (K)</v>
      </c>
      <c r="D12" t="s">
        <v>855</v>
      </c>
    </row>
    <row r="13" spans="1:4" hidden="1" x14ac:dyDescent="0.25">
      <c r="A13" t="s">
        <v>35</v>
      </c>
      <c r="B13" s="4" t="s">
        <v>863</v>
      </c>
      <c r="C13" t="str">
        <f t="shared" si="0"/>
        <v>حالة السجل التجارى (L)</v>
      </c>
      <c r="D13" t="s">
        <v>853</v>
      </c>
    </row>
    <row r="14" spans="1:4" x14ac:dyDescent="0.25">
      <c r="A14" t="s">
        <v>37</v>
      </c>
      <c r="B14" s="7" t="s">
        <v>402</v>
      </c>
      <c r="C14" t="str">
        <f>A14&amp;" "&amp;"("&amp;B14&amp;")"</f>
        <v>البطاقة الضريبية (M)</v>
      </c>
      <c r="D14" t="s">
        <v>855</v>
      </c>
    </row>
    <row r="15" spans="1:4" hidden="1" x14ac:dyDescent="0.25">
      <c r="A15" t="s">
        <v>2</v>
      </c>
      <c r="B15" s="4" t="s">
        <v>864</v>
      </c>
      <c r="C15" t="str">
        <f t="shared" si="0"/>
        <v>معرف الضريبة الحكومية (N)</v>
      </c>
      <c r="D15" t="s">
        <v>853</v>
      </c>
    </row>
    <row r="16" spans="1:4" hidden="1" x14ac:dyDescent="0.25">
      <c r="A16" t="s">
        <v>38</v>
      </c>
      <c r="B16" s="4" t="s">
        <v>865</v>
      </c>
      <c r="C16" t="str">
        <f t="shared" si="0"/>
        <v>حالة البطاقة الضريبية (O)</v>
      </c>
      <c r="D16" t="s">
        <v>853</v>
      </c>
    </row>
    <row r="17" spans="1:4" x14ac:dyDescent="0.25">
      <c r="A17" t="s">
        <v>39</v>
      </c>
      <c r="B17" s="7" t="s">
        <v>403</v>
      </c>
      <c r="C17" t="str">
        <f t="shared" si="0"/>
        <v>رخصة النشاط التجارى (P)</v>
      </c>
      <c r="D17" t="s">
        <v>855</v>
      </c>
    </row>
    <row r="18" spans="1:4" x14ac:dyDescent="0.25">
      <c r="A18" t="s">
        <v>40</v>
      </c>
      <c r="B18" s="4" t="s">
        <v>866</v>
      </c>
      <c r="C18" t="str">
        <f t="shared" si="0"/>
        <v>تاريخ انتهاء رخصة النشاط التجارى (Q)</v>
      </c>
      <c r="D18" t="s">
        <v>855</v>
      </c>
    </row>
    <row r="19" spans="1:4" hidden="1" x14ac:dyDescent="0.25">
      <c r="A19" t="s">
        <v>41</v>
      </c>
      <c r="B19" s="4" t="s">
        <v>867</v>
      </c>
      <c r="C19" t="str">
        <f t="shared" si="0"/>
        <v>حالة رخصة النشاط التجارى (R)</v>
      </c>
      <c r="D19" t="s">
        <v>853</v>
      </c>
    </row>
    <row r="20" spans="1:4" x14ac:dyDescent="0.25">
      <c r="A20" t="s">
        <v>42</v>
      </c>
      <c r="B20" s="7" t="s">
        <v>404</v>
      </c>
      <c r="C20" t="str">
        <f t="shared" si="0"/>
        <v>سند الامر (S)</v>
      </c>
      <c r="D20" t="s">
        <v>855</v>
      </c>
    </row>
    <row r="21" spans="1:4" x14ac:dyDescent="0.25">
      <c r="A21" t="s">
        <v>394</v>
      </c>
      <c r="B21" s="4" t="s">
        <v>868</v>
      </c>
      <c r="C21" t="str">
        <f t="shared" si="0"/>
        <v>قيمة سند الامر او الاستثناء (T)</v>
      </c>
      <c r="D21" t="s">
        <v>855</v>
      </c>
    </row>
    <row r="22" spans="1:4" x14ac:dyDescent="0.25">
      <c r="A22" t="s">
        <v>424</v>
      </c>
      <c r="B22" s="4" t="s">
        <v>869</v>
      </c>
      <c r="C22" t="str">
        <f t="shared" si="0"/>
        <v>تاريخ انشاء سند الامر او الاستثناء (U)</v>
      </c>
      <c r="D22" t="s">
        <v>855</v>
      </c>
    </row>
    <row r="23" spans="1:4" hidden="1" x14ac:dyDescent="0.25">
      <c r="A23" t="s">
        <v>425</v>
      </c>
      <c r="B23" s="4" t="s">
        <v>870</v>
      </c>
      <c r="C23" t="str">
        <f t="shared" si="0"/>
        <v>تاريخ انتهاء سند الامر او الاستثناء (V)</v>
      </c>
      <c r="D23" t="s">
        <v>853</v>
      </c>
    </row>
    <row r="24" spans="1:4" hidden="1" x14ac:dyDescent="0.25">
      <c r="A24" t="s">
        <v>59</v>
      </c>
      <c r="B24" s="4" t="s">
        <v>871</v>
      </c>
      <c r="C24" t="str">
        <f t="shared" si="0"/>
        <v>قيمة سند الامر المضبوطة (W)</v>
      </c>
      <c r="D24" t="s">
        <v>853</v>
      </c>
    </row>
    <row r="25" spans="1:4" hidden="1" x14ac:dyDescent="0.25">
      <c r="A25" t="s">
        <v>60</v>
      </c>
      <c r="B25" s="4" t="s">
        <v>872</v>
      </c>
      <c r="C25" t="str">
        <f t="shared" si="0"/>
        <v>حد الائتمان على SAP (X)</v>
      </c>
      <c r="D25" t="s">
        <v>853</v>
      </c>
    </row>
    <row r="26" spans="1:4" hidden="1" x14ac:dyDescent="0.25">
      <c r="A26" t="s">
        <v>43</v>
      </c>
      <c r="B26" s="4" t="s">
        <v>873</v>
      </c>
      <c r="C26" t="str">
        <f t="shared" si="0"/>
        <v>مطابقة الحد الائتمانى (Y)</v>
      </c>
      <c r="D26" t="s">
        <v>853</v>
      </c>
    </row>
    <row r="27" spans="1:4" x14ac:dyDescent="0.25">
      <c r="A27" t="s">
        <v>45</v>
      </c>
      <c r="B27" s="4" t="s">
        <v>874</v>
      </c>
      <c r="C27" t="str">
        <f t="shared" si="0"/>
        <v>مطابقة رقم السجل التجارى بسند الامر (Z)</v>
      </c>
      <c r="D27" t="s">
        <v>855</v>
      </c>
    </row>
    <row r="28" spans="1:4" hidden="1" x14ac:dyDescent="0.25">
      <c r="A28" t="s">
        <v>44</v>
      </c>
      <c r="B28" s="4" t="s">
        <v>875</v>
      </c>
      <c r="C28" t="str">
        <f t="shared" si="0"/>
        <v>حالة سند الامر (AA)</v>
      </c>
      <c r="D28" t="s">
        <v>853</v>
      </c>
    </row>
    <row r="29" spans="1:4" x14ac:dyDescent="0.25">
      <c r="A29" t="s">
        <v>46</v>
      </c>
      <c r="B29" s="7" t="s">
        <v>405</v>
      </c>
      <c r="C29" t="str">
        <f t="shared" si="0"/>
        <v xml:space="preserve"> صورة عن هوية المالك (AB)</v>
      </c>
      <c r="D29" t="s">
        <v>855</v>
      </c>
    </row>
    <row r="30" spans="1:4" x14ac:dyDescent="0.25">
      <c r="A30" t="s">
        <v>47</v>
      </c>
      <c r="B30" s="4" t="s">
        <v>876</v>
      </c>
      <c r="C30" t="str">
        <f t="shared" si="0"/>
        <v>تاريخ انتهاء هوية المالك (AC)</v>
      </c>
      <c r="D30" t="s">
        <v>855</v>
      </c>
    </row>
    <row r="31" spans="1:4" hidden="1" x14ac:dyDescent="0.25">
      <c r="A31" t="s">
        <v>48</v>
      </c>
      <c r="B31" s="4" t="s">
        <v>877</v>
      </c>
      <c r="C31" t="str">
        <f t="shared" si="0"/>
        <v>حالة هوية المالك (AD)</v>
      </c>
      <c r="D31" t="s">
        <v>853</v>
      </c>
    </row>
    <row r="32" spans="1:4" x14ac:dyDescent="0.25">
      <c r="A32" t="s">
        <v>49</v>
      </c>
      <c r="B32" s="7" t="s">
        <v>406</v>
      </c>
      <c r="C32" t="str">
        <f t="shared" si="0"/>
        <v xml:space="preserve"> صورة عن هوية الضامن الاحتياطي في السند لأمر (AE)</v>
      </c>
      <c r="D32" t="s">
        <v>855</v>
      </c>
    </row>
    <row r="33" spans="1:4" x14ac:dyDescent="0.25">
      <c r="A33" t="s">
        <v>50</v>
      </c>
      <c r="B33" s="4" t="s">
        <v>878</v>
      </c>
      <c r="C33" t="str">
        <f t="shared" si="0"/>
        <v>تاريخ انتهاء صورة عن هوية الضامن الاحتياطي في السند لأمر (AF)</v>
      </c>
      <c r="D33" t="s">
        <v>855</v>
      </c>
    </row>
    <row r="34" spans="1:4" hidden="1" x14ac:dyDescent="0.25">
      <c r="A34" t="s">
        <v>51</v>
      </c>
      <c r="B34" s="4" t="s">
        <v>879</v>
      </c>
      <c r="C34" t="str">
        <f t="shared" ref="C34:C51" si="1">A34&amp;" "&amp;"("&amp;B34&amp;")"</f>
        <v>حالة  صورة عن هوية الضامن الاحتياطي في السند لأمر (AG)</v>
      </c>
      <c r="D34" t="s">
        <v>853</v>
      </c>
    </row>
    <row r="35" spans="1:4" x14ac:dyDescent="0.25">
      <c r="A35" t="s">
        <v>395</v>
      </c>
      <c r="B35" s="7" t="s">
        <v>407</v>
      </c>
      <c r="C35" t="str">
        <f t="shared" si="1"/>
        <v xml:space="preserve"> صورة عن هوية الشاهد الاول في السند الامر (AH)</v>
      </c>
      <c r="D35" t="s">
        <v>855</v>
      </c>
    </row>
    <row r="36" spans="1:4" x14ac:dyDescent="0.25">
      <c r="A36" t="s">
        <v>396</v>
      </c>
      <c r="B36" s="4" t="s">
        <v>880</v>
      </c>
      <c r="C36" t="str">
        <f t="shared" si="1"/>
        <v xml:space="preserve"> تاريخ انتهاء هوية الشاهد الاول في السند الامر (AI)</v>
      </c>
      <c r="D36" t="s">
        <v>855</v>
      </c>
    </row>
    <row r="37" spans="1:4" hidden="1" x14ac:dyDescent="0.25">
      <c r="A37" t="s">
        <v>397</v>
      </c>
      <c r="B37" s="4" t="s">
        <v>881</v>
      </c>
      <c r="C37" t="str">
        <f t="shared" si="1"/>
        <v xml:space="preserve"> حالة هوية الشاهد الاول في السند الامر (AJ)</v>
      </c>
      <c r="D37" t="s">
        <v>853</v>
      </c>
    </row>
    <row r="38" spans="1:4" x14ac:dyDescent="0.25">
      <c r="A38" t="s">
        <v>398</v>
      </c>
      <c r="B38" s="7" t="s">
        <v>320</v>
      </c>
      <c r="C38" t="str">
        <f t="shared" si="1"/>
        <v xml:space="preserve"> صورة عن هوية الشاهد الثانى في السند الامر (AK)</v>
      </c>
      <c r="D38" t="s">
        <v>855</v>
      </c>
    </row>
    <row r="39" spans="1:4" x14ac:dyDescent="0.25">
      <c r="A39" t="s">
        <v>399</v>
      </c>
      <c r="B39" s="4" t="s">
        <v>882</v>
      </c>
      <c r="C39" t="str">
        <f t="shared" si="1"/>
        <v xml:space="preserve"> تاريخ انتهاء هوية الشاهد الثانى في السند الامر (AL)</v>
      </c>
      <c r="D39" t="s">
        <v>855</v>
      </c>
    </row>
    <row r="40" spans="1:4" hidden="1" x14ac:dyDescent="0.25">
      <c r="A40" t="s">
        <v>400</v>
      </c>
      <c r="B40" s="4" t="s">
        <v>883</v>
      </c>
      <c r="C40" t="str">
        <f t="shared" si="1"/>
        <v xml:space="preserve"> حالة هوية الشاهد الثانى في السند الامر (AM)</v>
      </c>
      <c r="D40" t="s">
        <v>853</v>
      </c>
    </row>
    <row r="41" spans="1:4" x14ac:dyDescent="0.25">
      <c r="A41" t="s">
        <v>52</v>
      </c>
      <c r="B41" s="7" t="s">
        <v>408</v>
      </c>
      <c r="C41" t="str">
        <f t="shared" si="1"/>
        <v xml:space="preserve"> صورة عن العنوان الوطني للمؤسسة (AN)</v>
      </c>
      <c r="D41" t="s">
        <v>855</v>
      </c>
    </row>
    <row r="42" spans="1:4" x14ac:dyDescent="0.25">
      <c r="A42" t="s">
        <v>63</v>
      </c>
      <c r="B42" s="4" t="s">
        <v>884</v>
      </c>
      <c r="C42" t="str">
        <f t="shared" si="1"/>
        <v>تاريخ انتهاء العنوان الوطنى للمؤسسة (AO)</v>
      </c>
      <c r="D42" t="s">
        <v>855</v>
      </c>
    </row>
    <row r="43" spans="1:4" hidden="1" x14ac:dyDescent="0.25">
      <c r="A43" t="s">
        <v>64</v>
      </c>
      <c r="B43" s="4" t="s">
        <v>885</v>
      </c>
      <c r="C43" t="str">
        <f t="shared" si="1"/>
        <v>حالة العنوان الوطنى للمؤسسة (AP)</v>
      </c>
      <c r="D43" t="s">
        <v>853</v>
      </c>
    </row>
    <row r="44" spans="1:4" x14ac:dyDescent="0.25">
      <c r="A44" t="s">
        <v>65</v>
      </c>
      <c r="B44" s="7" t="s">
        <v>409</v>
      </c>
      <c r="C44" t="str">
        <f t="shared" si="1"/>
        <v xml:space="preserve"> صورة عن العنوان الوطني للضامن الاحتياطي في سند الامر (AQ)</v>
      </c>
      <c r="D44" t="s">
        <v>855</v>
      </c>
    </row>
    <row r="45" spans="1:4" x14ac:dyDescent="0.25">
      <c r="A45" t="s">
        <v>66</v>
      </c>
      <c r="B45" s="4" t="s">
        <v>886</v>
      </c>
      <c r="C45" t="str">
        <f t="shared" si="1"/>
        <v>تاريخ انتهاء العنوان الوطني للضامن الاحتياطي في سند الامر (AR)</v>
      </c>
      <c r="D45" t="s">
        <v>855</v>
      </c>
    </row>
    <row r="46" spans="1:4" hidden="1" x14ac:dyDescent="0.25">
      <c r="A46" t="s">
        <v>67</v>
      </c>
      <c r="B46" s="4" t="s">
        <v>887</v>
      </c>
      <c r="C46" t="str">
        <f t="shared" si="1"/>
        <v>حالة  العنوان الوطني للضامن الاحتياطي في سند الامر (AS)</v>
      </c>
      <c r="D46" t="s">
        <v>853</v>
      </c>
    </row>
    <row r="47" spans="1:4" hidden="1" x14ac:dyDescent="0.25">
      <c r="A47" t="s">
        <v>3</v>
      </c>
      <c r="B47" s="4" t="s">
        <v>888</v>
      </c>
      <c r="C47" t="str">
        <f t="shared" si="1"/>
        <v>تاريخ الإنشاء (AT)</v>
      </c>
      <c r="D47" t="s">
        <v>853</v>
      </c>
    </row>
    <row r="48" spans="1:4" x14ac:dyDescent="0.25">
      <c r="A48" t="s">
        <v>889</v>
      </c>
      <c r="B48" s="4" t="s">
        <v>890</v>
      </c>
      <c r="C48" t="str">
        <f t="shared" si="1"/>
        <v>موقع المؤسسة GPS (AU)</v>
      </c>
      <c r="D48" t="s">
        <v>855</v>
      </c>
    </row>
    <row r="49" spans="1:4" x14ac:dyDescent="0.25">
      <c r="A49" t="s">
        <v>61</v>
      </c>
      <c r="B49" s="4" t="s">
        <v>891</v>
      </c>
      <c r="C49" t="str">
        <f t="shared" si="1"/>
        <v>الملاحظات (AV)</v>
      </c>
      <c r="D49" t="s">
        <v>855</v>
      </c>
    </row>
    <row r="50" spans="1:4" x14ac:dyDescent="0.25">
      <c r="A50" t="s">
        <v>843</v>
      </c>
      <c r="B50" s="4" t="s">
        <v>892</v>
      </c>
      <c r="C50" t="str">
        <f t="shared" si="1"/>
        <v>الفروع (AW)</v>
      </c>
      <c r="D50" t="s">
        <v>855</v>
      </c>
    </row>
    <row r="51" spans="1:4" x14ac:dyDescent="0.25">
      <c r="A51" t="s">
        <v>893</v>
      </c>
      <c r="B51" s="4" t="s">
        <v>894</v>
      </c>
      <c r="C51" t="str">
        <f t="shared" si="1"/>
        <v>قيمة سند الامر او الاستثناء لفروع العميل (AX)</v>
      </c>
      <c r="D51" t="s">
        <v>855</v>
      </c>
    </row>
    <row r="52" spans="1:4" x14ac:dyDescent="0.25">
      <c r="B52" s="4"/>
    </row>
    <row r="53" spans="1:4" x14ac:dyDescent="0.25">
      <c r="B53" s="4"/>
    </row>
  </sheetData>
  <autoFilter ref="A1:D51" xr:uid="{00000000-0001-0000-0300-000000000000}">
    <filterColumn colId="3">
      <filters>
        <filter val="نعم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174"/>
  <sheetViews>
    <sheetView zoomScale="85" zoomScaleNormal="85" workbookViewId="0">
      <selection activeCell="B1" sqref="B1:B1048576"/>
    </sheetView>
  </sheetViews>
  <sheetFormatPr defaultRowHeight="15" x14ac:dyDescent="0.25"/>
  <cols>
    <col min="1" max="1" width="14.140625" bestFit="1" customWidth="1"/>
    <col min="2" max="2" width="11.85546875" bestFit="1" customWidth="1"/>
    <col min="3" max="3" width="40.5703125" bestFit="1" customWidth="1"/>
    <col min="4" max="4" width="16.42578125" bestFit="1" customWidth="1"/>
    <col min="5" max="5" width="13.28515625" bestFit="1" customWidth="1"/>
    <col min="6" max="6" width="14.5703125" bestFit="1" customWidth="1"/>
    <col min="7" max="7" width="12.42578125" bestFit="1" customWidth="1"/>
    <col min="8" max="8" width="10.42578125" bestFit="1" customWidth="1"/>
    <col min="9" max="9" width="14.42578125" bestFit="1" customWidth="1"/>
    <col min="10" max="10" width="13.140625" bestFit="1" customWidth="1"/>
    <col min="11" max="11" width="21.42578125" bestFit="1" customWidth="1"/>
    <col min="12" max="12" width="81.140625" bestFit="1" customWidth="1"/>
    <col min="13" max="13" width="13.140625" bestFit="1" customWidth="1"/>
    <col min="14" max="14" width="18.85546875" bestFit="1" customWidth="1"/>
    <col min="15" max="15" width="30.42578125" bestFit="1" customWidth="1"/>
  </cols>
  <sheetData>
    <row r="1" spans="1:15" x14ac:dyDescent="0.25">
      <c r="A1" t="s">
        <v>426</v>
      </c>
      <c r="B1" t="s">
        <v>427</v>
      </c>
      <c r="C1" t="s">
        <v>428</v>
      </c>
      <c r="D1" t="s">
        <v>690</v>
      </c>
      <c r="E1" t="s">
        <v>435</v>
      </c>
      <c r="F1" t="s">
        <v>691</v>
      </c>
      <c r="G1" t="s">
        <v>429</v>
      </c>
      <c r="H1" t="s">
        <v>430</v>
      </c>
      <c r="I1" t="s">
        <v>431</v>
      </c>
      <c r="J1" t="s">
        <v>432</v>
      </c>
      <c r="K1" t="s">
        <v>433</v>
      </c>
      <c r="L1" t="s">
        <v>434</v>
      </c>
      <c r="M1" t="s">
        <v>692</v>
      </c>
      <c r="N1" t="s">
        <v>436</v>
      </c>
      <c r="O1" t="s">
        <v>437</v>
      </c>
    </row>
    <row r="2" spans="1:15" x14ac:dyDescent="0.25">
      <c r="A2" t="s">
        <v>4</v>
      </c>
      <c r="B2" t="s">
        <v>310</v>
      </c>
      <c r="C2" t="s">
        <v>311</v>
      </c>
      <c r="D2" t="s">
        <v>693</v>
      </c>
      <c r="E2" s="12">
        <v>45019</v>
      </c>
      <c r="F2" t="s">
        <v>694</v>
      </c>
      <c r="G2">
        <v>4000</v>
      </c>
      <c r="H2">
        <v>2425.5500000000002</v>
      </c>
      <c r="I2">
        <v>2425.5500000000002</v>
      </c>
      <c r="J2">
        <v>111</v>
      </c>
      <c r="K2">
        <v>1574.45</v>
      </c>
      <c r="L2" t="s">
        <v>438</v>
      </c>
      <c r="M2">
        <v>4</v>
      </c>
      <c r="N2" t="s">
        <v>439</v>
      </c>
      <c r="O2" t="s">
        <v>928</v>
      </c>
    </row>
    <row r="3" spans="1:15" x14ac:dyDescent="0.25">
      <c r="A3" t="s">
        <v>4</v>
      </c>
      <c r="B3" t="s">
        <v>6</v>
      </c>
      <c r="C3" t="s">
        <v>79</v>
      </c>
      <c r="D3" t="s">
        <v>695</v>
      </c>
      <c r="E3" s="12">
        <v>44877</v>
      </c>
      <c r="F3" t="s">
        <v>694</v>
      </c>
      <c r="G3">
        <v>0</v>
      </c>
      <c r="H3">
        <v>-0.66</v>
      </c>
      <c r="I3">
        <v>-0.66</v>
      </c>
      <c r="J3">
        <v>258</v>
      </c>
      <c r="K3">
        <v>0</v>
      </c>
      <c r="L3" t="s">
        <v>441</v>
      </c>
      <c r="M3">
        <v>4</v>
      </c>
      <c r="N3" t="s">
        <v>439</v>
      </c>
      <c r="O3" t="s">
        <v>440</v>
      </c>
    </row>
    <row r="4" spans="1:15" x14ac:dyDescent="0.25">
      <c r="A4" t="s">
        <v>442</v>
      </c>
      <c r="B4" t="s">
        <v>443</v>
      </c>
      <c r="C4" t="s">
        <v>444</v>
      </c>
      <c r="E4" s="12">
        <v>44871</v>
      </c>
      <c r="F4" t="s">
        <v>694</v>
      </c>
      <c r="G4">
        <v>0</v>
      </c>
      <c r="H4">
        <v>1755.63</v>
      </c>
      <c r="I4">
        <v>1755.63</v>
      </c>
      <c r="J4">
        <v>264</v>
      </c>
      <c r="K4">
        <v>-1755.63</v>
      </c>
      <c r="L4" t="s">
        <v>445</v>
      </c>
      <c r="M4">
        <v>4</v>
      </c>
      <c r="N4" t="s">
        <v>446</v>
      </c>
      <c r="O4" t="s">
        <v>929</v>
      </c>
    </row>
    <row r="5" spans="1:15" x14ac:dyDescent="0.25">
      <c r="A5" t="s">
        <v>7</v>
      </c>
      <c r="B5" t="s">
        <v>447</v>
      </c>
      <c r="C5" t="s">
        <v>448</v>
      </c>
      <c r="D5" t="s">
        <v>696</v>
      </c>
      <c r="E5" s="12">
        <v>44871</v>
      </c>
      <c r="F5" t="s">
        <v>694</v>
      </c>
      <c r="G5">
        <v>0</v>
      </c>
      <c r="H5">
        <v>2146.73</v>
      </c>
      <c r="I5">
        <v>2146.73</v>
      </c>
      <c r="J5">
        <v>264</v>
      </c>
      <c r="K5">
        <v>-2146.73</v>
      </c>
      <c r="L5" t="s">
        <v>449</v>
      </c>
      <c r="M5">
        <v>4</v>
      </c>
      <c r="N5" t="s">
        <v>446</v>
      </c>
      <c r="O5" t="s">
        <v>450</v>
      </c>
    </row>
    <row r="6" spans="1:15" x14ac:dyDescent="0.25">
      <c r="A6" t="s">
        <v>11</v>
      </c>
      <c r="B6" t="s">
        <v>10</v>
      </c>
      <c r="C6" t="s">
        <v>80</v>
      </c>
      <c r="D6" t="s">
        <v>697</v>
      </c>
      <c r="E6" s="12">
        <v>44905</v>
      </c>
      <c r="F6" t="s">
        <v>694</v>
      </c>
      <c r="G6">
        <v>50000</v>
      </c>
      <c r="H6">
        <v>5147.34</v>
      </c>
      <c r="I6">
        <v>1675.37</v>
      </c>
      <c r="J6">
        <v>151</v>
      </c>
      <c r="K6">
        <v>44852.66</v>
      </c>
      <c r="L6" t="s">
        <v>451</v>
      </c>
      <c r="M6">
        <v>4</v>
      </c>
      <c r="N6" t="s">
        <v>439</v>
      </c>
      <c r="O6" t="s">
        <v>968</v>
      </c>
    </row>
    <row r="7" spans="1:15" x14ac:dyDescent="0.25">
      <c r="A7" t="s">
        <v>11</v>
      </c>
      <c r="B7" t="s">
        <v>12</v>
      </c>
      <c r="C7" t="s">
        <v>58</v>
      </c>
      <c r="D7" t="s">
        <v>698</v>
      </c>
      <c r="E7" s="12">
        <v>44934</v>
      </c>
      <c r="F7" t="s">
        <v>694</v>
      </c>
      <c r="G7">
        <v>30000</v>
      </c>
      <c r="H7">
        <v>6623.3</v>
      </c>
      <c r="I7">
        <v>0</v>
      </c>
      <c r="J7">
        <v>0</v>
      </c>
      <c r="K7">
        <v>30000</v>
      </c>
      <c r="L7" t="s">
        <v>452</v>
      </c>
      <c r="M7">
        <v>4</v>
      </c>
      <c r="N7" t="s">
        <v>439</v>
      </c>
      <c r="O7" t="s">
        <v>440</v>
      </c>
    </row>
    <row r="8" spans="1:15" x14ac:dyDescent="0.25">
      <c r="A8" t="s">
        <v>11</v>
      </c>
      <c r="B8" t="s">
        <v>81</v>
      </c>
      <c r="C8" t="s">
        <v>315</v>
      </c>
      <c r="D8" t="s">
        <v>699</v>
      </c>
      <c r="E8" s="12">
        <v>44955</v>
      </c>
      <c r="F8" t="s">
        <v>694</v>
      </c>
      <c r="G8">
        <v>40000</v>
      </c>
      <c r="H8">
        <v>3759</v>
      </c>
      <c r="I8">
        <v>0</v>
      </c>
      <c r="J8">
        <v>0</v>
      </c>
      <c r="K8">
        <v>40000</v>
      </c>
      <c r="L8" t="s">
        <v>453</v>
      </c>
      <c r="M8">
        <v>4</v>
      </c>
      <c r="N8" t="s">
        <v>439</v>
      </c>
      <c r="O8" t="s">
        <v>440</v>
      </c>
    </row>
    <row r="9" spans="1:15" x14ac:dyDescent="0.25">
      <c r="A9" t="s">
        <v>11</v>
      </c>
      <c r="B9" t="s">
        <v>82</v>
      </c>
      <c r="C9" t="s">
        <v>83</v>
      </c>
      <c r="D9" t="s">
        <v>700</v>
      </c>
      <c r="E9" s="12">
        <v>44958</v>
      </c>
      <c r="F9" t="s">
        <v>694</v>
      </c>
      <c r="G9">
        <v>25000</v>
      </c>
      <c r="H9">
        <v>128.80000000000001</v>
      </c>
      <c r="I9">
        <v>128.80000000000001</v>
      </c>
      <c r="J9">
        <v>179</v>
      </c>
      <c r="K9">
        <v>24871.200000000001</v>
      </c>
      <c r="L9" t="s">
        <v>454</v>
      </c>
      <c r="M9">
        <v>4</v>
      </c>
      <c r="N9" t="s">
        <v>439</v>
      </c>
      <c r="O9" t="s">
        <v>455</v>
      </c>
    </row>
    <row r="10" spans="1:15" x14ac:dyDescent="0.25">
      <c r="A10" t="s">
        <v>11</v>
      </c>
      <c r="B10" t="s">
        <v>84</v>
      </c>
      <c r="C10" t="s">
        <v>85</v>
      </c>
      <c r="D10" t="s">
        <v>701</v>
      </c>
      <c r="E10" s="12">
        <v>44989</v>
      </c>
      <c r="F10" t="s">
        <v>702</v>
      </c>
      <c r="G10">
        <v>0</v>
      </c>
      <c r="H10">
        <v>-2.4</v>
      </c>
      <c r="I10">
        <v>-2.4</v>
      </c>
      <c r="J10">
        <v>123</v>
      </c>
      <c r="K10">
        <v>0</v>
      </c>
      <c r="L10" t="s">
        <v>456</v>
      </c>
      <c r="M10">
        <v>-1</v>
      </c>
      <c r="N10" t="s">
        <v>439</v>
      </c>
      <c r="O10" t="s">
        <v>440</v>
      </c>
    </row>
    <row r="11" spans="1:15" x14ac:dyDescent="0.25">
      <c r="A11" t="s">
        <v>11</v>
      </c>
      <c r="B11" t="s">
        <v>86</v>
      </c>
      <c r="C11" t="s">
        <v>75</v>
      </c>
      <c r="D11" t="s">
        <v>703</v>
      </c>
      <c r="E11" s="12">
        <v>44993</v>
      </c>
      <c r="F11" t="s">
        <v>694</v>
      </c>
      <c r="G11">
        <v>25000</v>
      </c>
      <c r="H11">
        <v>21205.37</v>
      </c>
      <c r="I11">
        <v>20167.72</v>
      </c>
      <c r="J11">
        <v>80</v>
      </c>
      <c r="K11">
        <v>3794.63</v>
      </c>
      <c r="L11" t="s">
        <v>457</v>
      </c>
      <c r="M11">
        <v>4</v>
      </c>
      <c r="N11" t="s">
        <v>439</v>
      </c>
      <c r="O11" t="s">
        <v>969</v>
      </c>
    </row>
    <row r="12" spans="1:15" x14ac:dyDescent="0.25">
      <c r="A12" t="s">
        <v>11</v>
      </c>
      <c r="B12" t="s">
        <v>323</v>
      </c>
      <c r="C12" t="s">
        <v>324</v>
      </c>
      <c r="D12" t="s">
        <v>704</v>
      </c>
      <c r="E12" s="12">
        <v>45029</v>
      </c>
      <c r="F12" t="s">
        <v>702</v>
      </c>
      <c r="G12">
        <v>0</v>
      </c>
      <c r="H12">
        <v>0</v>
      </c>
      <c r="I12">
        <v>0</v>
      </c>
      <c r="J12">
        <v>0</v>
      </c>
      <c r="K12">
        <v>0</v>
      </c>
      <c r="L12" t="s">
        <v>458</v>
      </c>
      <c r="M12">
        <v>-1</v>
      </c>
      <c r="N12" t="s">
        <v>439</v>
      </c>
      <c r="O12" t="s">
        <v>440</v>
      </c>
    </row>
    <row r="13" spans="1:15" x14ac:dyDescent="0.25">
      <c r="A13" t="s">
        <v>11</v>
      </c>
      <c r="B13" t="s">
        <v>338</v>
      </c>
      <c r="C13" t="s">
        <v>339</v>
      </c>
      <c r="D13" t="s">
        <v>705</v>
      </c>
      <c r="E13" s="12">
        <v>45046</v>
      </c>
      <c r="F13" t="s">
        <v>702</v>
      </c>
      <c r="G13">
        <v>0</v>
      </c>
      <c r="H13">
        <v>0</v>
      </c>
      <c r="I13">
        <v>0</v>
      </c>
      <c r="J13">
        <v>0</v>
      </c>
      <c r="K13">
        <v>0</v>
      </c>
      <c r="L13" t="s">
        <v>459</v>
      </c>
      <c r="M13">
        <v>-1</v>
      </c>
      <c r="N13" t="s">
        <v>439</v>
      </c>
      <c r="O13" t="s">
        <v>440</v>
      </c>
    </row>
    <row r="14" spans="1:15" x14ac:dyDescent="0.25">
      <c r="A14" t="s">
        <v>11</v>
      </c>
      <c r="B14" t="s">
        <v>343</v>
      </c>
      <c r="C14" t="s">
        <v>460</v>
      </c>
      <c r="D14" t="s">
        <v>706</v>
      </c>
      <c r="E14" s="12">
        <v>45047</v>
      </c>
      <c r="F14" t="s">
        <v>702</v>
      </c>
      <c r="G14">
        <v>0</v>
      </c>
      <c r="H14">
        <v>2.16</v>
      </c>
      <c r="I14">
        <v>0</v>
      </c>
      <c r="J14">
        <v>0</v>
      </c>
      <c r="K14">
        <v>0</v>
      </c>
      <c r="L14" t="s">
        <v>461</v>
      </c>
      <c r="M14">
        <v>-1</v>
      </c>
      <c r="N14" t="s">
        <v>439</v>
      </c>
      <c r="O14" t="s">
        <v>440</v>
      </c>
    </row>
    <row r="15" spans="1:15" x14ac:dyDescent="0.25">
      <c r="A15" t="s">
        <v>11</v>
      </c>
      <c r="B15" t="s">
        <v>362</v>
      </c>
      <c r="C15" t="s">
        <v>462</v>
      </c>
      <c r="D15" t="s">
        <v>707</v>
      </c>
      <c r="E15" s="12">
        <v>45052</v>
      </c>
      <c r="F15" t="s">
        <v>694</v>
      </c>
      <c r="G15">
        <v>95000</v>
      </c>
      <c r="H15">
        <v>49384.44</v>
      </c>
      <c r="I15">
        <v>13761.19</v>
      </c>
      <c r="J15">
        <v>74</v>
      </c>
      <c r="K15">
        <v>45615.56</v>
      </c>
      <c r="M15">
        <v>4</v>
      </c>
      <c r="N15" t="s">
        <v>439</v>
      </c>
      <c r="O15" t="s">
        <v>970</v>
      </c>
    </row>
    <row r="16" spans="1:15" x14ac:dyDescent="0.25">
      <c r="A16" t="s">
        <v>11</v>
      </c>
      <c r="B16" t="s">
        <v>356</v>
      </c>
      <c r="C16" t="s">
        <v>411</v>
      </c>
      <c r="D16" t="s">
        <v>708</v>
      </c>
      <c r="E16" s="12">
        <v>45054</v>
      </c>
      <c r="F16" t="s">
        <v>694</v>
      </c>
      <c r="G16">
        <v>50000</v>
      </c>
      <c r="H16">
        <v>37689.26</v>
      </c>
      <c r="I16">
        <v>6325.26</v>
      </c>
      <c r="J16">
        <v>63</v>
      </c>
      <c r="K16">
        <v>12310.74</v>
      </c>
      <c r="M16">
        <v>4</v>
      </c>
      <c r="N16" t="s">
        <v>439</v>
      </c>
      <c r="O16" t="s">
        <v>971</v>
      </c>
    </row>
    <row r="17" spans="1:15" x14ac:dyDescent="0.25">
      <c r="A17" t="s">
        <v>11</v>
      </c>
      <c r="B17" t="s">
        <v>357</v>
      </c>
      <c r="C17" t="s">
        <v>359</v>
      </c>
      <c r="D17" t="s">
        <v>709</v>
      </c>
      <c r="E17" s="12">
        <v>45054</v>
      </c>
      <c r="F17" t="s">
        <v>694</v>
      </c>
      <c r="G17">
        <v>40000</v>
      </c>
      <c r="H17">
        <v>36647.050000000003</v>
      </c>
      <c r="I17">
        <v>1243.01</v>
      </c>
      <c r="J17">
        <v>82</v>
      </c>
      <c r="K17">
        <v>3352.95</v>
      </c>
      <c r="M17">
        <v>4</v>
      </c>
      <c r="N17" t="s">
        <v>439</v>
      </c>
      <c r="O17" t="s">
        <v>972</v>
      </c>
    </row>
    <row r="18" spans="1:15" x14ac:dyDescent="0.25">
      <c r="A18" t="s">
        <v>11</v>
      </c>
      <c r="B18" t="s">
        <v>417</v>
      </c>
      <c r="C18" t="s">
        <v>930</v>
      </c>
      <c r="E18" s="12">
        <v>45068</v>
      </c>
      <c r="F18" t="s">
        <v>694</v>
      </c>
      <c r="G18">
        <v>25000</v>
      </c>
      <c r="H18">
        <v>0</v>
      </c>
      <c r="I18">
        <v>0</v>
      </c>
      <c r="J18">
        <v>0</v>
      </c>
      <c r="K18">
        <v>25000</v>
      </c>
      <c r="M18">
        <v>4</v>
      </c>
      <c r="N18" t="s">
        <v>439</v>
      </c>
      <c r="O18" t="s">
        <v>440</v>
      </c>
    </row>
    <row r="19" spans="1:15" x14ac:dyDescent="0.25">
      <c r="A19" t="s">
        <v>11</v>
      </c>
      <c r="B19" t="s">
        <v>463</v>
      </c>
      <c r="C19" t="s">
        <v>464</v>
      </c>
      <c r="D19" t="s">
        <v>931</v>
      </c>
      <c r="E19" s="12">
        <v>44871</v>
      </c>
      <c r="F19" t="s">
        <v>694</v>
      </c>
      <c r="G19">
        <v>0</v>
      </c>
      <c r="H19">
        <v>3109.64</v>
      </c>
      <c r="I19">
        <v>3109.64</v>
      </c>
      <c r="J19">
        <v>264</v>
      </c>
      <c r="K19">
        <v>-3109.64</v>
      </c>
      <c r="L19" t="s">
        <v>465</v>
      </c>
      <c r="M19">
        <v>4</v>
      </c>
      <c r="N19" t="s">
        <v>446</v>
      </c>
      <c r="O19" t="s">
        <v>466</v>
      </c>
    </row>
    <row r="20" spans="1:15" x14ac:dyDescent="0.25">
      <c r="A20" t="s">
        <v>467</v>
      </c>
      <c r="B20" t="s">
        <v>327</v>
      </c>
      <c r="C20" t="s">
        <v>328</v>
      </c>
      <c r="D20" t="s">
        <v>710</v>
      </c>
      <c r="E20" s="12">
        <v>45015</v>
      </c>
      <c r="F20" t="s">
        <v>702</v>
      </c>
      <c r="G20">
        <v>0</v>
      </c>
      <c r="H20">
        <v>0</v>
      </c>
      <c r="I20">
        <v>0</v>
      </c>
      <c r="J20">
        <v>0</v>
      </c>
      <c r="K20">
        <v>0</v>
      </c>
      <c r="L20" t="s">
        <v>468</v>
      </c>
      <c r="M20">
        <v>-1</v>
      </c>
      <c r="N20" t="s">
        <v>439</v>
      </c>
      <c r="O20" t="s">
        <v>440</v>
      </c>
    </row>
    <row r="21" spans="1:15" x14ac:dyDescent="0.25">
      <c r="A21" t="s">
        <v>467</v>
      </c>
      <c r="B21" t="s">
        <v>469</v>
      </c>
      <c r="C21" t="s">
        <v>470</v>
      </c>
      <c r="E21" s="12">
        <v>44871</v>
      </c>
      <c r="F21" t="s">
        <v>694</v>
      </c>
      <c r="G21">
        <v>0</v>
      </c>
      <c r="H21">
        <v>1551.4</v>
      </c>
      <c r="I21">
        <v>1551.4</v>
      </c>
      <c r="J21">
        <v>264</v>
      </c>
      <c r="K21">
        <v>-1551.4</v>
      </c>
      <c r="L21" t="s">
        <v>471</v>
      </c>
      <c r="M21">
        <v>4</v>
      </c>
      <c r="N21" t="s">
        <v>446</v>
      </c>
      <c r="O21" t="s">
        <v>472</v>
      </c>
    </row>
    <row r="22" spans="1:15" x14ac:dyDescent="0.25">
      <c r="A22" t="s">
        <v>4</v>
      </c>
      <c r="B22" t="s">
        <v>15</v>
      </c>
      <c r="C22" t="s">
        <v>16</v>
      </c>
      <c r="D22" t="s">
        <v>711</v>
      </c>
      <c r="E22" s="12">
        <v>44875</v>
      </c>
      <c r="F22" t="s">
        <v>694</v>
      </c>
      <c r="G22">
        <v>0</v>
      </c>
      <c r="H22">
        <v>0</v>
      </c>
      <c r="I22">
        <v>0</v>
      </c>
      <c r="J22">
        <v>0</v>
      </c>
      <c r="K22">
        <v>0</v>
      </c>
      <c r="L22" t="s">
        <v>473</v>
      </c>
      <c r="M22">
        <v>4</v>
      </c>
      <c r="N22" t="s">
        <v>439</v>
      </c>
      <c r="O22" t="s">
        <v>440</v>
      </c>
    </row>
    <row r="23" spans="1:15" x14ac:dyDescent="0.25">
      <c r="A23" t="s">
        <v>4</v>
      </c>
      <c r="B23" t="s">
        <v>17</v>
      </c>
      <c r="C23" t="s">
        <v>18</v>
      </c>
      <c r="D23" t="s">
        <v>712</v>
      </c>
      <c r="E23" s="12">
        <v>44875</v>
      </c>
      <c r="F23" t="s">
        <v>694</v>
      </c>
      <c r="G23">
        <v>0</v>
      </c>
      <c r="H23">
        <v>0</v>
      </c>
      <c r="I23">
        <v>0</v>
      </c>
      <c r="J23">
        <v>0</v>
      </c>
      <c r="K23">
        <v>0</v>
      </c>
      <c r="L23" t="s">
        <v>473</v>
      </c>
      <c r="M23">
        <v>4</v>
      </c>
      <c r="N23" t="s">
        <v>439</v>
      </c>
      <c r="O23" t="s">
        <v>440</v>
      </c>
    </row>
    <row r="24" spans="1:15" x14ac:dyDescent="0.25">
      <c r="A24" t="s">
        <v>4</v>
      </c>
      <c r="B24" t="s">
        <v>313</v>
      </c>
      <c r="C24" t="s">
        <v>474</v>
      </c>
      <c r="D24" t="s">
        <v>713</v>
      </c>
      <c r="E24" s="12">
        <v>45015</v>
      </c>
      <c r="F24" t="s">
        <v>694</v>
      </c>
      <c r="G24">
        <v>50000</v>
      </c>
      <c r="H24">
        <v>0</v>
      </c>
      <c r="I24">
        <v>0</v>
      </c>
      <c r="J24">
        <v>0</v>
      </c>
      <c r="K24">
        <v>50000</v>
      </c>
      <c r="L24" t="s">
        <v>475</v>
      </c>
      <c r="M24">
        <v>4</v>
      </c>
      <c r="N24" t="s">
        <v>439</v>
      </c>
      <c r="O24" t="s">
        <v>440</v>
      </c>
    </row>
    <row r="25" spans="1:15" x14ac:dyDescent="0.25">
      <c r="A25" t="s">
        <v>476</v>
      </c>
      <c r="B25" t="s">
        <v>477</v>
      </c>
      <c r="C25" t="s">
        <v>478</v>
      </c>
      <c r="D25" t="s">
        <v>714</v>
      </c>
      <c r="E25" s="12">
        <v>45012</v>
      </c>
      <c r="F25" t="s">
        <v>702</v>
      </c>
      <c r="G25">
        <v>0</v>
      </c>
      <c r="H25">
        <v>0</v>
      </c>
      <c r="I25">
        <v>0</v>
      </c>
      <c r="J25">
        <v>0</v>
      </c>
      <c r="K25">
        <v>0</v>
      </c>
      <c r="L25" t="s">
        <v>479</v>
      </c>
      <c r="M25">
        <v>-1</v>
      </c>
      <c r="N25" t="s">
        <v>439</v>
      </c>
      <c r="O25" t="s">
        <v>440</v>
      </c>
    </row>
    <row r="26" spans="1:15" x14ac:dyDescent="0.25">
      <c r="A26" t="s">
        <v>5</v>
      </c>
      <c r="B26" t="s">
        <v>480</v>
      </c>
      <c r="C26" t="s">
        <v>481</v>
      </c>
      <c r="E26" s="12">
        <v>44871</v>
      </c>
      <c r="F26" t="s">
        <v>694</v>
      </c>
      <c r="G26">
        <v>0</v>
      </c>
      <c r="H26">
        <v>660.89</v>
      </c>
      <c r="I26">
        <v>660.89</v>
      </c>
      <c r="J26">
        <v>264</v>
      </c>
      <c r="K26">
        <v>-660.89</v>
      </c>
      <c r="L26" t="s">
        <v>482</v>
      </c>
      <c r="M26">
        <v>4</v>
      </c>
      <c r="N26" t="s">
        <v>446</v>
      </c>
      <c r="O26" t="s">
        <v>483</v>
      </c>
    </row>
    <row r="27" spans="1:15" x14ac:dyDescent="0.25">
      <c r="A27" t="s">
        <v>7</v>
      </c>
      <c r="B27" t="s">
        <v>87</v>
      </c>
      <c r="C27" t="s">
        <v>88</v>
      </c>
      <c r="D27" t="s">
        <v>715</v>
      </c>
      <c r="E27" s="12">
        <v>44569</v>
      </c>
      <c r="F27" t="s">
        <v>694</v>
      </c>
      <c r="G27">
        <v>160000</v>
      </c>
      <c r="H27">
        <v>3335.04</v>
      </c>
      <c r="I27">
        <v>3335.04</v>
      </c>
      <c r="J27">
        <v>225</v>
      </c>
      <c r="K27">
        <v>156664.95999999999</v>
      </c>
      <c r="L27" t="s">
        <v>484</v>
      </c>
      <c r="M27">
        <v>4</v>
      </c>
      <c r="N27" t="s">
        <v>439</v>
      </c>
      <c r="O27" t="s">
        <v>485</v>
      </c>
    </row>
    <row r="28" spans="1:15" x14ac:dyDescent="0.25">
      <c r="A28" t="s">
        <v>7</v>
      </c>
      <c r="B28" t="s">
        <v>90</v>
      </c>
      <c r="C28" t="s">
        <v>91</v>
      </c>
      <c r="D28" t="s">
        <v>716</v>
      </c>
      <c r="E28" s="12">
        <v>44580</v>
      </c>
      <c r="F28" t="s">
        <v>694</v>
      </c>
      <c r="G28">
        <v>150000</v>
      </c>
      <c r="H28">
        <v>-14192.82</v>
      </c>
      <c r="I28">
        <v>-2737.91</v>
      </c>
      <c r="J28">
        <v>122</v>
      </c>
      <c r="K28">
        <v>150000</v>
      </c>
      <c r="L28" t="s">
        <v>486</v>
      </c>
      <c r="M28">
        <v>4</v>
      </c>
      <c r="N28" t="s">
        <v>439</v>
      </c>
      <c r="O28" t="s">
        <v>440</v>
      </c>
    </row>
    <row r="29" spans="1:15" x14ac:dyDescent="0.25">
      <c r="A29" t="s">
        <v>7</v>
      </c>
      <c r="B29" t="s">
        <v>93</v>
      </c>
      <c r="C29" t="s">
        <v>94</v>
      </c>
      <c r="D29" t="s">
        <v>717</v>
      </c>
      <c r="E29" s="12">
        <v>44591</v>
      </c>
      <c r="F29" t="s">
        <v>694</v>
      </c>
      <c r="G29">
        <v>50000</v>
      </c>
      <c r="H29">
        <v>0</v>
      </c>
      <c r="I29">
        <v>0</v>
      </c>
      <c r="J29">
        <v>0</v>
      </c>
      <c r="K29">
        <v>50000</v>
      </c>
      <c r="L29" t="s">
        <v>487</v>
      </c>
      <c r="M29">
        <v>4</v>
      </c>
      <c r="N29" t="s">
        <v>439</v>
      </c>
      <c r="O29" t="s">
        <v>440</v>
      </c>
    </row>
    <row r="30" spans="1:15" x14ac:dyDescent="0.25">
      <c r="A30" t="s">
        <v>7</v>
      </c>
      <c r="B30" t="s">
        <v>95</v>
      </c>
      <c r="C30" t="s">
        <v>488</v>
      </c>
      <c r="D30" t="s">
        <v>718</v>
      </c>
      <c r="E30" s="12">
        <v>44595</v>
      </c>
      <c r="F30" t="s">
        <v>694</v>
      </c>
      <c r="G30">
        <v>15000</v>
      </c>
      <c r="H30">
        <v>1129.9000000000001</v>
      </c>
      <c r="I30">
        <v>0</v>
      </c>
      <c r="J30">
        <v>0</v>
      </c>
      <c r="K30">
        <v>15000</v>
      </c>
      <c r="L30" t="s">
        <v>489</v>
      </c>
      <c r="M30">
        <v>4</v>
      </c>
      <c r="N30" t="s">
        <v>439</v>
      </c>
      <c r="O30" t="s">
        <v>440</v>
      </c>
    </row>
    <row r="31" spans="1:15" x14ac:dyDescent="0.25">
      <c r="A31" t="s">
        <v>7</v>
      </c>
      <c r="B31" t="s">
        <v>96</v>
      </c>
      <c r="C31" t="s">
        <v>97</v>
      </c>
      <c r="D31" t="s">
        <v>719</v>
      </c>
      <c r="E31" s="12">
        <v>44612</v>
      </c>
      <c r="F31" t="s">
        <v>694</v>
      </c>
      <c r="G31">
        <v>35000</v>
      </c>
      <c r="H31">
        <v>0</v>
      </c>
      <c r="I31">
        <v>0</v>
      </c>
      <c r="J31">
        <v>0</v>
      </c>
      <c r="K31">
        <v>35000</v>
      </c>
      <c r="L31" t="s">
        <v>490</v>
      </c>
      <c r="M31">
        <v>4</v>
      </c>
      <c r="N31" t="s">
        <v>439</v>
      </c>
      <c r="O31" t="s">
        <v>440</v>
      </c>
    </row>
    <row r="32" spans="1:15" x14ac:dyDescent="0.25">
      <c r="A32" t="s">
        <v>7</v>
      </c>
      <c r="B32" t="s">
        <v>98</v>
      </c>
      <c r="C32" t="s">
        <v>99</v>
      </c>
      <c r="D32" t="s">
        <v>720</v>
      </c>
      <c r="E32" s="12">
        <v>44612</v>
      </c>
      <c r="F32" t="s">
        <v>694</v>
      </c>
      <c r="G32">
        <v>35000</v>
      </c>
      <c r="H32">
        <v>18161.55</v>
      </c>
      <c r="I32">
        <v>0</v>
      </c>
      <c r="J32">
        <v>0</v>
      </c>
      <c r="K32">
        <v>35000</v>
      </c>
      <c r="L32" t="s">
        <v>490</v>
      </c>
      <c r="M32">
        <v>4</v>
      </c>
      <c r="N32" t="s">
        <v>439</v>
      </c>
      <c r="O32" t="s">
        <v>440</v>
      </c>
    </row>
    <row r="33" spans="1:15" x14ac:dyDescent="0.25">
      <c r="A33" t="s">
        <v>5</v>
      </c>
      <c r="B33" t="s">
        <v>100</v>
      </c>
      <c r="C33" t="s">
        <v>101</v>
      </c>
      <c r="D33" t="s">
        <v>721</v>
      </c>
      <c r="E33" s="12">
        <v>44612</v>
      </c>
      <c r="F33" t="s">
        <v>694</v>
      </c>
      <c r="G33">
        <v>100000</v>
      </c>
      <c r="H33">
        <v>29701.88</v>
      </c>
      <c r="I33">
        <v>29701.88</v>
      </c>
      <c r="J33">
        <v>138</v>
      </c>
      <c r="K33">
        <v>70298.12</v>
      </c>
      <c r="L33" t="s">
        <v>491</v>
      </c>
      <c r="M33">
        <v>4</v>
      </c>
      <c r="N33" t="s">
        <v>439</v>
      </c>
      <c r="O33" t="s">
        <v>932</v>
      </c>
    </row>
    <row r="34" spans="1:15" x14ac:dyDescent="0.25">
      <c r="A34" t="s">
        <v>7</v>
      </c>
      <c r="B34" t="s">
        <v>102</v>
      </c>
      <c r="C34" t="s">
        <v>103</v>
      </c>
      <c r="D34" t="s">
        <v>720</v>
      </c>
      <c r="E34" s="12">
        <v>44613</v>
      </c>
      <c r="F34" t="s">
        <v>694</v>
      </c>
      <c r="G34">
        <v>35000</v>
      </c>
      <c r="H34">
        <v>27466.720000000001</v>
      </c>
      <c r="I34">
        <v>22107.34</v>
      </c>
      <c r="J34">
        <v>85</v>
      </c>
      <c r="K34">
        <v>7533.28</v>
      </c>
      <c r="L34" t="s">
        <v>492</v>
      </c>
      <c r="M34">
        <v>4</v>
      </c>
      <c r="N34" t="s">
        <v>439</v>
      </c>
      <c r="O34" t="s">
        <v>973</v>
      </c>
    </row>
    <row r="35" spans="1:15" x14ac:dyDescent="0.25">
      <c r="A35" t="s">
        <v>5</v>
      </c>
      <c r="B35" t="s">
        <v>104</v>
      </c>
      <c r="C35" t="s">
        <v>105</v>
      </c>
      <c r="D35" t="s">
        <v>721</v>
      </c>
      <c r="E35" s="12">
        <v>44613</v>
      </c>
      <c r="F35" t="s">
        <v>694</v>
      </c>
      <c r="G35">
        <v>35000</v>
      </c>
      <c r="H35">
        <v>0.85</v>
      </c>
      <c r="I35">
        <v>0.85</v>
      </c>
      <c r="J35">
        <v>139</v>
      </c>
      <c r="K35">
        <v>34999.15</v>
      </c>
      <c r="L35" t="s">
        <v>493</v>
      </c>
      <c r="M35">
        <v>4</v>
      </c>
      <c r="N35" t="s">
        <v>439</v>
      </c>
      <c r="O35" t="s">
        <v>895</v>
      </c>
    </row>
    <row r="36" spans="1:15" x14ac:dyDescent="0.25">
      <c r="A36" t="s">
        <v>5</v>
      </c>
      <c r="B36" t="s">
        <v>106</v>
      </c>
      <c r="C36" t="s">
        <v>107</v>
      </c>
      <c r="D36" t="s">
        <v>722</v>
      </c>
      <c r="E36" s="12">
        <v>44616</v>
      </c>
      <c r="F36" t="s">
        <v>694</v>
      </c>
      <c r="G36">
        <v>35000</v>
      </c>
      <c r="H36">
        <v>-1040.3</v>
      </c>
      <c r="I36">
        <v>-1040.3</v>
      </c>
      <c r="J36">
        <v>286</v>
      </c>
      <c r="K36">
        <v>35000</v>
      </c>
      <c r="L36" t="s">
        <v>494</v>
      </c>
      <c r="M36">
        <v>4</v>
      </c>
      <c r="N36" t="s">
        <v>439</v>
      </c>
      <c r="O36" t="s">
        <v>440</v>
      </c>
    </row>
    <row r="37" spans="1:15" x14ac:dyDescent="0.25">
      <c r="A37" t="s">
        <v>5</v>
      </c>
      <c r="B37" t="s">
        <v>108</v>
      </c>
      <c r="C37" t="s">
        <v>109</v>
      </c>
      <c r="D37" t="s">
        <v>722</v>
      </c>
      <c r="E37" s="12">
        <v>44616</v>
      </c>
      <c r="F37" t="s">
        <v>694</v>
      </c>
      <c r="G37">
        <v>35000</v>
      </c>
      <c r="H37">
        <v>17833.27</v>
      </c>
      <c r="I37">
        <v>17833.27</v>
      </c>
      <c r="J37">
        <v>167</v>
      </c>
      <c r="K37">
        <v>17166.73</v>
      </c>
      <c r="L37" t="s">
        <v>494</v>
      </c>
      <c r="M37">
        <v>4</v>
      </c>
      <c r="N37" t="s">
        <v>439</v>
      </c>
      <c r="O37" t="s">
        <v>495</v>
      </c>
    </row>
    <row r="38" spans="1:15" x14ac:dyDescent="0.25">
      <c r="A38" t="s">
        <v>7</v>
      </c>
      <c r="B38" t="s">
        <v>110</v>
      </c>
      <c r="C38" t="s">
        <v>111</v>
      </c>
      <c r="D38" t="s">
        <v>722</v>
      </c>
      <c r="E38" s="12">
        <v>44616</v>
      </c>
      <c r="F38" t="s">
        <v>694</v>
      </c>
      <c r="G38">
        <v>35000</v>
      </c>
      <c r="H38">
        <v>0</v>
      </c>
      <c r="I38">
        <v>0</v>
      </c>
      <c r="J38">
        <v>0</v>
      </c>
      <c r="K38">
        <v>35000</v>
      </c>
      <c r="L38" t="s">
        <v>496</v>
      </c>
      <c r="M38">
        <v>4</v>
      </c>
      <c r="N38" t="s">
        <v>439</v>
      </c>
      <c r="O38" t="s">
        <v>440</v>
      </c>
    </row>
    <row r="39" spans="1:15" x14ac:dyDescent="0.25">
      <c r="A39" t="s">
        <v>7</v>
      </c>
      <c r="B39" t="s">
        <v>112</v>
      </c>
      <c r="C39" t="s">
        <v>113</v>
      </c>
      <c r="D39" t="s">
        <v>722</v>
      </c>
      <c r="E39" s="12">
        <v>44616</v>
      </c>
      <c r="F39" t="s">
        <v>694</v>
      </c>
      <c r="G39">
        <v>35000</v>
      </c>
      <c r="H39">
        <v>0</v>
      </c>
      <c r="I39">
        <v>0</v>
      </c>
      <c r="J39">
        <v>0</v>
      </c>
      <c r="K39">
        <v>35000</v>
      </c>
      <c r="L39" t="s">
        <v>496</v>
      </c>
      <c r="M39">
        <v>4</v>
      </c>
      <c r="N39" t="s">
        <v>439</v>
      </c>
      <c r="O39" t="s">
        <v>440</v>
      </c>
    </row>
    <row r="40" spans="1:15" x14ac:dyDescent="0.25">
      <c r="A40" t="s">
        <v>7</v>
      </c>
      <c r="B40" t="s">
        <v>114</v>
      </c>
      <c r="C40" t="s">
        <v>115</v>
      </c>
      <c r="D40" t="s">
        <v>720</v>
      </c>
      <c r="E40" s="12">
        <v>44620</v>
      </c>
      <c r="F40" t="s">
        <v>694</v>
      </c>
      <c r="G40">
        <v>35000</v>
      </c>
      <c r="H40">
        <v>196.61</v>
      </c>
      <c r="I40">
        <v>196.61</v>
      </c>
      <c r="J40">
        <v>347</v>
      </c>
      <c r="K40">
        <v>34803.39</v>
      </c>
      <c r="L40" t="s">
        <v>497</v>
      </c>
      <c r="M40">
        <v>4</v>
      </c>
      <c r="N40" t="s">
        <v>439</v>
      </c>
      <c r="O40" t="s">
        <v>498</v>
      </c>
    </row>
    <row r="41" spans="1:15" x14ac:dyDescent="0.25">
      <c r="A41" t="s">
        <v>5</v>
      </c>
      <c r="B41" t="s">
        <v>116</v>
      </c>
      <c r="C41" t="s">
        <v>117</v>
      </c>
      <c r="D41" t="s">
        <v>721</v>
      </c>
      <c r="E41" s="12">
        <v>44625</v>
      </c>
      <c r="F41" t="s">
        <v>694</v>
      </c>
      <c r="G41">
        <v>35000</v>
      </c>
      <c r="H41">
        <v>0.46</v>
      </c>
      <c r="I41">
        <v>0</v>
      </c>
      <c r="J41">
        <v>0</v>
      </c>
      <c r="K41">
        <v>35000</v>
      </c>
      <c r="L41" t="s">
        <v>499</v>
      </c>
      <c r="M41">
        <v>4</v>
      </c>
      <c r="N41" t="s">
        <v>439</v>
      </c>
      <c r="O41" t="s">
        <v>440</v>
      </c>
    </row>
    <row r="42" spans="1:15" x14ac:dyDescent="0.25">
      <c r="A42" t="s">
        <v>7</v>
      </c>
      <c r="B42" t="s">
        <v>118</v>
      </c>
      <c r="C42" t="s">
        <v>119</v>
      </c>
      <c r="D42" t="s">
        <v>723</v>
      </c>
      <c r="E42" s="12">
        <v>44626</v>
      </c>
      <c r="F42" t="s">
        <v>694</v>
      </c>
      <c r="G42">
        <v>30000</v>
      </c>
      <c r="H42">
        <v>6420.55</v>
      </c>
      <c r="I42">
        <v>3836.49</v>
      </c>
      <c r="J42">
        <v>172</v>
      </c>
      <c r="K42">
        <v>23579.45</v>
      </c>
      <c r="L42" t="s">
        <v>500</v>
      </c>
      <c r="M42">
        <v>4</v>
      </c>
      <c r="N42" t="s">
        <v>439</v>
      </c>
      <c r="O42" t="s">
        <v>933</v>
      </c>
    </row>
    <row r="43" spans="1:15" x14ac:dyDescent="0.25">
      <c r="A43" t="s">
        <v>5</v>
      </c>
      <c r="B43" t="s">
        <v>120</v>
      </c>
      <c r="C43" t="s">
        <v>9</v>
      </c>
      <c r="D43" t="s">
        <v>724</v>
      </c>
      <c r="E43" s="12">
        <v>44626</v>
      </c>
      <c r="F43" t="s">
        <v>694</v>
      </c>
      <c r="G43">
        <v>250000</v>
      </c>
      <c r="H43">
        <v>0.63</v>
      </c>
      <c r="I43">
        <v>0.63</v>
      </c>
      <c r="J43">
        <v>428</v>
      </c>
      <c r="K43">
        <v>249999.37</v>
      </c>
      <c r="L43" t="s">
        <v>501</v>
      </c>
      <c r="M43">
        <v>4</v>
      </c>
      <c r="N43" t="s">
        <v>439</v>
      </c>
      <c r="O43" t="s">
        <v>502</v>
      </c>
    </row>
    <row r="44" spans="1:15" x14ac:dyDescent="0.25">
      <c r="A44" t="s">
        <v>7</v>
      </c>
      <c r="B44" t="s">
        <v>68</v>
      </c>
      <c r="C44" t="s">
        <v>76</v>
      </c>
      <c r="D44" t="s">
        <v>720</v>
      </c>
      <c r="E44" s="12">
        <v>44628</v>
      </c>
      <c r="F44" t="s">
        <v>694</v>
      </c>
      <c r="G44">
        <v>25000</v>
      </c>
      <c r="H44">
        <v>11305.14</v>
      </c>
      <c r="I44">
        <v>11305.14</v>
      </c>
      <c r="J44">
        <v>127</v>
      </c>
      <c r="K44">
        <v>13694.86</v>
      </c>
      <c r="L44" t="s">
        <v>503</v>
      </c>
      <c r="M44">
        <v>4</v>
      </c>
      <c r="N44" t="s">
        <v>439</v>
      </c>
      <c r="O44" t="s">
        <v>934</v>
      </c>
    </row>
    <row r="45" spans="1:15" x14ac:dyDescent="0.25">
      <c r="A45" t="s">
        <v>5</v>
      </c>
      <c r="B45" t="s">
        <v>121</v>
      </c>
      <c r="C45" t="s">
        <v>122</v>
      </c>
      <c r="D45" t="s">
        <v>725</v>
      </c>
      <c r="E45" s="12">
        <v>44633</v>
      </c>
      <c r="F45" t="s">
        <v>694</v>
      </c>
      <c r="G45">
        <v>35000</v>
      </c>
      <c r="H45">
        <v>4925.1000000000004</v>
      </c>
      <c r="I45">
        <v>3340.86</v>
      </c>
      <c r="J45">
        <v>87</v>
      </c>
      <c r="K45">
        <v>30074.9</v>
      </c>
      <c r="L45" t="s">
        <v>504</v>
      </c>
      <c r="M45">
        <v>4</v>
      </c>
      <c r="N45" t="s">
        <v>439</v>
      </c>
      <c r="O45" t="s">
        <v>974</v>
      </c>
    </row>
    <row r="46" spans="1:15" x14ac:dyDescent="0.25">
      <c r="A46" t="s">
        <v>7</v>
      </c>
      <c r="B46" t="s">
        <v>123</v>
      </c>
      <c r="C46" t="s">
        <v>124</v>
      </c>
      <c r="D46" t="s">
        <v>726</v>
      </c>
      <c r="E46" s="12">
        <v>44636</v>
      </c>
      <c r="F46" t="s">
        <v>694</v>
      </c>
      <c r="G46">
        <v>100000</v>
      </c>
      <c r="H46">
        <v>4448.68</v>
      </c>
      <c r="I46">
        <v>4448.68</v>
      </c>
      <c r="J46">
        <v>245</v>
      </c>
      <c r="K46">
        <v>95551.32</v>
      </c>
      <c r="L46" t="s">
        <v>505</v>
      </c>
      <c r="M46">
        <v>4</v>
      </c>
      <c r="N46" t="s">
        <v>439</v>
      </c>
      <c r="O46" t="s">
        <v>935</v>
      </c>
    </row>
    <row r="47" spans="1:15" x14ac:dyDescent="0.25">
      <c r="A47" t="s">
        <v>7</v>
      </c>
      <c r="B47" t="s">
        <v>125</v>
      </c>
      <c r="C47" t="s">
        <v>126</v>
      </c>
      <c r="D47" t="s">
        <v>716</v>
      </c>
      <c r="E47" s="12">
        <v>44636</v>
      </c>
      <c r="F47" t="s">
        <v>694</v>
      </c>
      <c r="G47">
        <v>75000</v>
      </c>
      <c r="H47">
        <v>29332.73</v>
      </c>
      <c r="I47">
        <v>29332.73</v>
      </c>
      <c r="J47">
        <v>131</v>
      </c>
      <c r="K47">
        <v>45667.27</v>
      </c>
      <c r="L47" t="s">
        <v>506</v>
      </c>
      <c r="M47">
        <v>4</v>
      </c>
      <c r="N47" t="s">
        <v>439</v>
      </c>
      <c r="O47" t="s">
        <v>975</v>
      </c>
    </row>
    <row r="48" spans="1:15" x14ac:dyDescent="0.25">
      <c r="A48" t="s">
        <v>7</v>
      </c>
      <c r="B48" t="s">
        <v>127</v>
      </c>
      <c r="C48" t="s">
        <v>128</v>
      </c>
      <c r="D48" t="s">
        <v>720</v>
      </c>
      <c r="E48" s="12">
        <v>44640</v>
      </c>
      <c r="F48" t="s">
        <v>694</v>
      </c>
      <c r="G48">
        <v>35000</v>
      </c>
      <c r="H48">
        <v>0</v>
      </c>
      <c r="I48">
        <v>0</v>
      </c>
      <c r="J48">
        <v>0</v>
      </c>
      <c r="K48">
        <v>35000</v>
      </c>
      <c r="L48" t="s">
        <v>507</v>
      </c>
      <c r="M48">
        <v>4</v>
      </c>
      <c r="N48" t="s">
        <v>439</v>
      </c>
      <c r="O48" t="s">
        <v>440</v>
      </c>
    </row>
    <row r="49" spans="1:15" x14ac:dyDescent="0.25">
      <c r="A49" t="s">
        <v>442</v>
      </c>
      <c r="B49" t="s">
        <v>129</v>
      </c>
      <c r="C49" t="s">
        <v>130</v>
      </c>
      <c r="D49" t="s">
        <v>727</v>
      </c>
      <c r="E49" s="12">
        <v>44642</v>
      </c>
      <c r="F49" t="s">
        <v>694</v>
      </c>
      <c r="G49">
        <v>100000</v>
      </c>
      <c r="H49">
        <v>67493.399999999994</v>
      </c>
      <c r="I49">
        <v>38217.160000000003</v>
      </c>
      <c r="J49">
        <v>140</v>
      </c>
      <c r="K49">
        <v>32506.6</v>
      </c>
      <c r="L49" t="s">
        <v>508</v>
      </c>
      <c r="M49">
        <v>4</v>
      </c>
      <c r="N49" t="s">
        <v>439</v>
      </c>
      <c r="O49" t="s">
        <v>976</v>
      </c>
    </row>
    <row r="50" spans="1:15" x14ac:dyDescent="0.25">
      <c r="A50" t="s">
        <v>5</v>
      </c>
      <c r="B50" t="s">
        <v>131</v>
      </c>
      <c r="C50" t="s">
        <v>132</v>
      </c>
      <c r="D50" t="s">
        <v>716</v>
      </c>
      <c r="E50" s="12">
        <v>44644</v>
      </c>
      <c r="F50" t="s">
        <v>694</v>
      </c>
      <c r="G50">
        <v>150000</v>
      </c>
      <c r="H50">
        <v>-2752.35</v>
      </c>
      <c r="I50">
        <v>-2752.35</v>
      </c>
      <c r="J50">
        <v>122</v>
      </c>
      <c r="K50">
        <v>150000</v>
      </c>
      <c r="L50" t="s">
        <v>509</v>
      </c>
      <c r="M50">
        <v>4</v>
      </c>
      <c r="N50" t="s">
        <v>439</v>
      </c>
      <c r="O50" t="s">
        <v>440</v>
      </c>
    </row>
    <row r="51" spans="1:15" x14ac:dyDescent="0.25">
      <c r="A51" t="s">
        <v>5</v>
      </c>
      <c r="B51" t="s">
        <v>133</v>
      </c>
      <c r="C51" t="s">
        <v>134</v>
      </c>
      <c r="D51" t="s">
        <v>716</v>
      </c>
      <c r="E51" s="12">
        <v>44647</v>
      </c>
      <c r="F51" t="s">
        <v>694</v>
      </c>
      <c r="G51">
        <v>150000</v>
      </c>
      <c r="H51">
        <v>-1383.49</v>
      </c>
      <c r="I51">
        <v>-1383.49</v>
      </c>
      <c r="J51">
        <v>286</v>
      </c>
      <c r="K51">
        <v>150000</v>
      </c>
      <c r="L51" t="s">
        <v>510</v>
      </c>
      <c r="M51">
        <v>4</v>
      </c>
      <c r="N51" t="s">
        <v>439</v>
      </c>
      <c r="O51" t="s">
        <v>440</v>
      </c>
    </row>
    <row r="52" spans="1:15" x14ac:dyDescent="0.25">
      <c r="A52" t="s">
        <v>7</v>
      </c>
      <c r="B52" t="s">
        <v>135</v>
      </c>
      <c r="C52" t="s">
        <v>136</v>
      </c>
      <c r="D52" t="s">
        <v>716</v>
      </c>
      <c r="E52" s="12">
        <v>44647</v>
      </c>
      <c r="F52" t="s">
        <v>694</v>
      </c>
      <c r="G52">
        <v>150000</v>
      </c>
      <c r="H52">
        <v>0</v>
      </c>
      <c r="I52">
        <v>0</v>
      </c>
      <c r="J52">
        <v>0</v>
      </c>
      <c r="K52">
        <v>150000</v>
      </c>
      <c r="L52" t="s">
        <v>511</v>
      </c>
      <c r="M52">
        <v>4</v>
      </c>
      <c r="N52" t="s">
        <v>439</v>
      </c>
      <c r="O52" t="s">
        <v>440</v>
      </c>
    </row>
    <row r="53" spans="1:15" x14ac:dyDescent="0.25">
      <c r="A53" t="s">
        <v>92</v>
      </c>
      <c r="B53" t="s">
        <v>512</v>
      </c>
      <c r="C53" t="s">
        <v>513</v>
      </c>
      <c r="E53" s="12">
        <v>44649</v>
      </c>
      <c r="F53" t="s">
        <v>694</v>
      </c>
      <c r="G53">
        <v>0</v>
      </c>
      <c r="H53">
        <v>5948.06</v>
      </c>
      <c r="I53">
        <v>5948.06</v>
      </c>
      <c r="J53">
        <v>414</v>
      </c>
      <c r="K53">
        <v>-5948.06</v>
      </c>
      <c r="L53" t="s">
        <v>514</v>
      </c>
      <c r="M53">
        <v>4</v>
      </c>
      <c r="N53" t="s">
        <v>446</v>
      </c>
      <c r="O53" t="s">
        <v>515</v>
      </c>
    </row>
    <row r="54" spans="1:15" x14ac:dyDescent="0.25">
      <c r="A54" t="s">
        <v>89</v>
      </c>
      <c r="B54" t="s">
        <v>516</v>
      </c>
      <c r="C54" t="s">
        <v>517</v>
      </c>
      <c r="E54" s="12">
        <v>44649</v>
      </c>
      <c r="F54" t="s">
        <v>694</v>
      </c>
      <c r="G54">
        <v>0</v>
      </c>
      <c r="H54">
        <v>5857.08</v>
      </c>
      <c r="I54">
        <v>5857.08</v>
      </c>
      <c r="J54">
        <v>414</v>
      </c>
      <c r="K54">
        <v>-5857.08</v>
      </c>
      <c r="L54" t="s">
        <v>518</v>
      </c>
      <c r="M54">
        <v>4</v>
      </c>
      <c r="N54" t="s">
        <v>446</v>
      </c>
      <c r="O54" t="s">
        <v>519</v>
      </c>
    </row>
    <row r="55" spans="1:15" x14ac:dyDescent="0.25">
      <c r="A55" t="s">
        <v>5</v>
      </c>
      <c r="B55" t="s">
        <v>137</v>
      </c>
      <c r="C55" t="s">
        <v>138</v>
      </c>
      <c r="D55" t="s">
        <v>721</v>
      </c>
      <c r="E55" s="12">
        <v>44650</v>
      </c>
      <c r="F55" t="s">
        <v>694</v>
      </c>
      <c r="G55">
        <v>35000</v>
      </c>
      <c r="H55">
        <v>0.77</v>
      </c>
      <c r="I55">
        <v>0.77</v>
      </c>
      <c r="J55">
        <v>141</v>
      </c>
      <c r="K55">
        <v>34999.230000000003</v>
      </c>
      <c r="L55" t="s">
        <v>520</v>
      </c>
      <c r="M55">
        <v>4</v>
      </c>
      <c r="N55" t="s">
        <v>439</v>
      </c>
      <c r="O55" t="s">
        <v>977</v>
      </c>
    </row>
    <row r="56" spans="1:15" x14ac:dyDescent="0.25">
      <c r="A56" t="s">
        <v>5</v>
      </c>
      <c r="B56" t="s">
        <v>139</v>
      </c>
      <c r="C56" t="s">
        <v>140</v>
      </c>
      <c r="D56" t="s">
        <v>721</v>
      </c>
      <c r="E56" s="12">
        <v>44651</v>
      </c>
      <c r="F56" t="s">
        <v>694</v>
      </c>
      <c r="G56">
        <v>35000</v>
      </c>
      <c r="H56">
        <v>0.85</v>
      </c>
      <c r="I56">
        <v>0.85</v>
      </c>
      <c r="J56">
        <v>141</v>
      </c>
      <c r="K56">
        <v>34999.15</v>
      </c>
      <c r="L56" t="s">
        <v>521</v>
      </c>
      <c r="M56">
        <v>4</v>
      </c>
      <c r="N56" t="s">
        <v>439</v>
      </c>
      <c r="O56" t="s">
        <v>895</v>
      </c>
    </row>
    <row r="57" spans="1:15" x14ac:dyDescent="0.25">
      <c r="A57" t="s">
        <v>7</v>
      </c>
      <c r="B57" t="s">
        <v>141</v>
      </c>
      <c r="C57" t="s">
        <v>522</v>
      </c>
      <c r="D57" t="s">
        <v>719</v>
      </c>
      <c r="E57" s="12">
        <v>44651</v>
      </c>
      <c r="F57" t="s">
        <v>702</v>
      </c>
      <c r="G57">
        <v>0</v>
      </c>
      <c r="H57">
        <v>0</v>
      </c>
      <c r="I57">
        <v>0</v>
      </c>
      <c r="J57">
        <v>0</v>
      </c>
      <c r="K57">
        <v>0</v>
      </c>
      <c r="L57" t="s">
        <v>523</v>
      </c>
      <c r="M57">
        <v>-1</v>
      </c>
      <c r="N57" t="s">
        <v>439</v>
      </c>
      <c r="O57" t="s">
        <v>440</v>
      </c>
    </row>
    <row r="58" spans="1:15" x14ac:dyDescent="0.25">
      <c r="A58" t="s">
        <v>7</v>
      </c>
      <c r="B58" t="s">
        <v>142</v>
      </c>
      <c r="C58" t="s">
        <v>143</v>
      </c>
      <c r="D58" t="s">
        <v>720</v>
      </c>
      <c r="E58" s="12">
        <v>44651</v>
      </c>
      <c r="F58" t="s">
        <v>694</v>
      </c>
      <c r="G58">
        <v>35000</v>
      </c>
      <c r="H58">
        <v>0</v>
      </c>
      <c r="I58">
        <v>0</v>
      </c>
      <c r="J58">
        <v>0</v>
      </c>
      <c r="K58">
        <v>35000</v>
      </c>
      <c r="L58" t="s">
        <v>523</v>
      </c>
      <c r="M58">
        <v>4</v>
      </c>
      <c r="N58" t="s">
        <v>439</v>
      </c>
      <c r="O58" t="s">
        <v>440</v>
      </c>
    </row>
    <row r="59" spans="1:15" x14ac:dyDescent="0.25">
      <c r="A59" t="s">
        <v>7</v>
      </c>
      <c r="B59" t="s">
        <v>144</v>
      </c>
      <c r="C59" t="s">
        <v>145</v>
      </c>
      <c r="D59" t="s">
        <v>728</v>
      </c>
      <c r="E59" s="12">
        <v>44651</v>
      </c>
      <c r="F59" t="s">
        <v>694</v>
      </c>
      <c r="G59">
        <v>100000</v>
      </c>
      <c r="H59">
        <v>0</v>
      </c>
      <c r="I59">
        <v>0</v>
      </c>
      <c r="J59">
        <v>0</v>
      </c>
      <c r="K59">
        <v>100000</v>
      </c>
      <c r="L59" t="s">
        <v>524</v>
      </c>
      <c r="M59">
        <v>4</v>
      </c>
      <c r="N59" t="s">
        <v>439</v>
      </c>
      <c r="O59" t="s">
        <v>440</v>
      </c>
    </row>
    <row r="60" spans="1:15" x14ac:dyDescent="0.25">
      <c r="A60" t="s">
        <v>7</v>
      </c>
      <c r="B60" t="s">
        <v>146</v>
      </c>
      <c r="C60" t="s">
        <v>8</v>
      </c>
      <c r="D60" t="s">
        <v>729</v>
      </c>
      <c r="E60" s="12">
        <v>44772</v>
      </c>
      <c r="F60" t="s">
        <v>694</v>
      </c>
      <c r="G60">
        <v>50000</v>
      </c>
      <c r="H60">
        <v>0</v>
      </c>
      <c r="I60">
        <v>0</v>
      </c>
      <c r="J60">
        <v>0</v>
      </c>
      <c r="K60">
        <v>50000</v>
      </c>
      <c r="L60" t="s">
        <v>525</v>
      </c>
      <c r="M60">
        <v>4</v>
      </c>
      <c r="N60" t="s">
        <v>439</v>
      </c>
      <c r="O60" t="s">
        <v>440</v>
      </c>
    </row>
    <row r="61" spans="1:15" x14ac:dyDescent="0.25">
      <c r="A61" t="s">
        <v>5</v>
      </c>
      <c r="B61" t="s">
        <v>147</v>
      </c>
      <c r="C61" t="s">
        <v>148</v>
      </c>
      <c r="D61" t="s">
        <v>730</v>
      </c>
      <c r="E61" s="12">
        <v>44717</v>
      </c>
      <c r="F61" t="s">
        <v>694</v>
      </c>
      <c r="G61">
        <v>250000</v>
      </c>
      <c r="H61">
        <v>15365.61</v>
      </c>
      <c r="I61">
        <v>15365.61</v>
      </c>
      <c r="J61">
        <v>130</v>
      </c>
      <c r="K61">
        <v>234634.39</v>
      </c>
      <c r="L61" t="s">
        <v>526</v>
      </c>
      <c r="M61">
        <v>4</v>
      </c>
      <c r="N61" t="s">
        <v>439</v>
      </c>
      <c r="O61" t="s">
        <v>936</v>
      </c>
    </row>
    <row r="62" spans="1:15" x14ac:dyDescent="0.25">
      <c r="A62" t="s">
        <v>5</v>
      </c>
      <c r="B62" t="s">
        <v>149</v>
      </c>
      <c r="C62" t="s">
        <v>150</v>
      </c>
      <c r="D62" t="s">
        <v>937</v>
      </c>
      <c r="E62" s="12">
        <v>44721</v>
      </c>
      <c r="F62" t="s">
        <v>694</v>
      </c>
      <c r="G62">
        <v>35000</v>
      </c>
      <c r="H62">
        <v>15401.34</v>
      </c>
      <c r="I62">
        <v>0</v>
      </c>
      <c r="J62">
        <v>0</v>
      </c>
      <c r="K62">
        <v>35000</v>
      </c>
      <c r="L62" t="s">
        <v>527</v>
      </c>
      <c r="M62">
        <v>4</v>
      </c>
      <c r="N62" t="s">
        <v>439</v>
      </c>
      <c r="O62" t="s">
        <v>440</v>
      </c>
    </row>
    <row r="63" spans="1:15" x14ac:dyDescent="0.25">
      <c r="A63" t="s">
        <v>528</v>
      </c>
      <c r="B63" t="s">
        <v>529</v>
      </c>
      <c r="C63" t="s">
        <v>530</v>
      </c>
      <c r="E63" s="12">
        <v>44703</v>
      </c>
      <c r="F63" t="s">
        <v>694</v>
      </c>
      <c r="G63">
        <v>0</v>
      </c>
      <c r="H63">
        <v>162.06</v>
      </c>
      <c r="I63">
        <v>162.06</v>
      </c>
      <c r="J63">
        <v>434</v>
      </c>
      <c r="K63">
        <v>-162.06</v>
      </c>
      <c r="L63" t="s">
        <v>531</v>
      </c>
      <c r="M63">
        <v>4</v>
      </c>
      <c r="N63" t="s">
        <v>446</v>
      </c>
      <c r="O63" t="s">
        <v>532</v>
      </c>
    </row>
    <row r="64" spans="1:15" x14ac:dyDescent="0.25">
      <c r="A64" t="s">
        <v>533</v>
      </c>
      <c r="B64" t="s">
        <v>151</v>
      </c>
      <c r="C64" t="s">
        <v>152</v>
      </c>
      <c r="D64" t="s">
        <v>731</v>
      </c>
      <c r="E64" s="12">
        <v>44626</v>
      </c>
      <c r="F64" t="s">
        <v>694</v>
      </c>
      <c r="G64">
        <v>100000</v>
      </c>
      <c r="H64">
        <v>25045.91</v>
      </c>
      <c r="I64">
        <v>25045.91</v>
      </c>
      <c r="J64">
        <v>449</v>
      </c>
      <c r="K64">
        <v>74954.09</v>
      </c>
      <c r="L64" t="s">
        <v>534</v>
      </c>
      <c r="M64">
        <v>4</v>
      </c>
      <c r="N64" t="s">
        <v>439</v>
      </c>
      <c r="O64" t="s">
        <v>978</v>
      </c>
    </row>
    <row r="65" spans="1:15" x14ac:dyDescent="0.25">
      <c r="A65" t="s">
        <v>533</v>
      </c>
      <c r="B65" t="s">
        <v>154</v>
      </c>
      <c r="C65" t="s">
        <v>155</v>
      </c>
      <c r="D65" t="s">
        <v>732</v>
      </c>
      <c r="E65" s="12">
        <v>44632</v>
      </c>
      <c r="F65" t="s">
        <v>694</v>
      </c>
      <c r="G65">
        <v>50000</v>
      </c>
      <c r="H65">
        <v>0</v>
      </c>
      <c r="I65">
        <v>0</v>
      </c>
      <c r="J65">
        <v>0</v>
      </c>
      <c r="K65">
        <v>50000</v>
      </c>
      <c r="L65" t="s">
        <v>535</v>
      </c>
      <c r="M65">
        <v>4</v>
      </c>
      <c r="N65" t="s">
        <v>439</v>
      </c>
      <c r="O65" t="s">
        <v>440</v>
      </c>
    </row>
    <row r="66" spans="1:15" x14ac:dyDescent="0.25">
      <c r="A66" t="s">
        <v>533</v>
      </c>
      <c r="B66" t="s">
        <v>156</v>
      </c>
      <c r="C66" t="s">
        <v>157</v>
      </c>
      <c r="D66" t="s">
        <v>733</v>
      </c>
      <c r="E66" s="12">
        <v>44649</v>
      </c>
      <c r="F66" t="s">
        <v>694</v>
      </c>
      <c r="G66">
        <v>50000</v>
      </c>
      <c r="H66">
        <v>20011.169999999998</v>
      </c>
      <c r="I66">
        <v>20011.169999999998</v>
      </c>
      <c r="J66">
        <v>488</v>
      </c>
      <c r="K66">
        <v>29988.83</v>
      </c>
      <c r="L66" t="s">
        <v>536</v>
      </c>
      <c r="M66">
        <v>4</v>
      </c>
      <c r="N66" t="s">
        <v>439</v>
      </c>
      <c r="O66" t="s">
        <v>673</v>
      </c>
    </row>
    <row r="67" spans="1:15" x14ac:dyDescent="0.25">
      <c r="A67" t="s">
        <v>153</v>
      </c>
      <c r="B67" t="s">
        <v>537</v>
      </c>
      <c r="C67" t="s">
        <v>538</v>
      </c>
      <c r="E67" s="12">
        <v>44649</v>
      </c>
      <c r="F67" t="s">
        <v>702</v>
      </c>
      <c r="G67">
        <v>0</v>
      </c>
      <c r="H67">
        <v>3709</v>
      </c>
      <c r="I67">
        <v>3709</v>
      </c>
      <c r="J67">
        <v>426</v>
      </c>
      <c r="K67">
        <v>-3709</v>
      </c>
      <c r="L67" t="s">
        <v>539</v>
      </c>
      <c r="M67">
        <v>-1</v>
      </c>
      <c r="N67" t="s">
        <v>446</v>
      </c>
      <c r="O67" t="s">
        <v>540</v>
      </c>
    </row>
    <row r="68" spans="1:15" x14ac:dyDescent="0.25">
      <c r="A68" t="s">
        <v>153</v>
      </c>
      <c r="B68" t="s">
        <v>541</v>
      </c>
      <c r="C68" t="s">
        <v>542</v>
      </c>
      <c r="E68" s="12">
        <v>44656</v>
      </c>
      <c r="F68" t="s">
        <v>702</v>
      </c>
      <c r="G68">
        <v>0</v>
      </c>
      <c r="H68">
        <v>2098.98</v>
      </c>
      <c r="I68">
        <v>2098.98</v>
      </c>
      <c r="J68">
        <v>426</v>
      </c>
      <c r="K68">
        <v>-2098.98</v>
      </c>
      <c r="L68" t="s">
        <v>543</v>
      </c>
      <c r="M68">
        <v>-1</v>
      </c>
      <c r="N68" t="s">
        <v>446</v>
      </c>
      <c r="O68" t="s">
        <v>544</v>
      </c>
    </row>
    <row r="69" spans="1:15" x14ac:dyDescent="0.25">
      <c r="A69" t="s">
        <v>20</v>
      </c>
      <c r="B69" t="s">
        <v>158</v>
      </c>
      <c r="C69" t="s">
        <v>14</v>
      </c>
      <c r="D69" t="s">
        <v>734</v>
      </c>
      <c r="E69" s="12">
        <v>44731</v>
      </c>
      <c r="F69" t="s">
        <v>694</v>
      </c>
      <c r="G69">
        <v>100000</v>
      </c>
      <c r="H69">
        <v>41990.720000000001</v>
      </c>
      <c r="I69">
        <v>41990.720000000001</v>
      </c>
      <c r="J69">
        <v>403</v>
      </c>
      <c r="K69">
        <v>58009.279999999999</v>
      </c>
      <c r="L69" t="s">
        <v>545</v>
      </c>
      <c r="M69">
        <v>4</v>
      </c>
      <c r="N69" t="s">
        <v>439</v>
      </c>
      <c r="O69" t="s">
        <v>546</v>
      </c>
    </row>
    <row r="70" spans="1:15" x14ac:dyDescent="0.25">
      <c r="A70" t="s">
        <v>11</v>
      </c>
      <c r="B70" t="s">
        <v>159</v>
      </c>
      <c r="C70" t="s">
        <v>160</v>
      </c>
      <c r="D70" t="s">
        <v>735</v>
      </c>
      <c r="E70" s="12">
        <v>44839</v>
      </c>
      <c r="F70" t="s">
        <v>694</v>
      </c>
      <c r="G70">
        <v>75000</v>
      </c>
      <c r="H70">
        <v>27121.72</v>
      </c>
      <c r="I70">
        <v>27121.72</v>
      </c>
      <c r="J70">
        <v>189</v>
      </c>
      <c r="K70">
        <v>47878.28</v>
      </c>
      <c r="L70" t="s">
        <v>547</v>
      </c>
      <c r="M70">
        <v>4</v>
      </c>
      <c r="N70" t="s">
        <v>439</v>
      </c>
      <c r="O70" t="s">
        <v>896</v>
      </c>
    </row>
    <row r="71" spans="1:15" x14ac:dyDescent="0.25">
      <c r="A71" t="s">
        <v>20</v>
      </c>
      <c r="B71" t="s">
        <v>548</v>
      </c>
      <c r="C71" t="s">
        <v>549</v>
      </c>
      <c r="D71" t="s">
        <v>736</v>
      </c>
      <c r="E71" s="12">
        <v>44843</v>
      </c>
      <c r="F71" t="s">
        <v>702</v>
      </c>
      <c r="G71">
        <v>0</v>
      </c>
      <c r="H71">
        <v>2249.1799999999998</v>
      </c>
      <c r="I71">
        <v>2012.26</v>
      </c>
      <c r="J71">
        <v>294</v>
      </c>
      <c r="K71">
        <v>-2249.1799999999998</v>
      </c>
      <c r="L71" t="s">
        <v>550</v>
      </c>
      <c r="M71">
        <v>-1</v>
      </c>
      <c r="N71" t="s">
        <v>446</v>
      </c>
      <c r="O71" t="s">
        <v>938</v>
      </c>
    </row>
    <row r="72" spans="1:15" x14ac:dyDescent="0.25">
      <c r="A72" t="s">
        <v>161</v>
      </c>
      <c r="B72" t="s">
        <v>551</v>
      </c>
      <c r="C72" t="s">
        <v>552</v>
      </c>
      <c r="D72" t="s">
        <v>737</v>
      </c>
      <c r="E72" s="12">
        <v>44847</v>
      </c>
      <c r="F72" t="s">
        <v>702</v>
      </c>
      <c r="G72">
        <v>0</v>
      </c>
      <c r="H72">
        <v>1793.06</v>
      </c>
      <c r="I72">
        <v>1793.06</v>
      </c>
      <c r="J72">
        <v>290</v>
      </c>
      <c r="K72">
        <v>-1793.06</v>
      </c>
      <c r="L72" t="s">
        <v>553</v>
      </c>
      <c r="M72">
        <v>-1</v>
      </c>
      <c r="N72" t="s">
        <v>446</v>
      </c>
      <c r="O72" t="s">
        <v>554</v>
      </c>
    </row>
    <row r="73" spans="1:15" x14ac:dyDescent="0.25">
      <c r="A73" t="s">
        <v>533</v>
      </c>
      <c r="B73" t="s">
        <v>162</v>
      </c>
      <c r="C73" t="s">
        <v>163</v>
      </c>
      <c r="D73" t="s">
        <v>738</v>
      </c>
      <c r="E73" s="12">
        <v>44860</v>
      </c>
      <c r="F73" t="s">
        <v>702</v>
      </c>
      <c r="G73">
        <v>0</v>
      </c>
      <c r="H73">
        <v>0</v>
      </c>
      <c r="I73">
        <v>0</v>
      </c>
      <c r="J73">
        <v>0</v>
      </c>
      <c r="K73">
        <v>0</v>
      </c>
      <c r="L73" t="s">
        <v>555</v>
      </c>
      <c r="M73">
        <v>-1</v>
      </c>
      <c r="N73" t="s">
        <v>439</v>
      </c>
      <c r="O73" t="s">
        <v>440</v>
      </c>
    </row>
    <row r="74" spans="1:15" x14ac:dyDescent="0.25">
      <c r="A74" t="s">
        <v>161</v>
      </c>
      <c r="B74" t="s">
        <v>164</v>
      </c>
      <c r="C74" t="s">
        <v>165</v>
      </c>
      <c r="D74" t="s">
        <v>739</v>
      </c>
      <c r="E74" s="12">
        <v>44940</v>
      </c>
      <c r="F74" t="s">
        <v>694</v>
      </c>
      <c r="G74">
        <v>50000</v>
      </c>
      <c r="H74">
        <v>-0.83</v>
      </c>
      <c r="I74">
        <v>0</v>
      </c>
      <c r="J74">
        <v>0</v>
      </c>
      <c r="K74">
        <v>50000</v>
      </c>
      <c r="L74" t="s">
        <v>556</v>
      </c>
      <c r="M74">
        <v>4</v>
      </c>
      <c r="N74" t="s">
        <v>439</v>
      </c>
      <c r="O74" t="s">
        <v>440</v>
      </c>
    </row>
    <row r="75" spans="1:15" x14ac:dyDescent="0.25">
      <c r="A75" t="s">
        <v>20</v>
      </c>
      <c r="B75" t="s">
        <v>166</v>
      </c>
      <c r="C75" t="s">
        <v>557</v>
      </c>
      <c r="D75" t="s">
        <v>740</v>
      </c>
      <c r="E75" s="12">
        <v>44858</v>
      </c>
      <c r="F75" t="s">
        <v>694</v>
      </c>
      <c r="G75">
        <v>10000</v>
      </c>
      <c r="H75">
        <v>14242.33</v>
      </c>
      <c r="I75">
        <v>4697.8500000000004</v>
      </c>
      <c r="J75">
        <v>81</v>
      </c>
      <c r="K75">
        <v>-4242.33</v>
      </c>
      <c r="L75" t="s">
        <v>558</v>
      </c>
      <c r="M75">
        <v>4</v>
      </c>
      <c r="N75" t="s">
        <v>446</v>
      </c>
      <c r="O75" t="s">
        <v>979</v>
      </c>
    </row>
    <row r="76" spans="1:15" x14ac:dyDescent="0.25">
      <c r="A76" t="s">
        <v>20</v>
      </c>
      <c r="B76" t="s">
        <v>167</v>
      </c>
      <c r="C76" t="s">
        <v>413</v>
      </c>
      <c r="D76" t="s">
        <v>741</v>
      </c>
      <c r="E76" s="12">
        <v>44859</v>
      </c>
      <c r="F76" t="s">
        <v>694</v>
      </c>
      <c r="G76">
        <v>12500</v>
      </c>
      <c r="H76">
        <v>10966.51</v>
      </c>
      <c r="I76">
        <v>3115.33</v>
      </c>
      <c r="J76">
        <v>68</v>
      </c>
      <c r="K76">
        <v>1533.49</v>
      </c>
      <c r="L76" t="s">
        <v>559</v>
      </c>
      <c r="M76">
        <v>4</v>
      </c>
      <c r="N76" t="s">
        <v>439</v>
      </c>
      <c r="O76" t="s">
        <v>939</v>
      </c>
    </row>
    <row r="77" spans="1:15" x14ac:dyDescent="0.25">
      <c r="A77" t="s">
        <v>20</v>
      </c>
      <c r="B77" t="s">
        <v>19</v>
      </c>
      <c r="C77" t="s">
        <v>168</v>
      </c>
      <c r="D77" t="s">
        <v>742</v>
      </c>
      <c r="E77" s="12">
        <v>44864</v>
      </c>
      <c r="F77" t="s">
        <v>694</v>
      </c>
      <c r="G77">
        <v>50000</v>
      </c>
      <c r="H77">
        <v>5213.62</v>
      </c>
      <c r="I77">
        <v>5213.62</v>
      </c>
      <c r="J77">
        <v>104</v>
      </c>
      <c r="K77">
        <v>44786.38</v>
      </c>
      <c r="L77" t="s">
        <v>560</v>
      </c>
      <c r="M77">
        <v>4</v>
      </c>
      <c r="N77" t="s">
        <v>439</v>
      </c>
      <c r="O77" t="s">
        <v>940</v>
      </c>
    </row>
    <row r="78" spans="1:15" x14ac:dyDescent="0.25">
      <c r="A78" t="s">
        <v>467</v>
      </c>
      <c r="B78" t="s">
        <v>169</v>
      </c>
      <c r="C78" t="s">
        <v>170</v>
      </c>
      <c r="D78" t="s">
        <v>743</v>
      </c>
      <c r="E78" s="12">
        <v>44865</v>
      </c>
      <c r="F78" t="s">
        <v>702</v>
      </c>
      <c r="G78">
        <v>0</v>
      </c>
      <c r="H78">
        <v>0</v>
      </c>
      <c r="I78">
        <v>0</v>
      </c>
      <c r="J78">
        <v>0</v>
      </c>
      <c r="K78">
        <v>0</v>
      </c>
      <c r="L78" t="s">
        <v>561</v>
      </c>
      <c r="M78">
        <v>-1</v>
      </c>
      <c r="N78" t="s">
        <v>439</v>
      </c>
      <c r="O78" t="s">
        <v>440</v>
      </c>
    </row>
    <row r="79" spans="1:15" x14ac:dyDescent="0.25">
      <c r="A79" t="s">
        <v>20</v>
      </c>
      <c r="B79" t="s">
        <v>171</v>
      </c>
      <c r="C79" t="s">
        <v>172</v>
      </c>
      <c r="D79" t="s">
        <v>744</v>
      </c>
      <c r="E79" s="12">
        <v>44872</v>
      </c>
      <c r="F79" t="s">
        <v>702</v>
      </c>
      <c r="G79">
        <v>0</v>
      </c>
      <c r="H79">
        <v>0</v>
      </c>
      <c r="I79">
        <v>0</v>
      </c>
      <c r="J79">
        <v>0</v>
      </c>
      <c r="K79">
        <v>0</v>
      </c>
      <c r="L79" t="s">
        <v>562</v>
      </c>
      <c r="M79">
        <v>-1</v>
      </c>
      <c r="N79" t="s">
        <v>439</v>
      </c>
      <c r="O79" t="s">
        <v>440</v>
      </c>
    </row>
    <row r="80" spans="1:15" x14ac:dyDescent="0.25">
      <c r="A80" t="s">
        <v>20</v>
      </c>
      <c r="B80" t="s">
        <v>173</v>
      </c>
      <c r="C80" t="s">
        <v>174</v>
      </c>
      <c r="D80" t="s">
        <v>745</v>
      </c>
      <c r="E80" s="12">
        <v>44877</v>
      </c>
      <c r="F80" t="s">
        <v>694</v>
      </c>
      <c r="G80">
        <v>200000</v>
      </c>
      <c r="H80">
        <v>0.65</v>
      </c>
      <c r="I80">
        <v>0.65</v>
      </c>
      <c r="J80">
        <v>109</v>
      </c>
      <c r="K80">
        <v>199999.35</v>
      </c>
      <c r="L80" t="s">
        <v>563</v>
      </c>
      <c r="M80">
        <v>4</v>
      </c>
      <c r="N80" t="s">
        <v>439</v>
      </c>
      <c r="O80" t="s">
        <v>897</v>
      </c>
    </row>
    <row r="81" spans="1:15" x14ac:dyDescent="0.25">
      <c r="A81" t="s">
        <v>20</v>
      </c>
      <c r="B81" t="s">
        <v>175</v>
      </c>
      <c r="C81" t="s">
        <v>176</v>
      </c>
      <c r="D81" t="s">
        <v>746</v>
      </c>
      <c r="E81" s="12">
        <v>44878</v>
      </c>
      <c r="F81" t="s">
        <v>702</v>
      </c>
      <c r="G81">
        <v>0</v>
      </c>
      <c r="H81">
        <v>0</v>
      </c>
      <c r="I81">
        <v>0</v>
      </c>
      <c r="J81">
        <v>0</v>
      </c>
      <c r="K81">
        <v>0</v>
      </c>
      <c r="L81" t="s">
        <v>564</v>
      </c>
      <c r="M81">
        <v>-1</v>
      </c>
      <c r="N81" t="s">
        <v>439</v>
      </c>
      <c r="O81" t="s">
        <v>440</v>
      </c>
    </row>
    <row r="82" spans="1:15" x14ac:dyDescent="0.25">
      <c r="A82" t="s">
        <v>20</v>
      </c>
      <c r="B82" t="s">
        <v>177</v>
      </c>
      <c r="C82" t="s">
        <v>178</v>
      </c>
      <c r="D82" t="s">
        <v>747</v>
      </c>
      <c r="E82" s="12">
        <v>44878</v>
      </c>
      <c r="F82" t="s">
        <v>702</v>
      </c>
      <c r="G82">
        <v>0</v>
      </c>
      <c r="H82">
        <v>486.14</v>
      </c>
      <c r="I82">
        <v>486.14</v>
      </c>
      <c r="J82">
        <v>246</v>
      </c>
      <c r="K82">
        <v>-486.14</v>
      </c>
      <c r="L82" t="s">
        <v>565</v>
      </c>
      <c r="M82">
        <v>-1</v>
      </c>
      <c r="N82" t="s">
        <v>446</v>
      </c>
      <c r="O82" t="s">
        <v>941</v>
      </c>
    </row>
    <row r="83" spans="1:15" x14ac:dyDescent="0.25">
      <c r="A83" t="s">
        <v>20</v>
      </c>
      <c r="B83" t="s">
        <v>179</v>
      </c>
      <c r="C83" t="s">
        <v>180</v>
      </c>
      <c r="D83" t="s">
        <v>748</v>
      </c>
      <c r="E83" s="12">
        <v>44878</v>
      </c>
      <c r="F83" t="s">
        <v>702</v>
      </c>
      <c r="G83">
        <v>0</v>
      </c>
      <c r="H83">
        <v>0</v>
      </c>
      <c r="I83">
        <v>0</v>
      </c>
      <c r="J83">
        <v>0</v>
      </c>
      <c r="K83">
        <v>0</v>
      </c>
      <c r="L83" t="s">
        <v>564</v>
      </c>
      <c r="M83">
        <v>-1</v>
      </c>
      <c r="N83" t="s">
        <v>439</v>
      </c>
      <c r="O83" t="s">
        <v>440</v>
      </c>
    </row>
    <row r="84" spans="1:15" x14ac:dyDescent="0.25">
      <c r="A84" t="s">
        <v>20</v>
      </c>
      <c r="B84" t="s">
        <v>181</v>
      </c>
      <c r="C84" t="s">
        <v>182</v>
      </c>
      <c r="D84" t="s">
        <v>749</v>
      </c>
      <c r="E84" s="12">
        <v>44881</v>
      </c>
      <c r="F84" t="s">
        <v>694</v>
      </c>
      <c r="G84">
        <v>20000</v>
      </c>
      <c r="H84">
        <v>6688.92</v>
      </c>
      <c r="I84">
        <v>5259.24</v>
      </c>
      <c r="J84">
        <v>112</v>
      </c>
      <c r="K84">
        <v>13311.08</v>
      </c>
      <c r="L84" t="s">
        <v>566</v>
      </c>
      <c r="M84">
        <v>4</v>
      </c>
      <c r="N84" t="s">
        <v>439</v>
      </c>
      <c r="O84" t="s">
        <v>980</v>
      </c>
    </row>
    <row r="85" spans="1:15" x14ac:dyDescent="0.25">
      <c r="A85" t="s">
        <v>20</v>
      </c>
      <c r="B85" t="s">
        <v>183</v>
      </c>
      <c r="C85" t="s">
        <v>184</v>
      </c>
      <c r="D85" t="s">
        <v>750</v>
      </c>
      <c r="E85" s="12">
        <v>44885</v>
      </c>
      <c r="F85" t="s">
        <v>702</v>
      </c>
      <c r="G85">
        <v>0</v>
      </c>
      <c r="H85">
        <v>0.14000000000000001</v>
      </c>
      <c r="I85">
        <v>0</v>
      </c>
      <c r="J85">
        <v>0</v>
      </c>
      <c r="K85">
        <v>0</v>
      </c>
      <c r="L85" t="s">
        <v>567</v>
      </c>
      <c r="M85">
        <v>-1</v>
      </c>
      <c r="N85" t="s">
        <v>439</v>
      </c>
      <c r="O85" t="s">
        <v>440</v>
      </c>
    </row>
    <row r="86" spans="1:15" x14ac:dyDescent="0.25">
      <c r="A86" t="s">
        <v>20</v>
      </c>
      <c r="B86" t="s">
        <v>185</v>
      </c>
      <c r="C86" t="s">
        <v>186</v>
      </c>
      <c r="D86" t="s">
        <v>751</v>
      </c>
      <c r="E86" s="12">
        <v>44895</v>
      </c>
      <c r="F86" t="s">
        <v>702</v>
      </c>
      <c r="G86">
        <v>0</v>
      </c>
      <c r="H86">
        <v>2423.0700000000002</v>
      </c>
      <c r="I86">
        <v>0.02</v>
      </c>
      <c r="J86">
        <v>84</v>
      </c>
      <c r="K86">
        <v>-2423.0700000000002</v>
      </c>
      <c r="L86" t="s">
        <v>568</v>
      </c>
      <c r="M86">
        <v>-1</v>
      </c>
      <c r="N86" t="s">
        <v>446</v>
      </c>
      <c r="O86" t="s">
        <v>942</v>
      </c>
    </row>
    <row r="87" spans="1:15" x14ac:dyDescent="0.25">
      <c r="A87" t="s">
        <v>467</v>
      </c>
      <c r="B87" t="s">
        <v>187</v>
      </c>
      <c r="C87" t="s">
        <v>188</v>
      </c>
      <c r="D87" t="s">
        <v>752</v>
      </c>
      <c r="E87" s="12">
        <v>44895</v>
      </c>
      <c r="F87" t="s">
        <v>702</v>
      </c>
      <c r="G87">
        <v>0</v>
      </c>
      <c r="H87">
        <v>0</v>
      </c>
      <c r="I87">
        <v>0</v>
      </c>
      <c r="J87">
        <v>0</v>
      </c>
      <c r="K87">
        <v>0</v>
      </c>
      <c r="L87" t="s">
        <v>569</v>
      </c>
      <c r="M87">
        <v>-1</v>
      </c>
      <c r="N87" t="s">
        <v>439</v>
      </c>
      <c r="O87" t="s">
        <v>440</v>
      </c>
    </row>
    <row r="88" spans="1:15" x14ac:dyDescent="0.25">
      <c r="A88" t="s">
        <v>20</v>
      </c>
      <c r="B88" t="s">
        <v>189</v>
      </c>
      <c r="C88" t="s">
        <v>190</v>
      </c>
      <c r="D88" t="s">
        <v>753</v>
      </c>
      <c r="E88" s="12">
        <v>44901</v>
      </c>
      <c r="F88" t="s">
        <v>694</v>
      </c>
      <c r="G88">
        <v>20000</v>
      </c>
      <c r="H88">
        <v>6644.03</v>
      </c>
      <c r="I88">
        <v>0</v>
      </c>
      <c r="J88">
        <v>0</v>
      </c>
      <c r="K88">
        <v>20000</v>
      </c>
      <c r="L88" t="s">
        <v>570</v>
      </c>
      <c r="M88">
        <v>4</v>
      </c>
      <c r="N88" t="s">
        <v>439</v>
      </c>
      <c r="O88" t="s">
        <v>440</v>
      </c>
    </row>
    <row r="89" spans="1:15" x14ac:dyDescent="0.25">
      <c r="A89" t="s">
        <v>20</v>
      </c>
      <c r="B89" t="s">
        <v>191</v>
      </c>
      <c r="C89" t="s">
        <v>192</v>
      </c>
      <c r="D89" t="s">
        <v>754</v>
      </c>
      <c r="E89" s="12">
        <v>44902</v>
      </c>
      <c r="F89" t="s">
        <v>694</v>
      </c>
      <c r="G89">
        <v>30000</v>
      </c>
      <c r="H89">
        <v>520.11</v>
      </c>
      <c r="I89">
        <v>520.11</v>
      </c>
      <c r="J89">
        <v>234</v>
      </c>
      <c r="K89">
        <v>29479.89</v>
      </c>
      <c r="L89" t="s">
        <v>571</v>
      </c>
      <c r="M89">
        <v>4</v>
      </c>
      <c r="N89" t="s">
        <v>439</v>
      </c>
      <c r="O89" t="s">
        <v>572</v>
      </c>
    </row>
    <row r="90" spans="1:15" x14ac:dyDescent="0.25">
      <c r="A90" t="s">
        <v>20</v>
      </c>
      <c r="B90" t="s">
        <v>21</v>
      </c>
      <c r="C90" t="s">
        <v>193</v>
      </c>
      <c r="D90" t="s">
        <v>755</v>
      </c>
      <c r="E90" s="12">
        <v>44908</v>
      </c>
      <c r="F90" t="s">
        <v>694</v>
      </c>
      <c r="G90">
        <v>20000</v>
      </c>
      <c r="H90">
        <v>3195.33</v>
      </c>
      <c r="I90">
        <v>581.01</v>
      </c>
      <c r="J90">
        <v>180</v>
      </c>
      <c r="K90">
        <v>16804.669999999998</v>
      </c>
      <c r="L90" t="s">
        <v>573</v>
      </c>
      <c r="M90">
        <v>4</v>
      </c>
      <c r="N90" t="s">
        <v>439</v>
      </c>
      <c r="O90" t="s">
        <v>981</v>
      </c>
    </row>
    <row r="91" spans="1:15" x14ac:dyDescent="0.25">
      <c r="A91" t="s">
        <v>20</v>
      </c>
      <c r="B91" t="s">
        <v>194</v>
      </c>
      <c r="C91" t="s">
        <v>195</v>
      </c>
      <c r="D91" t="s">
        <v>756</v>
      </c>
      <c r="E91" s="12">
        <v>44908</v>
      </c>
      <c r="F91" t="s">
        <v>694</v>
      </c>
      <c r="G91">
        <v>20000</v>
      </c>
      <c r="H91">
        <v>13260.29</v>
      </c>
      <c r="I91">
        <v>9514.6200000000008</v>
      </c>
      <c r="J91">
        <v>127</v>
      </c>
      <c r="K91">
        <v>6739.71</v>
      </c>
      <c r="L91" t="s">
        <v>573</v>
      </c>
      <c r="M91">
        <v>4</v>
      </c>
      <c r="N91" t="s">
        <v>439</v>
      </c>
      <c r="O91" t="s">
        <v>943</v>
      </c>
    </row>
    <row r="92" spans="1:15" x14ac:dyDescent="0.25">
      <c r="A92" t="s">
        <v>20</v>
      </c>
      <c r="B92" t="s">
        <v>22</v>
      </c>
      <c r="C92" t="s">
        <v>574</v>
      </c>
      <c r="D92" t="s">
        <v>757</v>
      </c>
      <c r="E92" s="12">
        <v>44924</v>
      </c>
      <c r="F92" t="s">
        <v>694</v>
      </c>
      <c r="G92">
        <v>20000</v>
      </c>
      <c r="H92">
        <v>18430.2</v>
      </c>
      <c r="I92">
        <v>15182.71</v>
      </c>
      <c r="J92">
        <v>136</v>
      </c>
      <c r="K92">
        <v>1569.8</v>
      </c>
      <c r="L92" t="s">
        <v>575</v>
      </c>
      <c r="M92">
        <v>4</v>
      </c>
      <c r="N92" t="s">
        <v>439</v>
      </c>
      <c r="O92" t="s">
        <v>982</v>
      </c>
    </row>
    <row r="93" spans="1:15" x14ac:dyDescent="0.25">
      <c r="A93" t="s">
        <v>20</v>
      </c>
      <c r="B93" t="s">
        <v>196</v>
      </c>
      <c r="C93" t="s">
        <v>197</v>
      </c>
      <c r="D93" t="s">
        <v>758</v>
      </c>
      <c r="E93" s="12">
        <v>44924</v>
      </c>
      <c r="F93" t="s">
        <v>694</v>
      </c>
      <c r="G93">
        <v>25000</v>
      </c>
      <c r="H93">
        <v>34162.78</v>
      </c>
      <c r="I93">
        <v>24509.82</v>
      </c>
      <c r="J93">
        <v>152</v>
      </c>
      <c r="K93">
        <v>-9162.7800000000007</v>
      </c>
      <c r="L93" t="s">
        <v>575</v>
      </c>
      <c r="M93">
        <v>4</v>
      </c>
      <c r="N93" t="s">
        <v>446</v>
      </c>
      <c r="O93" t="s">
        <v>944</v>
      </c>
    </row>
    <row r="94" spans="1:15" x14ac:dyDescent="0.25">
      <c r="A94" t="s">
        <v>20</v>
      </c>
      <c r="B94" t="s">
        <v>198</v>
      </c>
      <c r="C94" t="s">
        <v>199</v>
      </c>
      <c r="D94" t="s">
        <v>759</v>
      </c>
      <c r="E94" s="12">
        <v>44935</v>
      </c>
      <c r="F94" t="s">
        <v>702</v>
      </c>
      <c r="G94">
        <v>0</v>
      </c>
      <c r="H94">
        <v>652.80999999999995</v>
      </c>
      <c r="I94">
        <v>0</v>
      </c>
      <c r="J94">
        <v>0</v>
      </c>
      <c r="K94">
        <v>0</v>
      </c>
      <c r="L94" t="s">
        <v>576</v>
      </c>
      <c r="M94">
        <v>-1</v>
      </c>
      <c r="N94" t="s">
        <v>439</v>
      </c>
      <c r="O94" t="s">
        <v>440</v>
      </c>
    </row>
    <row r="95" spans="1:15" x14ac:dyDescent="0.25">
      <c r="A95" t="s">
        <v>20</v>
      </c>
      <c r="B95" t="s">
        <v>200</v>
      </c>
      <c r="C95" t="s">
        <v>353</v>
      </c>
      <c r="D95" t="s">
        <v>760</v>
      </c>
      <c r="E95" s="12">
        <v>44947</v>
      </c>
      <c r="F95" t="s">
        <v>694</v>
      </c>
      <c r="G95">
        <v>25000</v>
      </c>
      <c r="H95">
        <v>21637.64</v>
      </c>
      <c r="I95">
        <v>13257.22</v>
      </c>
      <c r="J95">
        <v>134</v>
      </c>
      <c r="K95">
        <v>3362.36</v>
      </c>
      <c r="L95" t="s">
        <v>578</v>
      </c>
      <c r="M95">
        <v>4</v>
      </c>
      <c r="N95" t="s">
        <v>439</v>
      </c>
      <c r="O95" t="s">
        <v>983</v>
      </c>
    </row>
    <row r="96" spans="1:15" x14ac:dyDescent="0.25">
      <c r="A96" t="s">
        <v>20</v>
      </c>
      <c r="B96" t="s">
        <v>201</v>
      </c>
      <c r="C96" t="s">
        <v>202</v>
      </c>
      <c r="D96" t="s">
        <v>761</v>
      </c>
      <c r="E96" s="12">
        <v>44954</v>
      </c>
      <c r="F96" t="s">
        <v>694</v>
      </c>
      <c r="G96">
        <v>25000</v>
      </c>
      <c r="H96">
        <v>0</v>
      </c>
      <c r="I96">
        <v>0</v>
      </c>
      <c r="J96">
        <v>0</v>
      </c>
      <c r="K96">
        <v>25000</v>
      </c>
      <c r="L96" t="s">
        <v>579</v>
      </c>
      <c r="M96">
        <v>4</v>
      </c>
      <c r="N96" t="s">
        <v>439</v>
      </c>
      <c r="O96" t="s">
        <v>440</v>
      </c>
    </row>
    <row r="97" spans="1:15" x14ac:dyDescent="0.25">
      <c r="A97" t="s">
        <v>20</v>
      </c>
      <c r="B97" t="s">
        <v>203</v>
      </c>
      <c r="C97" t="s">
        <v>204</v>
      </c>
      <c r="D97" t="s">
        <v>762</v>
      </c>
      <c r="E97" s="12">
        <v>44968</v>
      </c>
      <c r="F97" t="s">
        <v>694</v>
      </c>
      <c r="G97">
        <v>20000</v>
      </c>
      <c r="H97">
        <v>12900.23</v>
      </c>
      <c r="I97">
        <v>6169.28</v>
      </c>
      <c r="J97">
        <v>62</v>
      </c>
      <c r="K97">
        <v>7099.77</v>
      </c>
      <c r="L97" t="s">
        <v>580</v>
      </c>
      <c r="M97">
        <v>4</v>
      </c>
      <c r="N97" t="s">
        <v>439</v>
      </c>
      <c r="O97" t="s">
        <v>984</v>
      </c>
    </row>
    <row r="98" spans="1:15" x14ac:dyDescent="0.25">
      <c r="A98" t="s">
        <v>20</v>
      </c>
      <c r="B98" t="s">
        <v>205</v>
      </c>
      <c r="C98" t="s">
        <v>206</v>
      </c>
      <c r="D98" t="s">
        <v>763</v>
      </c>
      <c r="E98" s="12">
        <v>44969</v>
      </c>
      <c r="F98" t="s">
        <v>694</v>
      </c>
      <c r="G98">
        <v>10000</v>
      </c>
      <c r="H98">
        <v>5858.34</v>
      </c>
      <c r="I98">
        <v>5492.87</v>
      </c>
      <c r="J98">
        <v>127</v>
      </c>
      <c r="K98">
        <v>4141.66</v>
      </c>
      <c r="L98" t="s">
        <v>581</v>
      </c>
      <c r="M98">
        <v>4</v>
      </c>
      <c r="N98" t="s">
        <v>439</v>
      </c>
      <c r="O98" t="s">
        <v>945</v>
      </c>
    </row>
    <row r="99" spans="1:15" x14ac:dyDescent="0.25">
      <c r="A99" t="s">
        <v>20</v>
      </c>
      <c r="B99" t="s">
        <v>207</v>
      </c>
      <c r="C99" t="s">
        <v>208</v>
      </c>
      <c r="D99" t="s">
        <v>764</v>
      </c>
      <c r="E99" s="12">
        <v>44969</v>
      </c>
      <c r="F99" t="s">
        <v>694</v>
      </c>
      <c r="G99">
        <v>45000</v>
      </c>
      <c r="H99">
        <v>2525.61</v>
      </c>
      <c r="I99">
        <v>0</v>
      </c>
      <c r="J99">
        <v>0</v>
      </c>
      <c r="K99">
        <v>45000</v>
      </c>
      <c r="L99" t="s">
        <v>581</v>
      </c>
      <c r="M99">
        <v>4</v>
      </c>
      <c r="N99" t="s">
        <v>439</v>
      </c>
      <c r="O99" t="s">
        <v>440</v>
      </c>
    </row>
    <row r="100" spans="1:15" x14ac:dyDescent="0.25">
      <c r="A100" t="s">
        <v>20</v>
      </c>
      <c r="B100" t="s">
        <v>209</v>
      </c>
      <c r="C100" t="s">
        <v>210</v>
      </c>
      <c r="D100" t="s">
        <v>765</v>
      </c>
      <c r="E100" s="12">
        <v>44970</v>
      </c>
      <c r="F100" t="s">
        <v>694</v>
      </c>
      <c r="G100">
        <v>25000</v>
      </c>
      <c r="H100">
        <v>5957.26</v>
      </c>
      <c r="I100">
        <v>1345.01</v>
      </c>
      <c r="J100">
        <v>126</v>
      </c>
      <c r="K100">
        <v>19042.740000000002</v>
      </c>
      <c r="L100" t="s">
        <v>582</v>
      </c>
      <c r="M100">
        <v>4</v>
      </c>
      <c r="N100" t="s">
        <v>439</v>
      </c>
      <c r="O100" t="s">
        <v>946</v>
      </c>
    </row>
    <row r="101" spans="1:15" x14ac:dyDescent="0.25">
      <c r="A101" t="s">
        <v>20</v>
      </c>
      <c r="B101" t="s">
        <v>211</v>
      </c>
      <c r="C101" t="s">
        <v>212</v>
      </c>
      <c r="D101" t="s">
        <v>766</v>
      </c>
      <c r="E101" s="12">
        <v>44991</v>
      </c>
      <c r="F101" t="s">
        <v>694</v>
      </c>
      <c r="G101">
        <v>25000</v>
      </c>
      <c r="H101">
        <v>15469.97</v>
      </c>
      <c r="I101">
        <v>7476.58</v>
      </c>
      <c r="J101">
        <v>117</v>
      </c>
      <c r="K101">
        <v>9530.0300000000007</v>
      </c>
      <c r="L101" t="s">
        <v>583</v>
      </c>
      <c r="M101">
        <v>4</v>
      </c>
      <c r="N101" t="s">
        <v>439</v>
      </c>
      <c r="O101" t="s">
        <v>947</v>
      </c>
    </row>
    <row r="102" spans="1:15" x14ac:dyDescent="0.25">
      <c r="A102" t="s">
        <v>20</v>
      </c>
      <c r="B102" t="s">
        <v>350</v>
      </c>
      <c r="C102" t="s">
        <v>349</v>
      </c>
      <c r="D102" t="s">
        <v>767</v>
      </c>
      <c r="E102" s="12">
        <v>45053</v>
      </c>
      <c r="F102" t="s">
        <v>694</v>
      </c>
      <c r="G102">
        <v>15000</v>
      </c>
      <c r="H102">
        <v>11819.16</v>
      </c>
      <c r="I102">
        <v>4004.39</v>
      </c>
      <c r="J102">
        <v>84</v>
      </c>
      <c r="K102">
        <v>3180.84</v>
      </c>
      <c r="M102">
        <v>4</v>
      </c>
      <c r="N102" t="s">
        <v>439</v>
      </c>
      <c r="O102" t="s">
        <v>948</v>
      </c>
    </row>
    <row r="103" spans="1:15" x14ac:dyDescent="0.25">
      <c r="A103" t="s">
        <v>20</v>
      </c>
      <c r="B103" t="s">
        <v>363</v>
      </c>
      <c r="C103" t="s">
        <v>364</v>
      </c>
      <c r="D103" t="s">
        <v>768</v>
      </c>
      <c r="E103" s="12">
        <v>45059</v>
      </c>
      <c r="F103" t="s">
        <v>694</v>
      </c>
      <c r="G103">
        <v>15000</v>
      </c>
      <c r="H103">
        <v>11648.48</v>
      </c>
      <c r="I103">
        <v>7879.15</v>
      </c>
      <c r="J103">
        <v>66</v>
      </c>
      <c r="K103">
        <v>3351.52</v>
      </c>
      <c r="M103">
        <v>4</v>
      </c>
      <c r="N103" t="s">
        <v>439</v>
      </c>
      <c r="O103" t="s">
        <v>949</v>
      </c>
    </row>
    <row r="104" spans="1:15" x14ac:dyDescent="0.25">
      <c r="A104" t="s">
        <v>20</v>
      </c>
      <c r="B104" t="s">
        <v>584</v>
      </c>
      <c r="C104" t="s">
        <v>950</v>
      </c>
      <c r="D104" t="s">
        <v>951</v>
      </c>
      <c r="E104" s="12">
        <v>45067</v>
      </c>
      <c r="F104" t="s">
        <v>702</v>
      </c>
      <c r="G104">
        <v>0</v>
      </c>
      <c r="H104">
        <v>4573.03</v>
      </c>
      <c r="I104">
        <v>0</v>
      </c>
      <c r="J104">
        <v>0</v>
      </c>
      <c r="K104">
        <v>0</v>
      </c>
      <c r="M104">
        <v>-1</v>
      </c>
      <c r="N104" t="s">
        <v>439</v>
      </c>
      <c r="O104" t="s">
        <v>440</v>
      </c>
    </row>
    <row r="105" spans="1:15" x14ac:dyDescent="0.25">
      <c r="A105" t="s">
        <v>20</v>
      </c>
      <c r="B105" t="s">
        <v>907</v>
      </c>
      <c r="C105" t="s">
        <v>908</v>
      </c>
      <c r="D105" t="s">
        <v>952</v>
      </c>
      <c r="E105" s="12">
        <v>45097</v>
      </c>
      <c r="F105" t="s">
        <v>702</v>
      </c>
      <c r="G105">
        <v>0</v>
      </c>
      <c r="H105">
        <v>0.05</v>
      </c>
      <c r="I105">
        <v>0</v>
      </c>
      <c r="J105">
        <v>0</v>
      </c>
      <c r="K105">
        <v>0</v>
      </c>
      <c r="L105" t="s">
        <v>576</v>
      </c>
      <c r="M105">
        <v>-1</v>
      </c>
      <c r="N105" t="s">
        <v>439</v>
      </c>
      <c r="O105" t="s">
        <v>440</v>
      </c>
    </row>
    <row r="106" spans="1:15" x14ac:dyDescent="0.25">
      <c r="A106" t="s">
        <v>20</v>
      </c>
      <c r="B106" t="s">
        <v>213</v>
      </c>
      <c r="C106" t="s">
        <v>214</v>
      </c>
      <c r="D106" t="s">
        <v>769</v>
      </c>
      <c r="E106" s="12">
        <v>44888</v>
      </c>
      <c r="F106" t="s">
        <v>702</v>
      </c>
      <c r="G106">
        <v>0</v>
      </c>
      <c r="H106">
        <v>0</v>
      </c>
      <c r="I106">
        <v>0</v>
      </c>
      <c r="J106">
        <v>0</v>
      </c>
      <c r="K106">
        <v>0</v>
      </c>
      <c r="L106" t="s">
        <v>585</v>
      </c>
      <c r="M106">
        <v>-1</v>
      </c>
      <c r="N106" t="s">
        <v>439</v>
      </c>
      <c r="O106" t="s">
        <v>440</v>
      </c>
    </row>
    <row r="107" spans="1:15" x14ac:dyDescent="0.25">
      <c r="A107" t="s">
        <v>20</v>
      </c>
      <c r="B107" t="s">
        <v>215</v>
      </c>
      <c r="C107" t="s">
        <v>13</v>
      </c>
      <c r="D107" t="s">
        <v>770</v>
      </c>
      <c r="E107" s="12">
        <v>44888</v>
      </c>
      <c r="F107" t="s">
        <v>694</v>
      </c>
      <c r="G107">
        <v>40000</v>
      </c>
      <c r="H107">
        <v>22310.45</v>
      </c>
      <c r="I107">
        <v>16161.85</v>
      </c>
      <c r="J107">
        <v>214</v>
      </c>
      <c r="K107">
        <v>17689.55</v>
      </c>
      <c r="L107" t="s">
        <v>585</v>
      </c>
      <c r="M107">
        <v>4</v>
      </c>
      <c r="N107" t="s">
        <v>439</v>
      </c>
      <c r="O107" t="s">
        <v>985</v>
      </c>
    </row>
    <row r="108" spans="1:15" x14ac:dyDescent="0.25">
      <c r="A108" t="s">
        <v>467</v>
      </c>
      <c r="B108" t="s">
        <v>216</v>
      </c>
      <c r="C108" t="s">
        <v>217</v>
      </c>
      <c r="D108" t="s">
        <v>771</v>
      </c>
      <c r="E108" s="12">
        <v>44905</v>
      </c>
      <c r="F108" t="s">
        <v>702</v>
      </c>
      <c r="G108">
        <v>0</v>
      </c>
      <c r="H108">
        <v>0</v>
      </c>
      <c r="I108">
        <v>0</v>
      </c>
      <c r="J108">
        <v>0</v>
      </c>
      <c r="K108">
        <v>0</v>
      </c>
      <c r="L108" t="s">
        <v>586</v>
      </c>
      <c r="M108">
        <v>-1</v>
      </c>
      <c r="N108" t="s">
        <v>439</v>
      </c>
      <c r="O108" t="s">
        <v>440</v>
      </c>
    </row>
    <row r="109" spans="1:15" x14ac:dyDescent="0.25">
      <c r="A109" t="s">
        <v>161</v>
      </c>
      <c r="B109" t="s">
        <v>218</v>
      </c>
      <c r="C109" t="s">
        <v>219</v>
      </c>
      <c r="D109" t="s">
        <v>772</v>
      </c>
      <c r="E109" s="12">
        <v>44905</v>
      </c>
      <c r="F109" t="s">
        <v>702</v>
      </c>
      <c r="G109">
        <v>0</v>
      </c>
      <c r="H109">
        <v>0</v>
      </c>
      <c r="I109">
        <v>0</v>
      </c>
      <c r="J109">
        <v>0</v>
      </c>
      <c r="K109">
        <v>0</v>
      </c>
      <c r="L109" t="s">
        <v>587</v>
      </c>
      <c r="M109">
        <v>-1</v>
      </c>
      <c r="N109" t="s">
        <v>439</v>
      </c>
      <c r="O109" t="s">
        <v>440</v>
      </c>
    </row>
    <row r="110" spans="1:15" x14ac:dyDescent="0.25">
      <c r="A110" t="s">
        <v>467</v>
      </c>
      <c r="B110" t="s">
        <v>220</v>
      </c>
      <c r="C110" t="s">
        <v>221</v>
      </c>
      <c r="D110" t="s">
        <v>773</v>
      </c>
      <c r="E110" s="12">
        <v>44908</v>
      </c>
      <c r="F110" t="s">
        <v>702</v>
      </c>
      <c r="G110">
        <v>0</v>
      </c>
      <c r="H110">
        <v>0</v>
      </c>
      <c r="I110">
        <v>0</v>
      </c>
      <c r="J110">
        <v>0</v>
      </c>
      <c r="K110">
        <v>0</v>
      </c>
      <c r="L110" t="s">
        <v>588</v>
      </c>
      <c r="M110">
        <v>-1</v>
      </c>
      <c r="N110" t="s">
        <v>439</v>
      </c>
      <c r="O110" t="s">
        <v>440</v>
      </c>
    </row>
    <row r="111" spans="1:15" x14ac:dyDescent="0.25">
      <c r="A111" t="s">
        <v>467</v>
      </c>
      <c r="B111" t="s">
        <v>222</v>
      </c>
      <c r="C111" t="s">
        <v>223</v>
      </c>
      <c r="D111" t="s">
        <v>774</v>
      </c>
      <c r="E111" s="12">
        <v>44908</v>
      </c>
      <c r="F111" t="s">
        <v>702</v>
      </c>
      <c r="G111">
        <v>0</v>
      </c>
      <c r="H111">
        <v>0</v>
      </c>
      <c r="I111">
        <v>0</v>
      </c>
      <c r="J111">
        <v>0</v>
      </c>
      <c r="K111">
        <v>0</v>
      </c>
      <c r="L111" t="s">
        <v>588</v>
      </c>
      <c r="M111">
        <v>-1</v>
      </c>
      <c r="N111" t="s">
        <v>439</v>
      </c>
      <c r="O111" t="s">
        <v>440</v>
      </c>
    </row>
    <row r="112" spans="1:15" x14ac:dyDescent="0.25">
      <c r="A112" t="s">
        <v>467</v>
      </c>
      <c r="B112" t="s">
        <v>224</v>
      </c>
      <c r="C112" t="s">
        <v>225</v>
      </c>
      <c r="D112" t="s">
        <v>752</v>
      </c>
      <c r="E112" s="12">
        <v>44936</v>
      </c>
      <c r="F112" t="s">
        <v>702</v>
      </c>
      <c r="G112">
        <v>0</v>
      </c>
      <c r="H112">
        <v>1021.59</v>
      </c>
      <c r="I112">
        <v>1021.59</v>
      </c>
      <c r="J112">
        <v>201</v>
      </c>
      <c r="K112">
        <v>-1021.59</v>
      </c>
      <c r="L112" t="s">
        <v>589</v>
      </c>
      <c r="M112">
        <v>-1</v>
      </c>
      <c r="N112" t="s">
        <v>446</v>
      </c>
      <c r="O112" t="s">
        <v>898</v>
      </c>
    </row>
    <row r="113" spans="1:15" x14ac:dyDescent="0.25">
      <c r="A113" t="s">
        <v>467</v>
      </c>
      <c r="B113" t="s">
        <v>226</v>
      </c>
      <c r="C113" t="s">
        <v>227</v>
      </c>
      <c r="D113" t="s">
        <v>775</v>
      </c>
      <c r="E113" s="12">
        <v>44963</v>
      </c>
      <c r="F113" t="s">
        <v>694</v>
      </c>
      <c r="G113">
        <v>15000</v>
      </c>
      <c r="H113">
        <v>0</v>
      </c>
      <c r="I113">
        <v>0</v>
      </c>
      <c r="J113">
        <v>0</v>
      </c>
      <c r="K113">
        <v>15000</v>
      </c>
      <c r="L113" t="s">
        <v>590</v>
      </c>
      <c r="M113">
        <v>4</v>
      </c>
      <c r="N113" t="s">
        <v>439</v>
      </c>
      <c r="O113" t="s">
        <v>440</v>
      </c>
    </row>
    <row r="114" spans="1:15" x14ac:dyDescent="0.25">
      <c r="A114" t="s">
        <v>533</v>
      </c>
      <c r="B114" t="s">
        <v>591</v>
      </c>
      <c r="C114" t="s">
        <v>592</v>
      </c>
      <c r="D114" t="s">
        <v>776</v>
      </c>
      <c r="E114" s="12">
        <v>44962</v>
      </c>
      <c r="F114" t="s">
        <v>702</v>
      </c>
      <c r="G114">
        <v>0</v>
      </c>
      <c r="H114">
        <v>936.28</v>
      </c>
      <c r="I114">
        <v>671</v>
      </c>
      <c r="J114">
        <v>174</v>
      </c>
      <c r="K114">
        <v>-936.28</v>
      </c>
      <c r="L114" t="s">
        <v>593</v>
      </c>
      <c r="M114">
        <v>-1</v>
      </c>
      <c r="N114" t="s">
        <v>446</v>
      </c>
      <c r="O114" t="s">
        <v>594</v>
      </c>
    </row>
    <row r="115" spans="1:15" x14ac:dyDescent="0.25">
      <c r="A115" t="s">
        <v>533</v>
      </c>
      <c r="B115" t="s">
        <v>899</v>
      </c>
      <c r="C115" t="s">
        <v>900</v>
      </c>
      <c r="E115" s="12">
        <v>45078</v>
      </c>
      <c r="F115" t="s">
        <v>702</v>
      </c>
      <c r="G115">
        <v>0</v>
      </c>
      <c r="H115">
        <v>-8.25</v>
      </c>
      <c r="I115">
        <v>0</v>
      </c>
      <c r="J115">
        <v>0</v>
      </c>
      <c r="K115">
        <v>0</v>
      </c>
      <c r="L115" t="s">
        <v>901</v>
      </c>
      <c r="M115">
        <v>-1</v>
      </c>
      <c r="N115" t="s">
        <v>439</v>
      </c>
      <c r="O115" t="s">
        <v>440</v>
      </c>
    </row>
    <row r="116" spans="1:15" x14ac:dyDescent="0.25">
      <c r="A116" t="s">
        <v>533</v>
      </c>
      <c r="B116" t="s">
        <v>986</v>
      </c>
      <c r="C116" t="s">
        <v>987</v>
      </c>
      <c r="D116" t="s">
        <v>988</v>
      </c>
      <c r="E116" s="12">
        <v>45134</v>
      </c>
      <c r="F116" t="s">
        <v>702</v>
      </c>
      <c r="G116">
        <v>0</v>
      </c>
      <c r="H116">
        <v>0</v>
      </c>
      <c r="I116">
        <v>0</v>
      </c>
      <c r="J116">
        <v>0</v>
      </c>
      <c r="K116">
        <v>0</v>
      </c>
      <c r="L116" t="s">
        <v>989</v>
      </c>
      <c r="M116">
        <v>-1</v>
      </c>
      <c r="N116" t="s">
        <v>439</v>
      </c>
      <c r="O116" t="s">
        <v>440</v>
      </c>
    </row>
    <row r="117" spans="1:15" x14ac:dyDescent="0.25">
      <c r="A117" t="s">
        <v>442</v>
      </c>
      <c r="B117" t="s">
        <v>228</v>
      </c>
      <c r="C117" t="s">
        <v>229</v>
      </c>
      <c r="D117" t="s">
        <v>777</v>
      </c>
      <c r="E117" s="12">
        <v>44573</v>
      </c>
      <c r="F117" t="s">
        <v>702</v>
      </c>
      <c r="G117">
        <v>0</v>
      </c>
      <c r="H117">
        <v>0</v>
      </c>
      <c r="I117">
        <v>0</v>
      </c>
      <c r="J117">
        <v>0</v>
      </c>
      <c r="K117">
        <v>0</v>
      </c>
      <c r="L117" t="s">
        <v>595</v>
      </c>
      <c r="M117">
        <v>-1</v>
      </c>
      <c r="N117" t="s">
        <v>439</v>
      </c>
      <c r="O117" t="s">
        <v>440</v>
      </c>
    </row>
    <row r="118" spans="1:15" x14ac:dyDescent="0.25">
      <c r="A118" t="s">
        <v>442</v>
      </c>
      <c r="B118" t="s">
        <v>596</v>
      </c>
      <c r="C118" t="s">
        <v>597</v>
      </c>
      <c r="E118" s="12">
        <v>44649</v>
      </c>
      <c r="F118" t="s">
        <v>702</v>
      </c>
      <c r="G118">
        <v>0</v>
      </c>
      <c r="H118">
        <v>2772.02</v>
      </c>
      <c r="I118">
        <v>2772.02</v>
      </c>
      <c r="J118">
        <v>426</v>
      </c>
      <c r="K118">
        <v>-2772.02</v>
      </c>
      <c r="L118" t="s">
        <v>598</v>
      </c>
      <c r="M118">
        <v>-1</v>
      </c>
      <c r="N118" t="s">
        <v>446</v>
      </c>
      <c r="O118" t="s">
        <v>599</v>
      </c>
    </row>
    <row r="119" spans="1:15" x14ac:dyDescent="0.25">
      <c r="A119" t="s">
        <v>442</v>
      </c>
      <c r="B119" t="s">
        <v>230</v>
      </c>
      <c r="C119" t="s">
        <v>231</v>
      </c>
      <c r="D119" t="s">
        <v>778</v>
      </c>
      <c r="E119" s="12">
        <v>44689</v>
      </c>
      <c r="F119" t="s">
        <v>694</v>
      </c>
      <c r="G119">
        <v>20000</v>
      </c>
      <c r="H119">
        <v>1186.8399999999999</v>
      </c>
      <c r="I119">
        <v>1186.8399999999999</v>
      </c>
      <c r="J119">
        <v>245</v>
      </c>
      <c r="K119">
        <v>18813.16</v>
      </c>
      <c r="L119" t="s">
        <v>600</v>
      </c>
      <c r="M119">
        <v>4</v>
      </c>
      <c r="N119" t="s">
        <v>439</v>
      </c>
      <c r="O119" t="s">
        <v>953</v>
      </c>
    </row>
    <row r="120" spans="1:15" x14ac:dyDescent="0.25">
      <c r="A120" t="s">
        <v>442</v>
      </c>
      <c r="B120" t="s">
        <v>232</v>
      </c>
      <c r="C120" t="s">
        <v>233</v>
      </c>
      <c r="D120" t="s">
        <v>779</v>
      </c>
      <c r="E120" s="12">
        <v>44690</v>
      </c>
      <c r="F120" t="s">
        <v>694</v>
      </c>
      <c r="G120">
        <v>0</v>
      </c>
      <c r="H120">
        <v>-533.72</v>
      </c>
      <c r="I120">
        <v>-533.72</v>
      </c>
      <c r="J120">
        <v>286</v>
      </c>
      <c r="K120">
        <v>0</v>
      </c>
      <c r="L120" t="s">
        <v>601</v>
      </c>
      <c r="M120">
        <v>4</v>
      </c>
      <c r="N120" t="s">
        <v>439</v>
      </c>
      <c r="O120" t="s">
        <v>440</v>
      </c>
    </row>
    <row r="121" spans="1:15" x14ac:dyDescent="0.25">
      <c r="A121" t="s">
        <v>442</v>
      </c>
      <c r="B121" t="s">
        <v>234</v>
      </c>
      <c r="C121" t="s">
        <v>235</v>
      </c>
      <c r="D121" t="s">
        <v>780</v>
      </c>
      <c r="E121" s="12">
        <v>44696</v>
      </c>
      <c r="F121" t="s">
        <v>694</v>
      </c>
      <c r="G121">
        <v>0</v>
      </c>
      <c r="H121">
        <v>51.65</v>
      </c>
      <c r="I121">
        <v>51.65</v>
      </c>
      <c r="J121">
        <v>441</v>
      </c>
      <c r="K121">
        <v>-51.65</v>
      </c>
      <c r="L121" t="s">
        <v>602</v>
      </c>
      <c r="M121">
        <v>4</v>
      </c>
      <c r="N121" t="s">
        <v>446</v>
      </c>
      <c r="O121" t="s">
        <v>603</v>
      </c>
    </row>
    <row r="122" spans="1:15" x14ac:dyDescent="0.25">
      <c r="A122" t="s">
        <v>442</v>
      </c>
      <c r="B122" t="s">
        <v>236</v>
      </c>
      <c r="C122" t="s">
        <v>237</v>
      </c>
      <c r="D122" t="s">
        <v>781</v>
      </c>
      <c r="E122" s="12">
        <v>44699</v>
      </c>
      <c r="F122" t="s">
        <v>702</v>
      </c>
      <c r="G122">
        <v>0</v>
      </c>
      <c r="H122">
        <v>0</v>
      </c>
      <c r="I122">
        <v>0</v>
      </c>
      <c r="J122">
        <v>0</v>
      </c>
      <c r="K122">
        <v>0</v>
      </c>
      <c r="L122" t="s">
        <v>604</v>
      </c>
      <c r="M122">
        <v>-1</v>
      </c>
      <c r="N122" t="s">
        <v>439</v>
      </c>
      <c r="O122" t="s">
        <v>440</v>
      </c>
    </row>
    <row r="123" spans="1:15" x14ac:dyDescent="0.25">
      <c r="A123" t="s">
        <v>442</v>
      </c>
      <c r="B123" t="s">
        <v>238</v>
      </c>
      <c r="C123" t="s">
        <v>239</v>
      </c>
      <c r="D123" t="s">
        <v>782</v>
      </c>
      <c r="E123" s="12">
        <v>44721</v>
      </c>
      <c r="F123" t="s">
        <v>694</v>
      </c>
      <c r="G123">
        <v>30000</v>
      </c>
      <c r="H123">
        <v>-364.83</v>
      </c>
      <c r="I123">
        <v>-364.83</v>
      </c>
      <c r="J123">
        <v>61</v>
      </c>
      <c r="K123">
        <v>30000</v>
      </c>
      <c r="L123" t="s">
        <v>605</v>
      </c>
      <c r="M123">
        <v>4</v>
      </c>
      <c r="N123" t="s">
        <v>439</v>
      </c>
      <c r="O123" t="s">
        <v>440</v>
      </c>
    </row>
    <row r="124" spans="1:15" x14ac:dyDescent="0.25">
      <c r="A124" t="s">
        <v>442</v>
      </c>
      <c r="B124" t="s">
        <v>240</v>
      </c>
      <c r="C124" t="s">
        <v>241</v>
      </c>
      <c r="D124" t="s">
        <v>783</v>
      </c>
      <c r="E124" s="12">
        <v>44756</v>
      </c>
      <c r="F124" t="s">
        <v>694</v>
      </c>
      <c r="G124">
        <v>35000</v>
      </c>
      <c r="H124">
        <v>152.66999999999999</v>
      </c>
      <c r="I124">
        <v>152.66999999999999</v>
      </c>
      <c r="J124">
        <v>154</v>
      </c>
      <c r="K124">
        <v>34847.33</v>
      </c>
      <c r="L124" t="s">
        <v>606</v>
      </c>
      <c r="M124">
        <v>4</v>
      </c>
      <c r="N124" t="s">
        <v>439</v>
      </c>
      <c r="O124" t="s">
        <v>607</v>
      </c>
    </row>
    <row r="125" spans="1:15" x14ac:dyDescent="0.25">
      <c r="A125" t="s">
        <v>442</v>
      </c>
      <c r="B125" t="s">
        <v>242</v>
      </c>
      <c r="C125" t="s">
        <v>243</v>
      </c>
      <c r="D125" t="s">
        <v>784</v>
      </c>
      <c r="E125" s="12">
        <v>44772</v>
      </c>
      <c r="F125" t="s">
        <v>694</v>
      </c>
      <c r="G125">
        <v>25000</v>
      </c>
      <c r="H125">
        <v>-0.04</v>
      </c>
      <c r="I125">
        <v>-0.04</v>
      </c>
      <c r="J125">
        <v>202</v>
      </c>
      <c r="K125">
        <v>25000</v>
      </c>
      <c r="L125" t="s">
        <v>608</v>
      </c>
      <c r="M125">
        <v>4</v>
      </c>
      <c r="N125" t="s">
        <v>439</v>
      </c>
      <c r="O125" t="s">
        <v>440</v>
      </c>
    </row>
    <row r="126" spans="1:15" x14ac:dyDescent="0.25">
      <c r="A126" t="s">
        <v>442</v>
      </c>
      <c r="B126" t="s">
        <v>244</v>
      </c>
      <c r="C126" t="s">
        <v>245</v>
      </c>
      <c r="D126" t="s">
        <v>785</v>
      </c>
      <c r="E126" s="12">
        <v>44807</v>
      </c>
      <c r="F126" t="s">
        <v>694</v>
      </c>
      <c r="G126">
        <v>40000</v>
      </c>
      <c r="H126">
        <v>9260.5300000000007</v>
      </c>
      <c r="I126">
        <v>3368.82</v>
      </c>
      <c r="J126">
        <v>157</v>
      </c>
      <c r="K126">
        <v>30739.47</v>
      </c>
      <c r="L126" t="s">
        <v>609</v>
      </c>
      <c r="M126">
        <v>4</v>
      </c>
      <c r="N126" t="s">
        <v>439</v>
      </c>
      <c r="O126" t="s">
        <v>990</v>
      </c>
    </row>
    <row r="127" spans="1:15" x14ac:dyDescent="0.25">
      <c r="A127" t="s">
        <v>442</v>
      </c>
      <c r="B127" t="s">
        <v>246</v>
      </c>
      <c r="C127" t="s">
        <v>247</v>
      </c>
      <c r="D127" t="s">
        <v>786</v>
      </c>
      <c r="E127" s="12">
        <v>44819</v>
      </c>
      <c r="F127" t="s">
        <v>694</v>
      </c>
      <c r="G127">
        <v>25000</v>
      </c>
      <c r="H127">
        <v>0.01</v>
      </c>
      <c r="I127">
        <v>0.01</v>
      </c>
      <c r="J127">
        <v>85</v>
      </c>
      <c r="K127">
        <v>24999.99</v>
      </c>
      <c r="L127" t="s">
        <v>610</v>
      </c>
      <c r="M127">
        <v>4</v>
      </c>
      <c r="N127" t="s">
        <v>439</v>
      </c>
      <c r="O127" t="s">
        <v>658</v>
      </c>
    </row>
    <row r="128" spans="1:15" x14ac:dyDescent="0.25">
      <c r="A128" t="s">
        <v>442</v>
      </c>
      <c r="B128" t="s">
        <v>248</v>
      </c>
      <c r="C128" t="s">
        <v>249</v>
      </c>
      <c r="D128" t="s">
        <v>787</v>
      </c>
      <c r="E128" s="12">
        <v>44830</v>
      </c>
      <c r="F128" t="s">
        <v>694</v>
      </c>
      <c r="G128">
        <v>60000</v>
      </c>
      <c r="H128">
        <v>17271.71</v>
      </c>
      <c r="I128">
        <v>7116.63</v>
      </c>
      <c r="J128">
        <v>73</v>
      </c>
      <c r="K128">
        <v>42728.29</v>
      </c>
      <c r="L128" t="s">
        <v>611</v>
      </c>
      <c r="M128">
        <v>4</v>
      </c>
      <c r="N128" t="s">
        <v>439</v>
      </c>
      <c r="O128" t="s">
        <v>954</v>
      </c>
    </row>
    <row r="129" spans="1:15" x14ac:dyDescent="0.25">
      <c r="A129" t="s">
        <v>442</v>
      </c>
      <c r="B129" t="s">
        <v>250</v>
      </c>
      <c r="C129" t="s">
        <v>251</v>
      </c>
      <c r="D129" t="s">
        <v>788</v>
      </c>
      <c r="E129" s="12">
        <v>44865</v>
      </c>
      <c r="F129" t="s">
        <v>694</v>
      </c>
      <c r="G129">
        <v>25000</v>
      </c>
      <c r="H129">
        <v>4693.1499999999996</v>
      </c>
      <c r="I129">
        <v>4693.1499999999996</v>
      </c>
      <c r="J129">
        <v>272</v>
      </c>
      <c r="K129">
        <v>20306.849999999999</v>
      </c>
      <c r="L129" t="s">
        <v>612</v>
      </c>
      <c r="M129">
        <v>4</v>
      </c>
      <c r="N129" t="s">
        <v>439</v>
      </c>
      <c r="O129" t="s">
        <v>613</v>
      </c>
    </row>
    <row r="130" spans="1:15" x14ac:dyDescent="0.25">
      <c r="A130" t="s">
        <v>442</v>
      </c>
      <c r="B130" t="s">
        <v>252</v>
      </c>
      <c r="C130" t="s">
        <v>253</v>
      </c>
      <c r="D130" t="s">
        <v>789</v>
      </c>
      <c r="E130" s="12">
        <v>44892</v>
      </c>
      <c r="F130" t="s">
        <v>702</v>
      </c>
      <c r="G130">
        <v>0</v>
      </c>
      <c r="H130">
        <v>0</v>
      </c>
      <c r="I130">
        <v>0</v>
      </c>
      <c r="J130">
        <v>0</v>
      </c>
      <c r="K130">
        <v>0</v>
      </c>
      <c r="L130" t="s">
        <v>614</v>
      </c>
      <c r="M130">
        <v>-1</v>
      </c>
      <c r="N130" t="s">
        <v>439</v>
      </c>
      <c r="O130" t="s">
        <v>440</v>
      </c>
    </row>
    <row r="131" spans="1:15" x14ac:dyDescent="0.25">
      <c r="A131" t="s">
        <v>11</v>
      </c>
      <c r="B131" t="s">
        <v>254</v>
      </c>
      <c r="C131" t="s">
        <v>955</v>
      </c>
      <c r="D131" t="s">
        <v>790</v>
      </c>
      <c r="E131" s="12">
        <v>44590</v>
      </c>
      <c r="F131" t="s">
        <v>694</v>
      </c>
      <c r="G131">
        <v>150000</v>
      </c>
      <c r="H131">
        <v>8936.64</v>
      </c>
      <c r="I131">
        <v>0</v>
      </c>
      <c r="J131">
        <v>0</v>
      </c>
      <c r="K131">
        <v>150000</v>
      </c>
      <c r="L131" t="s">
        <v>615</v>
      </c>
      <c r="M131">
        <v>4</v>
      </c>
      <c r="N131" t="s">
        <v>439</v>
      </c>
      <c r="O131" t="s">
        <v>440</v>
      </c>
    </row>
    <row r="132" spans="1:15" x14ac:dyDescent="0.25">
      <c r="A132" t="s">
        <v>11</v>
      </c>
      <c r="B132" t="s">
        <v>256</v>
      </c>
      <c r="C132" t="s">
        <v>257</v>
      </c>
      <c r="D132" t="s">
        <v>791</v>
      </c>
      <c r="E132" s="12">
        <v>44635</v>
      </c>
      <c r="F132" t="s">
        <v>694</v>
      </c>
      <c r="G132">
        <v>100000</v>
      </c>
      <c r="H132">
        <v>18217.189999999999</v>
      </c>
      <c r="I132">
        <v>11398.03</v>
      </c>
      <c r="J132">
        <v>132</v>
      </c>
      <c r="K132">
        <v>81782.81</v>
      </c>
      <c r="L132" t="s">
        <v>616</v>
      </c>
      <c r="M132">
        <v>4</v>
      </c>
      <c r="N132" t="s">
        <v>439</v>
      </c>
      <c r="O132" t="s">
        <v>902</v>
      </c>
    </row>
    <row r="133" spans="1:15" x14ac:dyDescent="0.25">
      <c r="A133" t="s">
        <v>11</v>
      </c>
      <c r="B133" t="s">
        <v>258</v>
      </c>
      <c r="C133" t="s">
        <v>259</v>
      </c>
      <c r="D133" t="s">
        <v>792</v>
      </c>
      <c r="E133" s="12">
        <v>44644</v>
      </c>
      <c r="F133" t="s">
        <v>694</v>
      </c>
      <c r="G133">
        <v>50000</v>
      </c>
      <c r="H133">
        <v>18986.68</v>
      </c>
      <c r="I133">
        <v>18986.68</v>
      </c>
      <c r="J133">
        <v>493</v>
      </c>
      <c r="K133">
        <v>31013.32</v>
      </c>
      <c r="L133" t="s">
        <v>617</v>
      </c>
      <c r="M133">
        <v>4</v>
      </c>
      <c r="N133" t="s">
        <v>439</v>
      </c>
      <c r="O133" t="s">
        <v>991</v>
      </c>
    </row>
    <row r="134" spans="1:15" x14ac:dyDescent="0.25">
      <c r="A134" t="s">
        <v>476</v>
      </c>
      <c r="B134" t="s">
        <v>260</v>
      </c>
      <c r="C134" t="s">
        <v>261</v>
      </c>
      <c r="D134" t="s">
        <v>793</v>
      </c>
      <c r="E134" s="12">
        <v>44646</v>
      </c>
      <c r="F134" t="s">
        <v>694</v>
      </c>
      <c r="G134">
        <v>250000</v>
      </c>
      <c r="H134">
        <v>-0.26</v>
      </c>
      <c r="I134">
        <v>-0.26</v>
      </c>
      <c r="J134">
        <v>92</v>
      </c>
      <c r="K134">
        <v>250000</v>
      </c>
      <c r="L134" t="s">
        <v>618</v>
      </c>
      <c r="M134">
        <v>4</v>
      </c>
      <c r="N134" t="s">
        <v>439</v>
      </c>
      <c r="O134" t="s">
        <v>440</v>
      </c>
    </row>
    <row r="135" spans="1:15" x14ac:dyDescent="0.25">
      <c r="A135" t="s">
        <v>255</v>
      </c>
      <c r="B135" t="s">
        <v>619</v>
      </c>
      <c r="C135" t="s">
        <v>620</v>
      </c>
      <c r="E135" s="12">
        <v>44649</v>
      </c>
      <c r="F135" t="s">
        <v>702</v>
      </c>
      <c r="G135">
        <v>0</v>
      </c>
      <c r="H135">
        <v>6273.29</v>
      </c>
      <c r="I135">
        <v>6273.29</v>
      </c>
      <c r="J135">
        <v>466</v>
      </c>
      <c r="K135">
        <v>-6273.29</v>
      </c>
      <c r="L135" t="s">
        <v>621</v>
      </c>
      <c r="M135">
        <v>-1</v>
      </c>
      <c r="N135" t="s">
        <v>446</v>
      </c>
      <c r="O135" t="s">
        <v>622</v>
      </c>
    </row>
    <row r="136" spans="1:15" x14ac:dyDescent="0.25">
      <c r="A136" t="s">
        <v>11</v>
      </c>
      <c r="B136" t="s">
        <v>262</v>
      </c>
      <c r="C136" t="s">
        <v>263</v>
      </c>
      <c r="D136" t="s">
        <v>721</v>
      </c>
      <c r="E136" s="12">
        <v>44651</v>
      </c>
      <c r="F136" t="s">
        <v>694</v>
      </c>
      <c r="G136">
        <v>50000</v>
      </c>
      <c r="H136">
        <v>22188.43</v>
      </c>
      <c r="I136">
        <v>17503.32</v>
      </c>
      <c r="J136">
        <v>91</v>
      </c>
      <c r="K136">
        <v>27811.57</v>
      </c>
      <c r="L136" t="s">
        <v>623</v>
      </c>
      <c r="M136">
        <v>4</v>
      </c>
      <c r="N136" t="s">
        <v>439</v>
      </c>
      <c r="O136" t="s">
        <v>956</v>
      </c>
    </row>
    <row r="137" spans="1:15" x14ac:dyDescent="0.25">
      <c r="A137" t="s">
        <v>11</v>
      </c>
      <c r="B137" t="s">
        <v>264</v>
      </c>
      <c r="C137" t="s">
        <v>265</v>
      </c>
      <c r="D137" t="s">
        <v>794</v>
      </c>
      <c r="E137" s="12">
        <v>44651</v>
      </c>
      <c r="F137" t="s">
        <v>694</v>
      </c>
      <c r="G137">
        <v>75000</v>
      </c>
      <c r="H137">
        <v>0</v>
      </c>
      <c r="I137">
        <v>0</v>
      </c>
      <c r="J137">
        <v>0</v>
      </c>
      <c r="K137">
        <v>75000</v>
      </c>
      <c r="L137" t="s">
        <v>623</v>
      </c>
      <c r="M137">
        <v>4</v>
      </c>
      <c r="N137" t="s">
        <v>439</v>
      </c>
      <c r="O137" t="s">
        <v>440</v>
      </c>
    </row>
    <row r="138" spans="1:15" x14ac:dyDescent="0.25">
      <c r="A138" t="s">
        <v>11</v>
      </c>
      <c r="B138" t="s">
        <v>266</v>
      </c>
      <c r="C138" t="s">
        <v>267</v>
      </c>
      <c r="D138" t="s">
        <v>795</v>
      </c>
      <c r="E138" s="12">
        <v>44723</v>
      </c>
      <c r="F138" t="s">
        <v>694</v>
      </c>
      <c r="G138">
        <v>50000</v>
      </c>
      <c r="H138">
        <v>10874.28</v>
      </c>
      <c r="I138">
        <v>10874.28</v>
      </c>
      <c r="J138">
        <v>410</v>
      </c>
      <c r="K138">
        <v>39125.72</v>
      </c>
      <c r="L138" t="s">
        <v>624</v>
      </c>
      <c r="M138">
        <v>4</v>
      </c>
      <c r="N138" t="s">
        <v>439</v>
      </c>
      <c r="O138" t="s">
        <v>903</v>
      </c>
    </row>
    <row r="139" spans="1:15" x14ac:dyDescent="0.25">
      <c r="A139" t="s">
        <v>11</v>
      </c>
      <c r="B139" t="s">
        <v>268</v>
      </c>
      <c r="C139" t="s">
        <v>385</v>
      </c>
      <c r="E139" s="12">
        <v>44731</v>
      </c>
      <c r="F139" t="s">
        <v>694</v>
      </c>
      <c r="G139">
        <v>50000</v>
      </c>
      <c r="H139">
        <v>0</v>
      </c>
      <c r="I139">
        <v>0</v>
      </c>
      <c r="J139">
        <v>0</v>
      </c>
      <c r="K139">
        <v>50000</v>
      </c>
      <c r="L139" t="s">
        <v>625</v>
      </c>
      <c r="M139">
        <v>4</v>
      </c>
      <c r="N139" t="s">
        <v>439</v>
      </c>
      <c r="O139" t="s">
        <v>440</v>
      </c>
    </row>
    <row r="140" spans="1:15" x14ac:dyDescent="0.25">
      <c r="A140" t="s">
        <v>476</v>
      </c>
      <c r="B140" t="s">
        <v>269</v>
      </c>
      <c r="C140" t="s">
        <v>270</v>
      </c>
      <c r="D140" t="s">
        <v>796</v>
      </c>
      <c r="E140" s="12">
        <v>44740</v>
      </c>
      <c r="F140" t="s">
        <v>694</v>
      </c>
      <c r="G140">
        <v>150000</v>
      </c>
      <c r="H140">
        <v>-0.13</v>
      </c>
      <c r="I140">
        <v>-0.13</v>
      </c>
      <c r="J140">
        <v>73</v>
      </c>
      <c r="K140">
        <v>150000</v>
      </c>
      <c r="L140" t="s">
        <v>626</v>
      </c>
      <c r="M140">
        <v>4</v>
      </c>
      <c r="N140" t="s">
        <v>439</v>
      </c>
      <c r="O140" t="s">
        <v>440</v>
      </c>
    </row>
    <row r="141" spans="1:15" x14ac:dyDescent="0.25">
      <c r="A141" t="s">
        <v>11</v>
      </c>
      <c r="B141" t="s">
        <v>271</v>
      </c>
      <c r="C141" t="s">
        <v>74</v>
      </c>
      <c r="D141" t="s">
        <v>797</v>
      </c>
      <c r="E141" s="12">
        <v>44740</v>
      </c>
      <c r="F141" t="s">
        <v>694</v>
      </c>
      <c r="G141">
        <v>80000</v>
      </c>
      <c r="H141">
        <v>2724.06</v>
      </c>
      <c r="I141">
        <v>2724.06</v>
      </c>
      <c r="J141">
        <v>67</v>
      </c>
      <c r="K141">
        <v>77275.94</v>
      </c>
      <c r="L141" t="s">
        <v>627</v>
      </c>
      <c r="M141">
        <v>4</v>
      </c>
      <c r="N141" t="s">
        <v>439</v>
      </c>
      <c r="O141" t="s">
        <v>957</v>
      </c>
    </row>
    <row r="142" spans="1:15" x14ac:dyDescent="0.25">
      <c r="A142" t="s">
        <v>11</v>
      </c>
      <c r="B142" t="s">
        <v>272</v>
      </c>
      <c r="C142" t="s">
        <v>273</v>
      </c>
      <c r="D142" t="s">
        <v>798</v>
      </c>
      <c r="E142" s="12">
        <v>44740</v>
      </c>
      <c r="F142" t="s">
        <v>694</v>
      </c>
      <c r="G142">
        <v>90000</v>
      </c>
      <c r="H142">
        <v>6274.64</v>
      </c>
      <c r="I142">
        <v>6274.64</v>
      </c>
      <c r="J142">
        <v>319</v>
      </c>
      <c r="K142">
        <v>83725.36</v>
      </c>
      <c r="L142" t="s">
        <v>627</v>
      </c>
      <c r="M142">
        <v>4</v>
      </c>
      <c r="N142" t="s">
        <v>439</v>
      </c>
      <c r="O142" t="s">
        <v>992</v>
      </c>
    </row>
    <row r="143" spans="1:15" x14ac:dyDescent="0.25">
      <c r="A143" t="s">
        <v>11</v>
      </c>
      <c r="B143" t="s">
        <v>274</v>
      </c>
      <c r="C143" t="s">
        <v>275</v>
      </c>
      <c r="D143" t="s">
        <v>799</v>
      </c>
      <c r="E143" s="12">
        <v>44741</v>
      </c>
      <c r="F143" t="s">
        <v>694</v>
      </c>
      <c r="G143">
        <v>90000</v>
      </c>
      <c r="H143">
        <v>9612.9599999999991</v>
      </c>
      <c r="I143">
        <v>9612.9599999999991</v>
      </c>
      <c r="J143">
        <v>395</v>
      </c>
      <c r="K143">
        <v>80387.039999999994</v>
      </c>
      <c r="L143" t="s">
        <v>628</v>
      </c>
      <c r="M143">
        <v>4</v>
      </c>
      <c r="N143" t="s">
        <v>439</v>
      </c>
      <c r="O143" t="s">
        <v>993</v>
      </c>
    </row>
    <row r="144" spans="1:15" x14ac:dyDescent="0.25">
      <c r="A144" t="s">
        <v>11</v>
      </c>
      <c r="B144" t="s">
        <v>276</v>
      </c>
      <c r="C144" t="s">
        <v>277</v>
      </c>
      <c r="D144" t="s">
        <v>791</v>
      </c>
      <c r="E144" s="12">
        <v>44748</v>
      </c>
      <c r="F144" t="s">
        <v>694</v>
      </c>
      <c r="G144">
        <v>100000</v>
      </c>
      <c r="H144">
        <v>10738.47</v>
      </c>
      <c r="I144">
        <v>0</v>
      </c>
      <c r="J144">
        <v>0</v>
      </c>
      <c r="K144">
        <v>100000</v>
      </c>
      <c r="L144" t="s">
        <v>629</v>
      </c>
      <c r="M144">
        <v>4</v>
      </c>
      <c r="N144" t="s">
        <v>439</v>
      </c>
      <c r="O144" t="s">
        <v>440</v>
      </c>
    </row>
    <row r="145" spans="1:15" x14ac:dyDescent="0.25">
      <c r="A145" t="s">
        <v>11</v>
      </c>
      <c r="B145" t="s">
        <v>278</v>
      </c>
      <c r="C145" t="s">
        <v>279</v>
      </c>
      <c r="D145" t="s">
        <v>791</v>
      </c>
      <c r="E145" s="12">
        <v>44748</v>
      </c>
      <c r="F145" t="s">
        <v>694</v>
      </c>
      <c r="G145">
        <v>100000</v>
      </c>
      <c r="H145">
        <v>0</v>
      </c>
      <c r="I145">
        <v>0</v>
      </c>
      <c r="J145">
        <v>0</v>
      </c>
      <c r="K145">
        <v>100000</v>
      </c>
      <c r="L145" t="s">
        <v>629</v>
      </c>
      <c r="M145">
        <v>4</v>
      </c>
      <c r="N145" t="s">
        <v>439</v>
      </c>
      <c r="O145" t="s">
        <v>440</v>
      </c>
    </row>
    <row r="146" spans="1:15" x14ac:dyDescent="0.25">
      <c r="A146" t="s">
        <v>11</v>
      </c>
      <c r="B146" t="s">
        <v>280</v>
      </c>
      <c r="C146" t="s">
        <v>281</v>
      </c>
      <c r="D146" t="s">
        <v>791</v>
      </c>
      <c r="E146" s="12">
        <v>44748</v>
      </c>
      <c r="F146" t="s">
        <v>694</v>
      </c>
      <c r="G146">
        <v>100000</v>
      </c>
      <c r="H146">
        <v>3.66</v>
      </c>
      <c r="I146">
        <v>3.66</v>
      </c>
      <c r="J146">
        <v>161</v>
      </c>
      <c r="K146">
        <v>99996.34</v>
      </c>
      <c r="L146" t="s">
        <v>629</v>
      </c>
      <c r="M146">
        <v>4</v>
      </c>
      <c r="N146" t="s">
        <v>439</v>
      </c>
      <c r="O146" t="s">
        <v>630</v>
      </c>
    </row>
    <row r="147" spans="1:15" x14ac:dyDescent="0.25">
      <c r="A147" t="s">
        <v>11</v>
      </c>
      <c r="B147" t="s">
        <v>282</v>
      </c>
      <c r="C147" t="s">
        <v>283</v>
      </c>
      <c r="D147" t="s">
        <v>791</v>
      </c>
      <c r="E147" s="12">
        <v>44748</v>
      </c>
      <c r="F147" t="s">
        <v>694</v>
      </c>
      <c r="G147">
        <v>100000</v>
      </c>
      <c r="H147">
        <v>0</v>
      </c>
      <c r="I147">
        <v>0</v>
      </c>
      <c r="J147">
        <v>0</v>
      </c>
      <c r="K147">
        <v>100000</v>
      </c>
      <c r="L147" t="s">
        <v>629</v>
      </c>
      <c r="M147">
        <v>4</v>
      </c>
      <c r="N147" t="s">
        <v>439</v>
      </c>
      <c r="O147" t="s">
        <v>440</v>
      </c>
    </row>
    <row r="148" spans="1:15" x14ac:dyDescent="0.25">
      <c r="A148" t="s">
        <v>11</v>
      </c>
      <c r="B148" t="s">
        <v>284</v>
      </c>
      <c r="C148" t="s">
        <v>285</v>
      </c>
      <c r="D148" t="s">
        <v>791</v>
      </c>
      <c r="E148" s="12">
        <v>44748</v>
      </c>
      <c r="F148" t="s">
        <v>694</v>
      </c>
      <c r="G148">
        <v>100000</v>
      </c>
      <c r="H148">
        <v>0</v>
      </c>
      <c r="I148">
        <v>0</v>
      </c>
      <c r="J148">
        <v>0</v>
      </c>
      <c r="K148">
        <v>100000</v>
      </c>
      <c r="L148" t="s">
        <v>629</v>
      </c>
      <c r="M148">
        <v>4</v>
      </c>
      <c r="N148" t="s">
        <v>439</v>
      </c>
      <c r="O148" t="s">
        <v>440</v>
      </c>
    </row>
    <row r="149" spans="1:15" x14ac:dyDescent="0.25">
      <c r="A149" t="s">
        <v>476</v>
      </c>
      <c r="B149" t="s">
        <v>286</v>
      </c>
      <c r="C149" t="s">
        <v>287</v>
      </c>
      <c r="D149" t="s">
        <v>800</v>
      </c>
      <c r="E149" s="12">
        <v>44817</v>
      </c>
      <c r="F149" t="s">
        <v>694</v>
      </c>
      <c r="G149">
        <v>0</v>
      </c>
      <c r="H149">
        <v>-0.13</v>
      </c>
      <c r="I149">
        <v>-0.13</v>
      </c>
      <c r="J149">
        <v>320</v>
      </c>
      <c r="K149">
        <v>0</v>
      </c>
      <c r="L149" t="s">
        <v>631</v>
      </c>
      <c r="M149">
        <v>4</v>
      </c>
      <c r="N149" t="s">
        <v>439</v>
      </c>
      <c r="O149" t="s">
        <v>440</v>
      </c>
    </row>
    <row r="150" spans="1:15" x14ac:dyDescent="0.25">
      <c r="A150" t="s">
        <v>11</v>
      </c>
      <c r="B150" t="s">
        <v>288</v>
      </c>
      <c r="C150" t="s">
        <v>289</v>
      </c>
      <c r="D150" t="s">
        <v>801</v>
      </c>
      <c r="E150" s="12">
        <v>44863</v>
      </c>
      <c r="F150" t="s">
        <v>694</v>
      </c>
      <c r="G150">
        <v>100000</v>
      </c>
      <c r="H150">
        <v>35393.42</v>
      </c>
      <c r="I150">
        <v>35393.42</v>
      </c>
      <c r="J150">
        <v>230</v>
      </c>
      <c r="K150">
        <v>64606.58</v>
      </c>
      <c r="L150" t="s">
        <v>632</v>
      </c>
      <c r="M150">
        <v>4</v>
      </c>
      <c r="N150" t="s">
        <v>439</v>
      </c>
      <c r="O150" t="s">
        <v>958</v>
      </c>
    </row>
    <row r="151" spans="1:15" x14ac:dyDescent="0.25">
      <c r="A151" t="s">
        <v>476</v>
      </c>
      <c r="B151" t="s">
        <v>290</v>
      </c>
      <c r="C151" t="s">
        <v>291</v>
      </c>
      <c r="D151" t="s">
        <v>802</v>
      </c>
      <c r="E151" s="12">
        <v>44873</v>
      </c>
      <c r="F151" t="s">
        <v>694</v>
      </c>
      <c r="G151">
        <v>30000</v>
      </c>
      <c r="H151">
        <v>9621.84</v>
      </c>
      <c r="I151">
        <v>9621.84</v>
      </c>
      <c r="J151">
        <v>255</v>
      </c>
      <c r="K151">
        <v>20378.16</v>
      </c>
      <c r="L151" t="s">
        <v>633</v>
      </c>
      <c r="M151">
        <v>4</v>
      </c>
      <c r="N151" t="s">
        <v>439</v>
      </c>
      <c r="O151" t="s">
        <v>634</v>
      </c>
    </row>
    <row r="152" spans="1:15" x14ac:dyDescent="0.25">
      <c r="A152" t="s">
        <v>11</v>
      </c>
      <c r="B152" t="s">
        <v>292</v>
      </c>
      <c r="C152" t="s">
        <v>293</v>
      </c>
      <c r="D152" t="s">
        <v>803</v>
      </c>
      <c r="E152" s="12">
        <v>44912</v>
      </c>
      <c r="F152" t="s">
        <v>694</v>
      </c>
      <c r="G152">
        <v>50000</v>
      </c>
      <c r="H152">
        <v>0.74</v>
      </c>
      <c r="I152">
        <v>0.74</v>
      </c>
      <c r="J152">
        <v>160</v>
      </c>
      <c r="K152">
        <v>49999.26</v>
      </c>
      <c r="L152" t="s">
        <v>635</v>
      </c>
      <c r="M152">
        <v>4</v>
      </c>
      <c r="N152" t="s">
        <v>439</v>
      </c>
      <c r="O152" t="s">
        <v>636</v>
      </c>
    </row>
    <row r="153" spans="1:15" x14ac:dyDescent="0.25">
      <c r="A153" t="s">
        <v>476</v>
      </c>
      <c r="B153" t="s">
        <v>294</v>
      </c>
      <c r="C153" t="s">
        <v>295</v>
      </c>
      <c r="D153" t="s">
        <v>804</v>
      </c>
      <c r="E153" s="12">
        <v>44915</v>
      </c>
      <c r="F153" t="s">
        <v>694</v>
      </c>
      <c r="G153">
        <v>25000</v>
      </c>
      <c r="H153">
        <v>6144.17</v>
      </c>
      <c r="I153">
        <v>6144.17</v>
      </c>
      <c r="J153">
        <v>118</v>
      </c>
      <c r="K153">
        <v>18855.830000000002</v>
      </c>
      <c r="L153" t="s">
        <v>637</v>
      </c>
      <c r="M153">
        <v>4</v>
      </c>
      <c r="N153" t="s">
        <v>439</v>
      </c>
      <c r="O153" t="s">
        <v>994</v>
      </c>
    </row>
    <row r="154" spans="1:15" x14ac:dyDescent="0.25">
      <c r="A154" t="s">
        <v>11</v>
      </c>
      <c r="B154" t="s">
        <v>296</v>
      </c>
      <c r="C154" t="s">
        <v>297</v>
      </c>
      <c r="D154" t="s">
        <v>805</v>
      </c>
      <c r="E154" s="12">
        <v>44923</v>
      </c>
      <c r="F154" t="s">
        <v>694</v>
      </c>
      <c r="G154">
        <v>45000</v>
      </c>
      <c r="H154">
        <v>1589.21</v>
      </c>
      <c r="I154">
        <v>1589.21</v>
      </c>
      <c r="J154">
        <v>213</v>
      </c>
      <c r="K154">
        <v>43410.79</v>
      </c>
      <c r="L154" t="s">
        <v>638</v>
      </c>
      <c r="M154">
        <v>4</v>
      </c>
      <c r="N154" t="s">
        <v>439</v>
      </c>
      <c r="O154" t="s">
        <v>959</v>
      </c>
    </row>
    <row r="155" spans="1:15" x14ac:dyDescent="0.25">
      <c r="A155" t="s">
        <v>476</v>
      </c>
      <c r="B155" t="s">
        <v>926</v>
      </c>
      <c r="C155" t="s">
        <v>960</v>
      </c>
      <c r="D155" t="s">
        <v>961</v>
      </c>
      <c r="E155" s="12">
        <v>45125</v>
      </c>
      <c r="F155" t="s">
        <v>702</v>
      </c>
      <c r="G155">
        <v>0</v>
      </c>
      <c r="H155">
        <v>-0.28000000000000003</v>
      </c>
      <c r="I155">
        <v>0</v>
      </c>
      <c r="J155">
        <v>0</v>
      </c>
      <c r="K155">
        <v>0</v>
      </c>
      <c r="L155" t="s">
        <v>631</v>
      </c>
      <c r="M155">
        <v>-1</v>
      </c>
      <c r="N155" t="s">
        <v>439</v>
      </c>
      <c r="O155" t="s">
        <v>440</v>
      </c>
    </row>
    <row r="156" spans="1:15" x14ac:dyDescent="0.25">
      <c r="A156" t="s">
        <v>639</v>
      </c>
      <c r="B156" t="s">
        <v>640</v>
      </c>
      <c r="C156" t="s">
        <v>641</v>
      </c>
      <c r="E156" s="12">
        <v>44704</v>
      </c>
      <c r="F156" t="s">
        <v>694</v>
      </c>
      <c r="G156">
        <v>0</v>
      </c>
      <c r="H156">
        <v>788.98</v>
      </c>
      <c r="I156">
        <v>788.98</v>
      </c>
      <c r="J156">
        <v>414</v>
      </c>
      <c r="K156">
        <v>-788.98</v>
      </c>
      <c r="L156" t="s">
        <v>642</v>
      </c>
      <c r="M156">
        <v>4</v>
      </c>
      <c r="N156" t="s">
        <v>446</v>
      </c>
      <c r="O156" t="s">
        <v>643</v>
      </c>
    </row>
    <row r="157" spans="1:15" x14ac:dyDescent="0.25">
      <c r="A157" t="s">
        <v>23</v>
      </c>
      <c r="B157" t="s">
        <v>644</v>
      </c>
      <c r="C157" t="s">
        <v>645</v>
      </c>
      <c r="D157" t="s">
        <v>806</v>
      </c>
      <c r="E157" s="12">
        <v>44871</v>
      </c>
      <c r="F157" t="s">
        <v>694</v>
      </c>
      <c r="G157">
        <v>0</v>
      </c>
      <c r="H157">
        <v>1520.97</v>
      </c>
      <c r="I157">
        <v>1520.97</v>
      </c>
      <c r="J157">
        <v>264</v>
      </c>
      <c r="K157">
        <v>-1520.97</v>
      </c>
      <c r="L157" t="s">
        <v>646</v>
      </c>
      <c r="M157">
        <v>4</v>
      </c>
      <c r="N157" t="s">
        <v>446</v>
      </c>
      <c r="O157" t="s">
        <v>647</v>
      </c>
    </row>
    <row r="158" spans="1:15" x14ac:dyDescent="0.25">
      <c r="A158" t="s">
        <v>23</v>
      </c>
      <c r="B158" t="s">
        <v>24</v>
      </c>
      <c r="C158" t="s">
        <v>298</v>
      </c>
      <c r="D158" t="s">
        <v>807</v>
      </c>
      <c r="E158" s="12">
        <v>44950</v>
      </c>
      <c r="F158" t="s">
        <v>694</v>
      </c>
      <c r="G158">
        <v>17000</v>
      </c>
      <c r="H158">
        <v>21967.88</v>
      </c>
      <c r="I158">
        <v>21967.88</v>
      </c>
      <c r="J158">
        <v>178</v>
      </c>
      <c r="K158">
        <v>-4967.88</v>
      </c>
      <c r="L158" t="s">
        <v>648</v>
      </c>
      <c r="M158">
        <v>4</v>
      </c>
      <c r="N158" t="s">
        <v>446</v>
      </c>
      <c r="O158" t="s">
        <v>962</v>
      </c>
    </row>
    <row r="159" spans="1:15" x14ac:dyDescent="0.25">
      <c r="A159" t="s">
        <v>23</v>
      </c>
      <c r="B159" t="s">
        <v>25</v>
      </c>
      <c r="C159" t="s">
        <v>299</v>
      </c>
      <c r="D159" t="s">
        <v>808</v>
      </c>
      <c r="E159" s="12">
        <v>44978</v>
      </c>
      <c r="F159" t="s">
        <v>694</v>
      </c>
      <c r="G159">
        <v>10000</v>
      </c>
      <c r="H159">
        <v>8429.27</v>
      </c>
      <c r="I159">
        <v>8429.27</v>
      </c>
      <c r="J159">
        <v>157</v>
      </c>
      <c r="K159">
        <v>1570.73</v>
      </c>
      <c r="L159" t="s">
        <v>649</v>
      </c>
      <c r="M159">
        <v>4</v>
      </c>
      <c r="N159" t="s">
        <v>439</v>
      </c>
      <c r="O159" t="s">
        <v>963</v>
      </c>
    </row>
    <row r="160" spans="1:15" x14ac:dyDescent="0.25">
      <c r="A160" t="s">
        <v>7</v>
      </c>
      <c r="B160" t="s">
        <v>26</v>
      </c>
      <c r="C160" t="s">
        <v>300</v>
      </c>
      <c r="D160" t="s">
        <v>809</v>
      </c>
      <c r="E160" s="12">
        <v>44892</v>
      </c>
      <c r="F160" t="s">
        <v>702</v>
      </c>
      <c r="G160">
        <v>0</v>
      </c>
      <c r="H160">
        <v>0</v>
      </c>
      <c r="I160">
        <v>0</v>
      </c>
      <c r="J160">
        <v>0</v>
      </c>
      <c r="K160">
        <v>0</v>
      </c>
      <c r="L160" t="s">
        <v>650</v>
      </c>
      <c r="M160">
        <v>-1</v>
      </c>
      <c r="N160" t="s">
        <v>439</v>
      </c>
      <c r="O160" t="s">
        <v>440</v>
      </c>
    </row>
    <row r="161" spans="1:15" x14ac:dyDescent="0.25">
      <c r="A161" t="s">
        <v>7</v>
      </c>
      <c r="B161" t="s">
        <v>27</v>
      </c>
      <c r="C161" t="s">
        <v>301</v>
      </c>
      <c r="D161" t="s">
        <v>810</v>
      </c>
      <c r="E161" s="12">
        <v>44896</v>
      </c>
      <c r="F161" t="s">
        <v>694</v>
      </c>
      <c r="G161">
        <v>50000</v>
      </c>
      <c r="H161">
        <v>0</v>
      </c>
      <c r="I161">
        <v>0</v>
      </c>
      <c r="J161">
        <v>0</v>
      </c>
      <c r="K161">
        <v>50000</v>
      </c>
      <c r="L161" t="s">
        <v>651</v>
      </c>
      <c r="M161">
        <v>4</v>
      </c>
      <c r="N161" t="s">
        <v>439</v>
      </c>
      <c r="O161" t="s">
        <v>440</v>
      </c>
    </row>
    <row r="162" spans="1:15" x14ac:dyDescent="0.25">
      <c r="A162" t="s">
        <v>7</v>
      </c>
      <c r="B162" t="s">
        <v>28</v>
      </c>
      <c r="C162" t="s">
        <v>77</v>
      </c>
      <c r="D162" t="s">
        <v>811</v>
      </c>
      <c r="E162" s="12">
        <v>44898</v>
      </c>
      <c r="F162" t="s">
        <v>702</v>
      </c>
      <c r="G162">
        <v>0</v>
      </c>
      <c r="H162">
        <v>0.06</v>
      </c>
      <c r="I162">
        <v>0</v>
      </c>
      <c r="J162">
        <v>0</v>
      </c>
      <c r="K162">
        <v>0</v>
      </c>
      <c r="L162" t="s">
        <v>652</v>
      </c>
      <c r="M162">
        <v>-1</v>
      </c>
      <c r="N162" t="s">
        <v>439</v>
      </c>
      <c r="O162" t="s">
        <v>440</v>
      </c>
    </row>
    <row r="163" spans="1:15" x14ac:dyDescent="0.25">
      <c r="A163" t="s">
        <v>7</v>
      </c>
      <c r="B163" t="s">
        <v>29</v>
      </c>
      <c r="C163" t="s">
        <v>302</v>
      </c>
      <c r="D163" t="s">
        <v>812</v>
      </c>
      <c r="E163" s="12">
        <v>44907</v>
      </c>
      <c r="F163" t="s">
        <v>702</v>
      </c>
      <c r="G163">
        <v>0</v>
      </c>
      <c r="H163">
        <v>0</v>
      </c>
      <c r="I163">
        <v>0</v>
      </c>
      <c r="J163">
        <v>0</v>
      </c>
      <c r="K163">
        <v>0</v>
      </c>
      <c r="L163" t="s">
        <v>653</v>
      </c>
      <c r="M163">
        <v>-1</v>
      </c>
      <c r="N163" t="s">
        <v>439</v>
      </c>
      <c r="O163" t="s">
        <v>440</v>
      </c>
    </row>
    <row r="164" spans="1:15" x14ac:dyDescent="0.25">
      <c r="A164" t="s">
        <v>7</v>
      </c>
      <c r="B164" t="s">
        <v>69</v>
      </c>
      <c r="C164" t="s">
        <v>303</v>
      </c>
      <c r="D164" t="s">
        <v>813</v>
      </c>
      <c r="E164" s="12">
        <v>44943</v>
      </c>
      <c r="F164" t="s">
        <v>694</v>
      </c>
      <c r="G164">
        <v>13000</v>
      </c>
      <c r="H164">
        <v>-0.04</v>
      </c>
      <c r="I164">
        <v>135.72</v>
      </c>
      <c r="J164">
        <v>96</v>
      </c>
      <c r="K164">
        <v>13000.04</v>
      </c>
      <c r="L164" t="s">
        <v>654</v>
      </c>
      <c r="M164">
        <v>4</v>
      </c>
      <c r="N164" t="s">
        <v>439</v>
      </c>
      <c r="O164" t="s">
        <v>964</v>
      </c>
    </row>
    <row r="165" spans="1:15" x14ac:dyDescent="0.25">
      <c r="A165" t="s">
        <v>7</v>
      </c>
      <c r="B165" t="s">
        <v>70</v>
      </c>
      <c r="C165" t="s">
        <v>72</v>
      </c>
      <c r="D165" t="s">
        <v>814</v>
      </c>
      <c r="E165" s="12">
        <v>44957</v>
      </c>
      <c r="F165" t="s">
        <v>694</v>
      </c>
      <c r="G165">
        <v>30000</v>
      </c>
      <c r="H165">
        <v>17643.82</v>
      </c>
      <c r="I165">
        <v>458.3</v>
      </c>
      <c r="J165">
        <v>85</v>
      </c>
      <c r="K165">
        <v>12356.18</v>
      </c>
      <c r="L165" t="s">
        <v>655</v>
      </c>
      <c r="M165">
        <v>4</v>
      </c>
      <c r="N165" t="s">
        <v>439</v>
      </c>
      <c r="O165" t="s">
        <v>995</v>
      </c>
    </row>
    <row r="166" spans="1:15" x14ac:dyDescent="0.25">
      <c r="A166" t="s">
        <v>7</v>
      </c>
      <c r="B166" t="s">
        <v>304</v>
      </c>
      <c r="C166" t="s">
        <v>73</v>
      </c>
      <c r="D166" t="s">
        <v>814</v>
      </c>
      <c r="E166" s="12">
        <v>44957</v>
      </c>
      <c r="F166" t="s">
        <v>694</v>
      </c>
      <c r="G166">
        <v>20000</v>
      </c>
      <c r="H166">
        <v>3293.64</v>
      </c>
      <c r="I166">
        <v>0.22</v>
      </c>
      <c r="J166">
        <v>172</v>
      </c>
      <c r="K166">
        <v>16706.36</v>
      </c>
      <c r="L166" t="s">
        <v>655</v>
      </c>
      <c r="M166">
        <v>4</v>
      </c>
      <c r="N166" t="s">
        <v>439</v>
      </c>
      <c r="O166" t="s">
        <v>577</v>
      </c>
    </row>
    <row r="167" spans="1:15" x14ac:dyDescent="0.25">
      <c r="A167" t="s">
        <v>7</v>
      </c>
      <c r="B167" t="s">
        <v>305</v>
      </c>
      <c r="C167" t="s">
        <v>656</v>
      </c>
      <c r="D167" t="s">
        <v>815</v>
      </c>
      <c r="E167" s="12">
        <v>44958</v>
      </c>
      <c r="F167" t="s">
        <v>694</v>
      </c>
      <c r="G167">
        <v>25000</v>
      </c>
      <c r="H167">
        <v>8697.1</v>
      </c>
      <c r="I167">
        <v>3616.74</v>
      </c>
      <c r="J167">
        <v>179</v>
      </c>
      <c r="K167">
        <v>16302.9</v>
      </c>
      <c r="L167" t="s">
        <v>657</v>
      </c>
      <c r="M167">
        <v>4</v>
      </c>
      <c r="N167" t="s">
        <v>439</v>
      </c>
      <c r="O167" t="s">
        <v>965</v>
      </c>
    </row>
    <row r="168" spans="1:15" x14ac:dyDescent="0.25">
      <c r="A168" t="s">
        <v>7</v>
      </c>
      <c r="B168" t="s">
        <v>306</v>
      </c>
      <c r="C168" t="s">
        <v>966</v>
      </c>
      <c r="D168" t="s">
        <v>904</v>
      </c>
      <c r="E168" s="12">
        <v>44984</v>
      </c>
      <c r="F168" t="s">
        <v>702</v>
      </c>
      <c r="G168">
        <v>0</v>
      </c>
      <c r="H168">
        <v>0</v>
      </c>
      <c r="I168">
        <v>0</v>
      </c>
      <c r="J168">
        <v>0</v>
      </c>
      <c r="K168">
        <v>0</v>
      </c>
      <c r="L168" t="s">
        <v>659</v>
      </c>
      <c r="M168">
        <v>-1</v>
      </c>
      <c r="N168" t="s">
        <v>439</v>
      </c>
      <c r="O168" t="s">
        <v>440</v>
      </c>
    </row>
    <row r="169" spans="1:15" x14ac:dyDescent="0.25">
      <c r="A169" t="s">
        <v>7</v>
      </c>
      <c r="B169" t="s">
        <v>307</v>
      </c>
      <c r="C169" t="s">
        <v>78</v>
      </c>
      <c r="D169" t="s">
        <v>816</v>
      </c>
      <c r="E169" s="12">
        <v>44992</v>
      </c>
      <c r="F169" t="s">
        <v>694</v>
      </c>
      <c r="G169">
        <v>37500</v>
      </c>
      <c r="H169">
        <v>645.57000000000005</v>
      </c>
      <c r="I169">
        <v>645.57000000000005</v>
      </c>
      <c r="J169">
        <v>127</v>
      </c>
      <c r="K169">
        <v>36854.43</v>
      </c>
      <c r="L169" t="s">
        <v>660</v>
      </c>
      <c r="M169">
        <v>4</v>
      </c>
      <c r="N169" t="s">
        <v>439</v>
      </c>
      <c r="O169" t="s">
        <v>967</v>
      </c>
    </row>
    <row r="170" spans="1:15" x14ac:dyDescent="0.25">
      <c r="A170" t="s">
        <v>4</v>
      </c>
      <c r="B170" t="s">
        <v>661</v>
      </c>
      <c r="C170" t="s">
        <v>662</v>
      </c>
      <c r="E170" s="12">
        <v>44871</v>
      </c>
      <c r="F170" t="s">
        <v>702</v>
      </c>
      <c r="G170">
        <v>0</v>
      </c>
      <c r="H170">
        <v>1520.97</v>
      </c>
      <c r="I170">
        <v>1520.97</v>
      </c>
      <c r="J170">
        <v>264</v>
      </c>
      <c r="K170">
        <v>-1520.97</v>
      </c>
      <c r="L170" t="s">
        <v>663</v>
      </c>
      <c r="M170">
        <v>-1</v>
      </c>
      <c r="N170" t="s">
        <v>446</v>
      </c>
      <c r="O170" t="s">
        <v>647</v>
      </c>
    </row>
    <row r="171" spans="1:15" x14ac:dyDescent="0.25">
      <c r="A171" t="s">
        <v>4</v>
      </c>
      <c r="B171" t="s">
        <v>308</v>
      </c>
      <c r="C171" t="s">
        <v>71</v>
      </c>
      <c r="D171" t="s">
        <v>817</v>
      </c>
      <c r="E171" s="12">
        <v>44896</v>
      </c>
      <c r="F171" t="s">
        <v>702</v>
      </c>
      <c r="G171">
        <v>0</v>
      </c>
      <c r="H171">
        <v>0</v>
      </c>
      <c r="I171">
        <v>0</v>
      </c>
      <c r="J171">
        <v>0</v>
      </c>
      <c r="K171">
        <v>0</v>
      </c>
      <c r="L171" t="s">
        <v>664</v>
      </c>
      <c r="M171">
        <v>-1</v>
      </c>
      <c r="N171" t="s">
        <v>439</v>
      </c>
      <c r="O171" t="s">
        <v>440</v>
      </c>
    </row>
    <row r="172" spans="1:15" x14ac:dyDescent="0.25">
      <c r="A172" t="s">
        <v>4</v>
      </c>
      <c r="B172" t="s">
        <v>665</v>
      </c>
      <c r="C172" t="s">
        <v>666</v>
      </c>
      <c r="D172" t="s">
        <v>818</v>
      </c>
      <c r="E172" s="12">
        <v>45057</v>
      </c>
      <c r="F172" t="s">
        <v>702</v>
      </c>
      <c r="G172">
        <v>0</v>
      </c>
      <c r="H172">
        <v>0</v>
      </c>
      <c r="I172">
        <v>0</v>
      </c>
      <c r="J172">
        <v>0</v>
      </c>
      <c r="K172">
        <v>0</v>
      </c>
      <c r="M172">
        <v>-1</v>
      </c>
      <c r="N172" t="s">
        <v>439</v>
      </c>
      <c r="O172" t="s">
        <v>440</v>
      </c>
    </row>
    <row r="173" spans="1:15" x14ac:dyDescent="0.25">
      <c r="A173" t="s">
        <v>4</v>
      </c>
      <c r="B173" t="s">
        <v>674</v>
      </c>
      <c r="C173" t="s">
        <v>905</v>
      </c>
      <c r="D173" t="s">
        <v>819</v>
      </c>
      <c r="E173" s="12">
        <v>45076</v>
      </c>
      <c r="F173" t="s">
        <v>694</v>
      </c>
      <c r="G173">
        <v>5000</v>
      </c>
      <c r="H173">
        <v>6242.1</v>
      </c>
      <c r="I173">
        <v>0</v>
      </c>
      <c r="J173">
        <v>0</v>
      </c>
      <c r="K173">
        <v>5000</v>
      </c>
      <c r="L173" t="s">
        <v>906</v>
      </c>
      <c r="M173">
        <v>4</v>
      </c>
      <c r="N173" t="s">
        <v>439</v>
      </c>
      <c r="O173" t="s">
        <v>440</v>
      </c>
    </row>
    <row r="174" spans="1:15" x14ac:dyDescent="0.25">
      <c r="A174" t="s">
        <v>4</v>
      </c>
      <c r="B174" t="s">
        <v>688</v>
      </c>
      <c r="C174" t="s">
        <v>820</v>
      </c>
      <c r="D174" t="s">
        <v>821</v>
      </c>
      <c r="E174" s="12">
        <v>45077</v>
      </c>
      <c r="F174" t="s">
        <v>702</v>
      </c>
      <c r="G174">
        <v>0</v>
      </c>
      <c r="H174">
        <v>857.73</v>
      </c>
      <c r="I174">
        <v>0</v>
      </c>
      <c r="J174">
        <v>0</v>
      </c>
      <c r="K174">
        <v>0</v>
      </c>
      <c r="M174">
        <v>-1</v>
      </c>
      <c r="N174" t="s">
        <v>439</v>
      </c>
      <c r="O174" t="s">
        <v>440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EF15B3-2E3D-43E8-A67B-DC7FE75444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Customer Data </vt:lpstr>
      <vt:lpstr>Other Data</vt:lpstr>
      <vt:lpstr>Legend</vt:lpstr>
      <vt:lpstr>SAP Customer Data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Acc.1</dc:creator>
  <cp:lastModifiedBy>YN</cp:lastModifiedBy>
  <dcterms:created xsi:type="dcterms:W3CDTF">2023-05-18T13:00:40Z</dcterms:created>
  <dcterms:modified xsi:type="dcterms:W3CDTF">2023-08-02T10:27:57Z</dcterms:modified>
</cp:coreProperties>
</file>